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Users\SeanNicholson\Downloads\"/>
    </mc:Choice>
  </mc:AlternateContent>
  <xr:revisionPtr revIDLastSave="0" documentId="13_ncr:1_{9D525AA8-495C-4B06-81A5-66AF690CBD15}" xr6:coauthVersionLast="47" xr6:coauthVersionMax="47" xr10:uidLastSave="{00000000-0000-0000-0000-000000000000}"/>
  <bookViews>
    <workbookView xWindow="-28920" yWindow="-120" windowWidth="29040" windowHeight="15840" tabRatio="908" activeTab="3" xr2:uid="{00000000-000D-0000-FFFF-FFFF00000000}"/>
  </bookViews>
  <sheets>
    <sheet name="Calendar" sheetId="1" r:id="rId1"/>
    <sheet name="Season Planner" sheetId="15" r:id="rId2"/>
    <sheet name="Qualifying" sheetId="2" r:id="rId3"/>
    <sheet name="Race Strategy" sheetId="3" r:id="rId4"/>
    <sheet name="Setup Tool" sheetId="4" r:id="rId5"/>
    <sheet name="Raw Data" sheetId="11" r:id="rId6"/>
    <sheet name="Wingsplits" sheetId="5" r:id="rId7"/>
    <sheet name="Split Calculator" sheetId="22" r:id="rId8"/>
    <sheet name="Part Wear Calculator" sheetId="6" r:id="rId9"/>
    <sheet name="CurrentSeasonWear" sheetId="24" r:id="rId10"/>
    <sheet name="Wear" sheetId="14" r:id="rId11"/>
    <sheet name="Wear ORIGINAL DATA" sheetId="25" r:id="rId12"/>
    <sheet name="Driver Training" sheetId="7" r:id="rId13"/>
    <sheet name="TrackData" sheetId="8" r:id="rId14"/>
    <sheet name="TyreData" sheetId="9" r:id="rId15"/>
    <sheet name="Finances" sheetId="17" r:id="rId16"/>
    <sheet name="Resources" sheetId="10" r:id="rId17"/>
    <sheet name="Car Wear" sheetId="12" r:id="rId18"/>
    <sheet name="Pos. Money" sheetId="13" r:id="rId19"/>
    <sheet name="Tyre Calc" sheetId="16" r:id="rId20"/>
    <sheet name="Strategy Calcs" sheetId="18" r:id="rId21"/>
    <sheet name="Happiness Range" sheetId="19" r:id="rId22"/>
    <sheet name="Calculations" sheetId="20" r:id="rId23"/>
    <sheet name="Parts Cost" sheetId="21" r:id="rId24"/>
    <sheet name="ESRI_MAPINFO_SHEET" sheetId="23" state="veryHidden" r:id="rId25"/>
  </sheets>
  <definedNames>
    <definedName name="_xlnm._FilterDatabase" localSheetId="9" hidden="1">CurrentSeasonWear!$F$3:$F$20</definedName>
    <definedName name="_xlnm._FilterDatabase" localSheetId="8" hidden="1">'Part Wear Calculator'!$A$1:$AD$64</definedName>
    <definedName name="_xlnm._FilterDatabase" localSheetId="5" hidden="1">'Raw Data'!$A$1:$S$66</definedName>
    <definedName name="_xlnm._FilterDatabase" localSheetId="10" hidden="1">Wear!$A$1:$X$62</definedName>
    <definedName name="Level">TyreData!$Q$1:$Q$8</definedName>
    <definedName name="Supplier">TyreData!$A$3:$A$10</definedName>
    <definedName name="TrackName">TyreData!$A$131:$A$218</definedName>
    <definedName name="Tyre">TyreData!$J$1:$J$7</definedName>
    <definedName name="Weather">TyreData!$L$1:$L$2</definedName>
    <definedName name="Z_58F65609_3622_42C4_9926_1A56B88F9C36_.wvu.Cols" localSheetId="8" hidden="1">'Part Wear Calculator'!$H:$S</definedName>
    <definedName name="Z_58F65609_3622_42C4_9926_1A56B88F9C36_.wvu.Rows" localSheetId="8" hidden="1">'Part Wear Calculator'!$3:$3</definedName>
  </definedNames>
  <calcPr calcId="191029"/>
  <customWorkbookViews>
    <customWorkbookView name="Stuart Foster - Personal View" guid="{58F65609-3622-42C4-9926-1A56B88F9C36}" mergeInterval="0" personalView="1" maximized="1" xWindow="1" yWindow="1" windowWidth="1440" windowHeight="680" tabRatio="682"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 i="20" l="1"/>
  <c r="B10" i="20"/>
  <c r="B8" i="20"/>
  <c r="B9" i="20"/>
  <c r="B7" i="20"/>
  <c r="A66" i="6"/>
  <c r="B66" i="6"/>
  <c r="C66" i="6"/>
  <c r="D66" i="6"/>
  <c r="E66" i="6"/>
  <c r="F19" i="3"/>
  <c r="A65" i="6"/>
  <c r="B65" i="6"/>
  <c r="C65" i="6"/>
  <c r="D65" i="6"/>
  <c r="E65" i="6"/>
  <c r="H65" i="6"/>
  <c r="I16" i="15"/>
  <c r="E16" i="15"/>
  <c r="C16" i="15"/>
  <c r="H40" i="15"/>
  <c r="C40" i="15"/>
  <c r="K28" i="15"/>
  <c r="L28" i="15"/>
  <c r="M28" i="15"/>
  <c r="J28" i="15"/>
  <c r="R29" i="15"/>
  <c r="R35" i="15"/>
  <c r="R41" i="15" s="1"/>
  <c r="R47" i="15" s="1"/>
  <c r="R53" i="15" s="1"/>
  <c r="R59" i="15" s="1"/>
  <c r="R65" i="15" s="1"/>
  <c r="R71" i="15" s="1"/>
  <c r="R77" i="15" s="1"/>
  <c r="R83" i="15" s="1"/>
  <c r="R89" i="15" s="1"/>
  <c r="R95" i="15" s="1"/>
  <c r="R101" i="15" s="1"/>
  <c r="R17" i="15"/>
  <c r="R23" i="15"/>
  <c r="R11" i="15"/>
  <c r="X23" i="15"/>
  <c r="X29" i="15" s="1"/>
  <c r="X35" i="15" s="1"/>
  <c r="X41" i="15" s="1"/>
  <c r="X47" i="15" s="1"/>
  <c r="X53" i="15" s="1"/>
  <c r="X59" i="15" s="1"/>
  <c r="X65" i="15" s="1"/>
  <c r="X71" i="15" s="1"/>
  <c r="X77" i="15" s="1"/>
  <c r="X83" i="15" s="1"/>
  <c r="X89" i="15" s="1"/>
  <c r="X95" i="15" s="1"/>
  <c r="X101" i="15" s="1"/>
  <c r="Y17" i="15"/>
  <c r="Y23" i="15" s="1"/>
  <c r="Y29" i="15" s="1"/>
  <c r="Y35" i="15" s="1"/>
  <c r="Y41" i="15" s="1"/>
  <c r="Y47" i="15" s="1"/>
  <c r="Y53" i="15" s="1"/>
  <c r="Y59" i="15" s="1"/>
  <c r="Y65" i="15" s="1"/>
  <c r="Y71" i="15" s="1"/>
  <c r="Y77" i="15" s="1"/>
  <c r="Y83" i="15" s="1"/>
  <c r="Y89" i="15" s="1"/>
  <c r="Y95" i="15" s="1"/>
  <c r="Y101" i="15" s="1"/>
  <c r="E20" i="24"/>
  <c r="D20" i="24"/>
  <c r="C20" i="24"/>
  <c r="B20" i="24"/>
  <c r="A20" i="24"/>
  <c r="H19" i="24"/>
  <c r="E19" i="24"/>
  <c r="D19" i="24"/>
  <c r="C19" i="24"/>
  <c r="B19" i="24"/>
  <c r="A19" i="24"/>
  <c r="E18" i="24"/>
  <c r="D18" i="24"/>
  <c r="C18" i="24"/>
  <c r="B18" i="24"/>
  <c r="A18" i="24"/>
  <c r="H17" i="24"/>
  <c r="E17" i="24"/>
  <c r="D17" i="24"/>
  <c r="C17" i="24"/>
  <c r="B17" i="24"/>
  <c r="A17" i="24"/>
  <c r="E16" i="24"/>
  <c r="D16" i="24"/>
  <c r="C16" i="24"/>
  <c r="B16" i="24"/>
  <c r="A16" i="24"/>
  <c r="H15" i="24"/>
  <c r="E15" i="24"/>
  <c r="D15" i="24"/>
  <c r="C15" i="24"/>
  <c r="B15" i="24"/>
  <c r="A15" i="24"/>
  <c r="H14" i="24"/>
  <c r="E14" i="24"/>
  <c r="D14" i="24"/>
  <c r="C14" i="24"/>
  <c r="B14" i="24"/>
  <c r="A14" i="24"/>
  <c r="H13" i="24"/>
  <c r="E13" i="24"/>
  <c r="D13" i="24"/>
  <c r="C13" i="24"/>
  <c r="B13" i="24"/>
  <c r="A13" i="24"/>
  <c r="E12" i="24"/>
  <c r="D12" i="24"/>
  <c r="C12" i="24"/>
  <c r="B12" i="24"/>
  <c r="A12" i="24"/>
  <c r="E11" i="24"/>
  <c r="D11" i="24"/>
  <c r="C11" i="24"/>
  <c r="B11" i="24"/>
  <c r="A11" i="24"/>
  <c r="E10" i="24"/>
  <c r="D10" i="24"/>
  <c r="C10" i="24"/>
  <c r="B10" i="24"/>
  <c r="A10" i="24"/>
  <c r="H9" i="24"/>
  <c r="E9" i="24"/>
  <c r="D9" i="24"/>
  <c r="C9" i="24"/>
  <c r="B9" i="24"/>
  <c r="A9" i="24"/>
  <c r="E8" i="24"/>
  <c r="D8" i="24"/>
  <c r="C8" i="24"/>
  <c r="B8" i="24"/>
  <c r="A8" i="24"/>
  <c r="H7" i="24"/>
  <c r="E7" i="24"/>
  <c r="D7" i="24"/>
  <c r="C7" i="24"/>
  <c r="B7" i="24"/>
  <c r="A7" i="24"/>
  <c r="E6" i="24"/>
  <c r="D6" i="24"/>
  <c r="C6" i="24"/>
  <c r="B6" i="24"/>
  <c r="A6" i="24"/>
  <c r="H5" i="24"/>
  <c r="E5" i="24"/>
  <c r="D5" i="24"/>
  <c r="C5" i="24"/>
  <c r="B5" i="24"/>
  <c r="A5" i="24"/>
  <c r="E4" i="24"/>
  <c r="D4" i="24"/>
  <c r="C4" i="24"/>
  <c r="B4" i="24"/>
  <c r="A4" i="24"/>
  <c r="J11" i="3"/>
  <c r="H64" i="6"/>
  <c r="H63" i="6"/>
  <c r="L26" i="15"/>
  <c r="L32" i="15" s="1"/>
  <c r="L38" i="15" s="1"/>
  <c r="L44" i="15" s="1"/>
  <c r="L50" i="15" s="1"/>
  <c r="L56" i="15" s="1"/>
  <c r="L62" i="15" s="1"/>
  <c r="L68" i="15" s="1"/>
  <c r="L74" i="15" s="1"/>
  <c r="L80" i="15" s="1"/>
  <c r="L86" i="15" s="1"/>
  <c r="L92" i="15" s="1"/>
  <c r="E26" i="15"/>
  <c r="E32" i="15" s="1"/>
  <c r="E38" i="15" s="1"/>
  <c r="E44" i="15" s="1"/>
  <c r="E50" i="15" s="1"/>
  <c r="E56" i="15" s="1"/>
  <c r="E62" i="15" s="1"/>
  <c r="E68" i="15" s="1"/>
  <c r="E74" i="15" s="1"/>
  <c r="E80" i="15" s="1"/>
  <c r="E86" i="15" s="1"/>
  <c r="E92" i="15" s="1"/>
  <c r="D26" i="15"/>
  <c r="D32" i="15" s="1"/>
  <c r="D38" i="15" s="1"/>
  <c r="D44" i="15" s="1"/>
  <c r="D50" i="15" s="1"/>
  <c r="D56" i="15" s="1"/>
  <c r="D62" i="15" s="1"/>
  <c r="D68" i="15" s="1"/>
  <c r="D74" i="15" s="1"/>
  <c r="D80" i="15" s="1"/>
  <c r="D86" i="15" s="1"/>
  <c r="D92" i="15" s="1"/>
  <c r="C26" i="15"/>
  <c r="C32" i="15" s="1"/>
  <c r="C38" i="15" s="1"/>
  <c r="C44" i="15" s="1"/>
  <c r="C50" i="15" s="1"/>
  <c r="C56" i="15" s="1"/>
  <c r="C62" i="15" s="1"/>
  <c r="C68" i="15" s="1"/>
  <c r="C74" i="15" s="1"/>
  <c r="C80" i="15" s="1"/>
  <c r="C86" i="15" s="1"/>
  <c r="F26" i="15"/>
  <c r="F32" i="15" s="1"/>
  <c r="F38" i="15" s="1"/>
  <c r="F44" i="15" s="1"/>
  <c r="F50" i="15" s="1"/>
  <c r="F56" i="15" s="1"/>
  <c r="F62" i="15" s="1"/>
  <c r="F68" i="15" s="1"/>
  <c r="F74" i="15" s="1"/>
  <c r="F80" i="15" s="1"/>
  <c r="F86" i="15" s="1"/>
  <c r="F92" i="15" s="1"/>
  <c r="H62" i="6"/>
  <c r="G26" i="15"/>
  <c r="G32" i="15" s="1"/>
  <c r="G38" i="15" s="1"/>
  <c r="G44" i="15" s="1"/>
  <c r="G50" i="15" s="1"/>
  <c r="G56" i="15" s="1"/>
  <c r="G62" i="15" s="1"/>
  <c r="G68" i="15" s="1"/>
  <c r="G74" i="15" s="1"/>
  <c r="G80" i="15" s="1"/>
  <c r="G86" i="15" s="1"/>
  <c r="G92" i="15" s="1"/>
  <c r="K26" i="15"/>
  <c r="K32" i="15" s="1"/>
  <c r="K38" i="15" s="1"/>
  <c r="K44" i="15" s="1"/>
  <c r="K50" i="15" s="1"/>
  <c r="K56" i="15" s="1"/>
  <c r="K62" i="15" s="1"/>
  <c r="K68" i="15" s="1"/>
  <c r="K74" i="15" s="1"/>
  <c r="K80" i="15" s="1"/>
  <c r="K86" i="15" s="1"/>
  <c r="K92" i="15" s="1"/>
  <c r="E5" i="3"/>
  <c r="I26" i="15"/>
  <c r="I32" i="15" s="1"/>
  <c r="I38" i="15" s="1"/>
  <c r="I44" i="15" s="1"/>
  <c r="I50" i="15" s="1"/>
  <c r="I56" i="15" s="1"/>
  <c r="I62" i="15" s="1"/>
  <c r="I68" i="15" s="1"/>
  <c r="I74" i="15" s="1"/>
  <c r="I80" i="15" s="1"/>
  <c r="I86" i="15" s="1"/>
  <c r="Z17" i="15"/>
  <c r="Z23" i="15" s="1"/>
  <c r="Z35" i="15" s="1"/>
  <c r="H26" i="15"/>
  <c r="H32" i="15" s="1"/>
  <c r="H38" i="15" s="1"/>
  <c r="H44" i="15" s="1"/>
  <c r="H50" i="15" s="1"/>
  <c r="H56" i="15" s="1"/>
  <c r="H62" i="15" s="1"/>
  <c r="H68" i="15" s="1"/>
  <c r="H74" i="15" s="1"/>
  <c r="H80" i="15" s="1"/>
  <c r="H86" i="15" s="1"/>
  <c r="J26" i="15"/>
  <c r="J32" i="15" s="1"/>
  <c r="J38" i="15" s="1"/>
  <c r="J44" i="15" s="1"/>
  <c r="J50" i="15" s="1"/>
  <c r="J56" i="15" s="1"/>
  <c r="J62" i="15" s="1"/>
  <c r="J68" i="15" s="1"/>
  <c r="J74" i="15" s="1"/>
  <c r="J80" i="15" s="1"/>
  <c r="J86" i="15" s="1"/>
  <c r="J92" i="15" s="1"/>
  <c r="H61" i="6"/>
  <c r="H53" i="6"/>
  <c r="H54" i="6"/>
  <c r="H55" i="6"/>
  <c r="H56" i="6"/>
  <c r="H57" i="6"/>
  <c r="H58" i="6"/>
  <c r="H59" i="6"/>
  <c r="H60" i="6"/>
  <c r="H29" i="6"/>
  <c r="H30" i="6"/>
  <c r="H31" i="6"/>
  <c r="H32" i="6"/>
  <c r="H33" i="6"/>
  <c r="H34" i="6"/>
  <c r="H35" i="6"/>
  <c r="H36" i="6"/>
  <c r="H37" i="6"/>
  <c r="H38" i="6"/>
  <c r="H39" i="6"/>
  <c r="H40" i="6"/>
  <c r="H41" i="6"/>
  <c r="H42" i="6"/>
  <c r="H43" i="6"/>
  <c r="H44" i="6"/>
  <c r="H45" i="6"/>
  <c r="H46" i="6"/>
  <c r="H47" i="6"/>
  <c r="H48" i="6"/>
  <c r="H49" i="6"/>
  <c r="H50" i="6"/>
  <c r="H51" i="6"/>
  <c r="H52" i="6"/>
  <c r="V3" i="24"/>
  <c r="W3" i="24"/>
  <c r="X3" i="24"/>
  <c r="Y3" i="24"/>
  <c r="Z3" i="24"/>
  <c r="AA3" i="24"/>
  <c r="AB3" i="24"/>
  <c r="AC3" i="24"/>
  <c r="AD3" i="24"/>
  <c r="U3" i="24"/>
  <c r="T3" i="24"/>
  <c r="J19" i="3"/>
  <c r="V11" i="15"/>
  <c r="V17" i="15" s="1"/>
  <c r="V23" i="15" s="1"/>
  <c r="V29" i="15" s="1"/>
  <c r="V35" i="15" s="1"/>
  <c r="V41" i="15" s="1"/>
  <c r="V47" i="15" s="1"/>
  <c r="V53" i="15" s="1"/>
  <c r="V59" i="15" s="1"/>
  <c r="V65" i="15" s="1"/>
  <c r="V71" i="15" s="1"/>
  <c r="V77" i="15" s="1"/>
  <c r="V83" i="15" s="1"/>
  <c r="V89" i="15" s="1"/>
  <c r="V95" i="15" s="1"/>
  <c r="V101" i="15" s="1"/>
  <c r="T11" i="15"/>
  <c r="T17" i="15" s="1"/>
  <c r="T23" i="15" s="1"/>
  <c r="T29" i="15" s="1"/>
  <c r="T35" i="15" s="1"/>
  <c r="T41" i="15" s="1"/>
  <c r="T47" i="15" s="1"/>
  <c r="T53" i="15" s="1"/>
  <c r="T59" i="15" s="1"/>
  <c r="T65" i="15" s="1"/>
  <c r="T71" i="15" s="1"/>
  <c r="T77" i="15" s="1"/>
  <c r="T83" i="15" s="1"/>
  <c r="T89" i="15" s="1"/>
  <c r="T95" i="15" s="1"/>
  <c r="T101" i="15" s="1"/>
  <c r="U23" i="15"/>
  <c r="U29" i="15" s="1"/>
  <c r="U35" i="15" s="1"/>
  <c r="U41" i="15" s="1"/>
  <c r="U47" i="15" s="1"/>
  <c r="U53" i="15" s="1"/>
  <c r="U59" i="15" s="1"/>
  <c r="U71" i="15" s="1"/>
  <c r="U77" i="15" s="1"/>
  <c r="U83" i="15" s="1"/>
  <c r="U89" i="15" s="1"/>
  <c r="U95" i="15" s="1"/>
  <c r="U101" i="15" s="1"/>
  <c r="AB5" i="15"/>
  <c r="AA11" i="15" s="1"/>
  <c r="W11" i="15"/>
  <c r="W17" i="15" s="1"/>
  <c r="W23" i="15" s="1"/>
  <c r="W29" i="15" s="1"/>
  <c r="W35" i="15" s="1"/>
  <c r="W41" i="15" s="1"/>
  <c r="W47" i="15" s="1"/>
  <c r="W53" i="15" s="1"/>
  <c r="W59" i="15" s="1"/>
  <c r="W65" i="15" s="1"/>
  <c r="W71" i="15" s="1"/>
  <c r="W77" i="15" s="1"/>
  <c r="W83" i="15" s="1"/>
  <c r="W89" i="15" s="1"/>
  <c r="W95" i="15" s="1"/>
  <c r="W101" i="15" s="1"/>
  <c r="S11" i="15"/>
  <c r="S29" i="15" s="1"/>
  <c r="S35" i="15" s="1"/>
  <c r="S41" i="15" s="1"/>
  <c r="S47" i="15" s="1"/>
  <c r="S53" i="15" s="1"/>
  <c r="S59" i="15" s="1"/>
  <c r="S65" i="15" s="1"/>
  <c r="S71" i="15" s="1"/>
  <c r="S77" i="15" s="1"/>
  <c r="S83" i="15" s="1"/>
  <c r="S89" i="15" s="1"/>
  <c r="S95" i="15" s="1"/>
  <c r="S101" i="15" s="1"/>
  <c r="Q17" i="15"/>
  <c r="Q23" i="15" s="1"/>
  <c r="Q29" i="15" s="1"/>
  <c r="Q35" i="15" s="1"/>
  <c r="Q41" i="15" s="1"/>
  <c r="Q47" i="15" s="1"/>
  <c r="Q53" i="15" s="1"/>
  <c r="Q59" i="15" s="1"/>
  <c r="Q65" i="15" s="1"/>
  <c r="Q71" i="15" s="1"/>
  <c r="Q77" i="15" s="1"/>
  <c r="Q83" i="15" s="1"/>
  <c r="Q89" i="15" s="1"/>
  <c r="Q95" i="15" s="1"/>
  <c r="Q101" i="15" s="1"/>
  <c r="P11" i="15"/>
  <c r="P17" i="15" s="1"/>
  <c r="P23" i="15" s="1"/>
  <c r="P29" i="15" s="1"/>
  <c r="P35" i="15" s="1"/>
  <c r="P41" i="15" s="1"/>
  <c r="P47" i="15" s="1"/>
  <c r="P53" i="15" s="1"/>
  <c r="P59" i="15" s="1"/>
  <c r="P65" i="15" s="1"/>
  <c r="P71" i="15" s="1"/>
  <c r="P77" i="15" s="1"/>
  <c r="P83" i="15" s="1"/>
  <c r="P89" i="15" s="1"/>
  <c r="P95" i="15" s="1"/>
  <c r="P101" i="15" s="1"/>
  <c r="O11" i="15"/>
  <c r="O17" i="15" s="1"/>
  <c r="O23" i="15" s="1"/>
  <c r="O29" i="15" s="1"/>
  <c r="O35" i="15" s="1"/>
  <c r="O41" i="15" s="1"/>
  <c r="O47" i="15" s="1"/>
  <c r="O53" i="15" s="1"/>
  <c r="O59" i="15" s="1"/>
  <c r="O65" i="15" s="1"/>
  <c r="O71" i="15" s="1"/>
  <c r="O77" i="15" s="1"/>
  <c r="O83" i="15" s="1"/>
  <c r="O89" i="15" s="1"/>
  <c r="O95" i="15" s="1"/>
  <c r="O101" i="15" s="1"/>
  <c r="C10" i="15"/>
  <c r="D10" i="15"/>
  <c r="D28" i="15" s="1"/>
  <c r="D40" i="15" s="1"/>
  <c r="E10" i="15"/>
  <c r="F10" i="15"/>
  <c r="F16" i="15" s="1"/>
  <c r="F22" i="15" s="1"/>
  <c r="F34" i="15" s="1"/>
  <c r="G10" i="15"/>
  <c r="H10" i="15"/>
  <c r="I10" i="15"/>
  <c r="J10" i="15"/>
  <c r="J16" i="15" s="1"/>
  <c r="J22" i="15" s="1"/>
  <c r="J34" i="15" s="1"/>
  <c r="J40" i="15" s="1"/>
  <c r="J46" i="15" s="1"/>
  <c r="J52" i="15" s="1"/>
  <c r="J58" i="15" s="1"/>
  <c r="J64" i="15" s="1"/>
  <c r="J70" i="15" s="1"/>
  <c r="J76" i="15" s="1"/>
  <c r="J82" i="15" s="1"/>
  <c r="J88" i="15" s="1"/>
  <c r="J94" i="15" s="1"/>
  <c r="J100" i="15" s="1"/>
  <c r="K10" i="15"/>
  <c r="K16" i="15" s="1"/>
  <c r="K22" i="15" s="1"/>
  <c r="K34" i="15" s="1"/>
  <c r="K40" i="15" s="1"/>
  <c r="K46" i="15" s="1"/>
  <c r="K52" i="15" s="1"/>
  <c r="K58" i="15" s="1"/>
  <c r="K64" i="15" s="1"/>
  <c r="K70" i="15" s="1"/>
  <c r="K76" i="15" s="1"/>
  <c r="K82" i="15" s="1"/>
  <c r="K88" i="15" s="1"/>
  <c r="K94" i="15" s="1"/>
  <c r="K100" i="15" s="1"/>
  <c r="L10" i="15"/>
  <c r="L16" i="15" s="1"/>
  <c r="L22" i="15" s="1"/>
  <c r="L34" i="15" s="1"/>
  <c r="L40" i="15" s="1"/>
  <c r="L46" i="15" s="1"/>
  <c r="L52" i="15" s="1"/>
  <c r="L58" i="15" s="1"/>
  <c r="L64" i="15" s="1"/>
  <c r="L70" i="15" s="1"/>
  <c r="L76" i="15" s="1"/>
  <c r="L82" i="15" s="1"/>
  <c r="L88" i="15" s="1"/>
  <c r="L94" i="15" s="1"/>
  <c r="L100" i="15" s="1"/>
  <c r="M10" i="15"/>
  <c r="M16" i="15" s="1"/>
  <c r="Q13" i="9"/>
  <c r="S13" i="9" s="1"/>
  <c r="Q14" i="9"/>
  <c r="S14" i="9" s="1"/>
  <c r="Q15" i="9"/>
  <c r="S15" i="9" s="1"/>
  <c r="Q16" i="9"/>
  <c r="S16" i="9" s="1"/>
  <c r="Q17" i="9"/>
  <c r="S17" i="9" s="1"/>
  <c r="Y14" i="9"/>
  <c r="Y15" i="9"/>
  <c r="Y16" i="9"/>
  <c r="Y17" i="9"/>
  <c r="Y13" i="9"/>
  <c r="X14" i="9"/>
  <c r="X15" i="9"/>
  <c r="X16" i="9"/>
  <c r="X17" i="9"/>
  <c r="X13" i="9"/>
  <c r="W14" i="9"/>
  <c r="W15" i="9"/>
  <c r="W16" i="9"/>
  <c r="W17" i="9"/>
  <c r="W13" i="9"/>
  <c r="V14" i="9"/>
  <c r="V15" i="9"/>
  <c r="V16" i="9"/>
  <c r="V17" i="9"/>
  <c r="V13" i="9"/>
  <c r="U14" i="9"/>
  <c r="U15" i="9"/>
  <c r="U16" i="9"/>
  <c r="U17" i="9"/>
  <c r="U13" i="9"/>
  <c r="G19" i="3"/>
  <c r="O1" i="9"/>
  <c r="E15" i="3" s="1"/>
  <c r="E4" i="3" s="1"/>
  <c r="B23" i="3"/>
  <c r="F40" i="15" l="1"/>
  <c r="F46" i="15" s="1"/>
  <c r="F52" i="15" s="1"/>
  <c r="F58" i="15" s="1"/>
  <c r="F64" i="15" s="1"/>
  <c r="F70" i="15" s="1"/>
  <c r="F76" i="15" s="1"/>
  <c r="F82" i="15" s="1"/>
  <c r="F88" i="15" s="1"/>
  <c r="F94" i="15" s="1"/>
  <c r="F100" i="15" s="1"/>
  <c r="I92" i="15"/>
  <c r="I98" i="15" s="1"/>
  <c r="H92" i="15"/>
  <c r="H98" i="15" s="1"/>
  <c r="K98" i="15"/>
  <c r="F98" i="15"/>
  <c r="D98" i="15"/>
  <c r="C92" i="15"/>
  <c r="C98" i="15" s="1"/>
  <c r="J98" i="15"/>
  <c r="T17" i="24"/>
  <c r="T14" i="24"/>
  <c r="T5" i="24"/>
  <c r="V7" i="24"/>
  <c r="W17" i="24"/>
  <c r="T10" i="24"/>
  <c r="U14" i="24"/>
  <c r="U11" i="24"/>
  <c r="U5" i="24"/>
  <c r="U7" i="24"/>
  <c r="U15" i="24"/>
  <c r="U17" i="24"/>
  <c r="U19" i="24"/>
  <c r="U4" i="24"/>
  <c r="AD5" i="24"/>
  <c r="AD11" i="24"/>
  <c r="AD7" i="24"/>
  <c r="AD15" i="24"/>
  <c r="AD17" i="24"/>
  <c r="AD19" i="24"/>
  <c r="AD9" i="24"/>
  <c r="AD14" i="24"/>
  <c r="AD4" i="24"/>
  <c r="AD12" i="24"/>
  <c r="AD10" i="24"/>
  <c r="AD6" i="24"/>
  <c r="AD8" i="24"/>
  <c r="AD16" i="24"/>
  <c r="AD18" i="24"/>
  <c r="AD20" i="24"/>
  <c r="AC9" i="24"/>
  <c r="AC13" i="24"/>
  <c r="Z4" i="24"/>
  <c r="Z11" i="24"/>
  <c r="Y13" i="24"/>
  <c r="Y18" i="24"/>
  <c r="X11" i="24"/>
  <c r="W5" i="24"/>
  <c r="W15" i="24"/>
  <c r="W4" i="24"/>
  <c r="W12" i="24"/>
  <c r="W8" i="24"/>
  <c r="W10" i="24"/>
  <c r="V15" i="24"/>
  <c r="V6" i="24"/>
  <c r="V17" i="24"/>
  <c r="V14" i="24"/>
  <c r="V19" i="24"/>
  <c r="V5" i="24"/>
  <c r="V20" i="24"/>
  <c r="T4" i="24"/>
  <c r="T7" i="24"/>
  <c r="T13" i="24"/>
  <c r="T19" i="24"/>
  <c r="T11" i="24"/>
  <c r="T16" i="24"/>
  <c r="T6" i="24"/>
  <c r="T15" i="24"/>
  <c r="T18" i="24"/>
  <c r="W20" i="24"/>
  <c r="X20" i="24"/>
  <c r="Y20" i="24"/>
  <c r="T20" i="24"/>
  <c r="Z20" i="24"/>
  <c r="U20" i="24"/>
  <c r="AA20" i="24"/>
  <c r="AB20" i="24"/>
  <c r="AC20" i="24"/>
  <c r="W19" i="24"/>
  <c r="X19" i="24"/>
  <c r="Y19" i="24"/>
  <c r="Z19" i="24"/>
  <c r="AA19" i="24"/>
  <c r="AB19" i="24"/>
  <c r="AC19" i="24"/>
  <c r="U18" i="24"/>
  <c r="V18" i="24"/>
  <c r="W18" i="24"/>
  <c r="X18" i="24"/>
  <c r="Z18" i="24"/>
  <c r="AA18" i="24"/>
  <c r="AB18" i="24"/>
  <c r="AC18" i="24"/>
  <c r="X17" i="24"/>
  <c r="Y17" i="24"/>
  <c r="Z17" i="24"/>
  <c r="AA17" i="24"/>
  <c r="AB17" i="24"/>
  <c r="AC17" i="24"/>
  <c r="U16" i="24"/>
  <c r="V16" i="24"/>
  <c r="W16" i="24"/>
  <c r="X16" i="24"/>
  <c r="Y16" i="24"/>
  <c r="Z16" i="24"/>
  <c r="AA16" i="24"/>
  <c r="AB16" i="24"/>
  <c r="AC16" i="24"/>
  <c r="X15" i="24"/>
  <c r="Y15" i="24"/>
  <c r="Z15" i="24"/>
  <c r="AA15" i="24"/>
  <c r="AB15" i="24"/>
  <c r="AC15" i="24"/>
  <c r="W14" i="24"/>
  <c r="X14" i="24"/>
  <c r="Y14" i="24"/>
  <c r="Z14" i="24"/>
  <c r="AA14" i="24"/>
  <c r="AB14" i="24"/>
  <c r="AC14" i="24"/>
  <c r="AD13" i="24"/>
  <c r="U13" i="24"/>
  <c r="V13" i="24"/>
  <c r="W13" i="24"/>
  <c r="X13" i="24"/>
  <c r="Z13" i="24"/>
  <c r="AA13" i="24"/>
  <c r="AB13" i="24"/>
  <c r="T12" i="24"/>
  <c r="U12" i="24"/>
  <c r="V12" i="24"/>
  <c r="X12" i="24"/>
  <c r="Y12" i="24"/>
  <c r="Z12" i="24"/>
  <c r="AA12" i="24"/>
  <c r="AB12" i="24"/>
  <c r="AC12" i="24"/>
  <c r="V11" i="24"/>
  <c r="W11" i="24"/>
  <c r="Y11" i="24"/>
  <c r="AA11" i="24"/>
  <c r="AB11" i="24"/>
  <c r="AC11" i="24"/>
  <c r="U10" i="24"/>
  <c r="V10" i="24"/>
  <c r="X10" i="24"/>
  <c r="Y10" i="24"/>
  <c r="Z10" i="24"/>
  <c r="AA10" i="24"/>
  <c r="AB10" i="24"/>
  <c r="AC10" i="24"/>
  <c r="T9" i="24"/>
  <c r="U9" i="24"/>
  <c r="V9" i="24"/>
  <c r="W9" i="24"/>
  <c r="X9" i="24"/>
  <c r="Y9" i="24"/>
  <c r="Z9" i="24"/>
  <c r="AA9" i="24"/>
  <c r="AB9" i="24"/>
  <c r="T8" i="24"/>
  <c r="U8" i="24"/>
  <c r="V8" i="24"/>
  <c r="X8" i="24"/>
  <c r="Y8" i="24"/>
  <c r="Z8" i="24"/>
  <c r="AA8" i="24"/>
  <c r="AB8" i="24"/>
  <c r="AC8" i="24"/>
  <c r="W7" i="24"/>
  <c r="X7" i="24"/>
  <c r="Y7" i="24"/>
  <c r="Z7" i="24"/>
  <c r="AA7" i="24"/>
  <c r="AB7" i="24"/>
  <c r="AC7" i="24"/>
  <c r="U6" i="24"/>
  <c r="W6" i="24"/>
  <c r="X6" i="24"/>
  <c r="Y6" i="24"/>
  <c r="Z6" i="24"/>
  <c r="AA6" i="24"/>
  <c r="AB6" i="24"/>
  <c r="AC6" i="24"/>
  <c r="X5" i="24"/>
  <c r="Y5" i="24"/>
  <c r="Z5" i="24"/>
  <c r="AA5" i="24"/>
  <c r="AB5" i="24"/>
  <c r="AC5" i="24"/>
  <c r="V4" i="24"/>
  <c r="X4" i="24"/>
  <c r="Y4" i="24"/>
  <c r="AA4" i="24"/>
  <c r="AB4" i="24"/>
  <c r="AC4" i="24"/>
  <c r="L98" i="15"/>
  <c r="E98" i="15"/>
  <c r="G98" i="15"/>
  <c r="D52" i="15"/>
  <c r="M26" i="15"/>
  <c r="M32" i="15" s="1"/>
  <c r="M38" i="15" s="1"/>
  <c r="M44" i="15" s="1"/>
  <c r="M50" i="15" s="1"/>
  <c r="M56" i="15" s="1"/>
  <c r="M62" i="15" s="1"/>
  <c r="M68" i="15" s="1"/>
  <c r="M74" i="15" s="1"/>
  <c r="M80" i="15" s="1"/>
  <c r="M86" i="15" s="1"/>
  <c r="G16" i="15"/>
  <c r="G22" i="15" s="1"/>
  <c r="G34" i="15" s="1"/>
  <c r="C22" i="15"/>
  <c r="C28" i="15" s="1"/>
  <c r="C46" i="15" s="1"/>
  <c r="C52" i="15" s="1"/>
  <c r="C58" i="15" s="1"/>
  <c r="C64" i="15" s="1"/>
  <c r="C70" i="15" s="1"/>
  <c r="C76" i="15" s="1"/>
  <c r="C82" i="15" s="1"/>
  <c r="C88" i="15" s="1"/>
  <c r="C94" i="15" s="1"/>
  <c r="C100" i="15" s="1"/>
  <c r="E22" i="15"/>
  <c r="E40" i="15" s="1"/>
  <c r="E46" i="15" s="1"/>
  <c r="E52" i="15" s="1"/>
  <c r="E58" i="15" s="1"/>
  <c r="E64" i="15" s="1"/>
  <c r="E70" i="15" s="1"/>
  <c r="E76" i="15" s="1"/>
  <c r="E82" i="15" s="1"/>
  <c r="E88" i="15" s="1"/>
  <c r="E94" i="15" s="1"/>
  <c r="E100" i="15" s="1"/>
  <c r="H16" i="15"/>
  <c r="H22" i="15" s="1"/>
  <c r="H28" i="15" s="1"/>
  <c r="H34" i="15" s="1"/>
  <c r="H46" i="15" s="1"/>
  <c r="H52" i="15" s="1"/>
  <c r="H58" i="15" s="1"/>
  <c r="H64" i="15" s="1"/>
  <c r="H70" i="15" s="1"/>
  <c r="H76" i="15" s="1"/>
  <c r="H82" i="15" s="1"/>
  <c r="H88" i="15" s="1"/>
  <c r="H94" i="15" s="1"/>
  <c r="H100" i="15" s="1"/>
  <c r="I22" i="15"/>
  <c r="I28" i="15" s="1"/>
  <c r="I40" i="15" s="1"/>
  <c r="I46" i="15" s="1"/>
  <c r="I52" i="15" s="1"/>
  <c r="I58" i="15" s="1"/>
  <c r="I64" i="15" s="1"/>
  <c r="I70" i="15" s="1"/>
  <c r="I76" i="15" s="1"/>
  <c r="I82" i="15" s="1"/>
  <c r="I88" i="15" s="1"/>
  <c r="I94" i="15" s="1"/>
  <c r="I100" i="15" s="1"/>
  <c r="M22" i="15"/>
  <c r="M34" i="15" s="1"/>
  <c r="M40" i="15" s="1"/>
  <c r="M52" i="15" s="1"/>
  <c r="M58" i="15" s="1"/>
  <c r="M64" i="15" s="1"/>
  <c r="M70" i="15" s="1"/>
  <c r="M76" i="15" s="1"/>
  <c r="M82" i="15" s="1"/>
  <c r="M88" i="15" s="1"/>
  <c r="M94" i="15" s="1"/>
  <c r="M100" i="15" s="1"/>
  <c r="Z41" i="15"/>
  <c r="Z47" i="15" s="1"/>
  <c r="Z53" i="15" s="1"/>
  <c r="Z59" i="15" s="1"/>
  <c r="G40" i="15" l="1"/>
  <c r="G46" i="15" s="1"/>
  <c r="G52" i="15" s="1"/>
  <c r="G58" i="15" s="1"/>
  <c r="G64" i="15" s="1"/>
  <c r="G70" i="15" s="1"/>
  <c r="G76" i="15" s="1"/>
  <c r="G82" i="15" s="1"/>
  <c r="G88" i="15" s="1"/>
  <c r="G94" i="15" s="1"/>
  <c r="G100" i="15" s="1"/>
  <c r="M92" i="15"/>
  <c r="M98" i="15" s="1"/>
  <c r="Z65" i="15"/>
  <c r="Z71" i="15" s="1"/>
  <c r="D58" i="15"/>
  <c r="D64" i="15" s="1"/>
  <c r="D70" i="15" s="1"/>
  <c r="D76" i="15" s="1"/>
  <c r="D82" i="15" s="1"/>
  <c r="D88" i="15" s="1"/>
  <c r="D94" i="15" s="1"/>
  <c r="D100" i="15" s="1"/>
  <c r="D9" i="19"/>
  <c r="B8" i="3"/>
  <c r="Z77" i="15" l="1"/>
  <c r="Z83" i="15" s="1"/>
  <c r="Z89" i="15" s="1"/>
  <c r="Z95" i="15" s="1"/>
  <c r="Z101" i="15" s="1"/>
  <c r="Q8" i="4"/>
  <c r="K18" i="4"/>
  <c r="Q7" i="4"/>
  <c r="K17" i="4"/>
  <c r="Q6" i="4" l="1"/>
  <c r="K16" i="4"/>
  <c r="Q5" i="4"/>
  <c r="K15" i="4"/>
  <c r="Q4" i="4"/>
  <c r="Q3" i="4" s="1"/>
  <c r="K14" i="4"/>
  <c r="K13" i="4" s="1"/>
  <c r="P8" i="4"/>
  <c r="J18" i="4"/>
  <c r="P7" i="4"/>
  <c r="J17" i="4"/>
  <c r="P6" i="4"/>
  <c r="J16" i="4"/>
  <c r="P5" i="4"/>
  <c r="J15" i="4"/>
  <c r="P4" i="4"/>
  <c r="P3" i="4" s="1"/>
  <c r="J14" i="4"/>
  <c r="J13" i="4" s="1"/>
  <c r="C35" i="4"/>
  <c r="C36" i="4"/>
  <c r="J22" i="3"/>
  <c r="J24" i="3"/>
  <c r="J23" i="3"/>
  <c r="J21" i="3"/>
  <c r="J20" i="3"/>
  <c r="J15" i="3"/>
  <c r="J14" i="3"/>
  <c r="J13" i="3"/>
  <c r="J12" i="3"/>
  <c r="E9" i="3"/>
  <c r="D9" i="3"/>
  <c r="J5" i="3"/>
  <c r="I5" i="3"/>
  <c r="H5" i="3"/>
  <c r="G5" i="3"/>
  <c r="F5" i="3"/>
  <c r="C5" i="3"/>
  <c r="C2" i="3"/>
  <c r="B11" i="3"/>
  <c r="B10" i="3"/>
  <c r="B9" i="3"/>
  <c r="B7" i="3"/>
  <c r="E14" i="3" s="1"/>
  <c r="B13" i="3"/>
  <c r="K24" i="3"/>
  <c r="K23" i="3"/>
  <c r="K22" i="3"/>
  <c r="K19" i="3"/>
  <c r="K20" i="3"/>
  <c r="K21" i="3"/>
  <c r="H23" i="3"/>
  <c r="H22" i="3"/>
  <c r="I24" i="3"/>
  <c r="I23" i="3"/>
  <c r="I22" i="3"/>
  <c r="I21" i="3"/>
  <c r="I20" i="3"/>
  <c r="I19" i="3"/>
  <c r="H19" i="3" l="1"/>
  <c r="H24" i="3"/>
  <c r="H21" i="3" l="1"/>
  <c r="H20" i="3"/>
  <c r="G22" i="3"/>
  <c r="L26" i="3"/>
  <c r="B3" i="20"/>
  <c r="B27" i="4" s="1"/>
  <c r="D29" i="4" s="1"/>
  <c r="B4" i="20"/>
  <c r="B5" i="20"/>
  <c r="H15" i="4"/>
  <c r="C31" i="4"/>
  <c r="B24" i="4"/>
  <c r="J2" i="20"/>
  <c r="I2" i="20"/>
  <c r="H2" i="20"/>
  <c r="G2" i="20"/>
  <c r="F2" i="20"/>
  <c r="E2" i="20"/>
  <c r="D2" i="20"/>
  <c r="C2" i="20"/>
  <c r="F10" i="16"/>
  <c r="F11" i="16" s="1"/>
  <c r="F12" i="16" s="1"/>
  <c r="F13" i="16" s="1"/>
  <c r="F14" i="16" s="1"/>
  <c r="F15" i="16" s="1"/>
  <c r="F16" i="16" s="1"/>
  <c r="F17" i="16" s="1"/>
  <c r="F18" i="16" s="1"/>
  <c r="F19" i="16" s="1"/>
  <c r="F20" i="16" s="1"/>
  <c r="F21" i="16" s="1"/>
  <c r="F22" i="16" s="1"/>
  <c r="F23" i="16" s="1"/>
  <c r="F24" i="16" s="1"/>
  <c r="F25" i="16" s="1"/>
  <c r="F26" i="16" s="1"/>
  <c r="F27" i="16" s="1"/>
  <c r="F28" i="16" s="1"/>
  <c r="F29" i="16" s="1"/>
  <c r="F30" i="16" s="1"/>
  <c r="F31" i="16" s="1"/>
  <c r="F32" i="16" s="1"/>
  <c r="F33" i="16" s="1"/>
  <c r="F34" i="16" s="1"/>
  <c r="F35" i="16" s="1"/>
  <c r="F36" i="16" s="1"/>
  <c r="F37" i="16" s="1"/>
  <c r="F38" i="16" s="1"/>
  <c r="F39" i="16" s="1"/>
  <c r="F40" i="16" s="1"/>
  <c r="F41" i="16" s="1"/>
  <c r="F42" i="16" s="1"/>
  <c r="F43" i="16" s="1"/>
  <c r="F44" i="16" s="1"/>
  <c r="F45" i="16" s="1"/>
  <c r="F46" i="16" s="1"/>
  <c r="F47" i="16" s="1"/>
  <c r="F48" i="16" s="1"/>
  <c r="F49" i="16" s="1"/>
  <c r="F50" i="16" s="1"/>
  <c r="F51" i="16" s="1"/>
  <c r="F52" i="16" s="1"/>
  <c r="F53" i="16" s="1"/>
  <c r="F54" i="16" s="1"/>
  <c r="F55" i="16" s="1"/>
  <c r="F56" i="16" s="1"/>
  <c r="F57" i="16" s="1"/>
  <c r="F58" i="16" s="1"/>
  <c r="F59" i="16" s="1"/>
  <c r="F60" i="16" s="1"/>
  <c r="F61" i="16" s="1"/>
  <c r="F62" i="16" s="1"/>
  <c r="F63" i="16" s="1"/>
  <c r="F64" i="16" s="1"/>
  <c r="F65" i="16" s="1"/>
  <c r="F66" i="16" s="1"/>
  <c r="F67" i="16" s="1"/>
  <c r="F68" i="16" s="1"/>
  <c r="F69" i="16" s="1"/>
  <c r="F70" i="16" s="1"/>
  <c r="F71" i="16" s="1"/>
  <c r="F72" i="16" s="1"/>
  <c r="F73" i="16" s="1"/>
  <c r="F74" i="16" s="1"/>
  <c r="F75" i="16" s="1"/>
  <c r="F76" i="16" s="1"/>
  <c r="F77" i="16" s="1"/>
  <c r="F78" i="16" s="1"/>
  <c r="F79" i="16" s="1"/>
  <c r="F80" i="16" s="1"/>
  <c r="F81" i="16" s="1"/>
  <c r="F82" i="16" s="1"/>
  <c r="F83" i="16" s="1"/>
  <c r="F84" i="16" s="1"/>
  <c r="F85" i="16" s="1"/>
  <c r="F86" i="16" s="1"/>
  <c r="F87" i="16" s="1"/>
  <c r="F88" i="16" s="1"/>
  <c r="F89" i="16" s="1"/>
  <c r="F90" i="16" s="1"/>
  <c r="F91" i="16" s="1"/>
  <c r="F92" i="16" s="1"/>
  <c r="F93" i="16" s="1"/>
  <c r="F94" i="16" s="1"/>
  <c r="F95" i="16" s="1"/>
  <c r="F96" i="16" s="1"/>
  <c r="F97" i="16" s="1"/>
  <c r="F98" i="16" s="1"/>
  <c r="F99" i="16" s="1"/>
  <c r="F100" i="16" s="1"/>
  <c r="F101" i="16" s="1"/>
  <c r="F102" i="16" s="1"/>
  <c r="F103" i="16" s="1"/>
  <c r="F104" i="16" s="1"/>
  <c r="F105" i="16" s="1"/>
  <c r="F106" i="16" s="1"/>
  <c r="F107" i="16" s="1"/>
  <c r="F108" i="16" s="1"/>
  <c r="F109" i="16" s="1"/>
  <c r="I4" i="3" l="1"/>
  <c r="G4" i="3"/>
  <c r="J4" i="3"/>
  <c r="H4" i="3"/>
  <c r="F4" i="3"/>
  <c r="E122" i="18"/>
  <c r="C10" i="16"/>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P15" i="16"/>
  <c r="P16" i="16" s="1"/>
  <c r="P17" i="16" s="1"/>
  <c r="P18" i="16" s="1"/>
  <c r="H30" i="4"/>
  <c r="B119" i="18"/>
  <c r="C118" i="18"/>
  <c r="B116" i="18"/>
  <c r="B42" i="15" l="1"/>
  <c r="B102" i="15"/>
  <c r="B96" i="15"/>
  <c r="B90" i="15"/>
  <c r="C90" i="15" s="1"/>
  <c r="B84" i="15"/>
  <c r="B78" i="15"/>
  <c r="C78" i="15" s="1"/>
  <c r="B72" i="15"/>
  <c r="B66" i="15"/>
  <c r="C66" i="15" s="1"/>
  <c r="B60" i="15"/>
  <c r="C60" i="15" s="1"/>
  <c r="B54" i="15"/>
  <c r="C54" i="15" s="1"/>
  <c r="B48" i="15"/>
  <c r="B24" i="15"/>
  <c r="B36" i="15"/>
  <c r="B30" i="15"/>
  <c r="B18" i="15"/>
  <c r="B12" i="15"/>
  <c r="C12" i="15" s="1"/>
  <c r="B6" i="15"/>
  <c r="D12" i="17"/>
  <c r="C24" i="15" l="1"/>
  <c r="H24" i="15"/>
  <c r="M18" i="15"/>
  <c r="K18" i="15"/>
  <c r="I18" i="15"/>
  <c r="F18" i="15"/>
  <c r="D18" i="15"/>
  <c r="L18" i="15"/>
  <c r="J18" i="15"/>
  <c r="H18" i="15"/>
  <c r="G18" i="15"/>
  <c r="E18" i="15"/>
  <c r="C48" i="15"/>
  <c r="M48" i="15"/>
  <c r="K48" i="15"/>
  <c r="I48" i="15"/>
  <c r="E48" i="15"/>
  <c r="H48" i="15"/>
  <c r="L48" i="15"/>
  <c r="J48" i="15"/>
  <c r="G48" i="15"/>
  <c r="F48" i="15"/>
  <c r="D48" i="15"/>
  <c r="M60" i="15"/>
  <c r="K60" i="15"/>
  <c r="I60" i="15"/>
  <c r="E60" i="15"/>
  <c r="L60" i="15"/>
  <c r="J60" i="15"/>
  <c r="H60" i="15"/>
  <c r="G60" i="15"/>
  <c r="F60" i="15"/>
  <c r="D60" i="15"/>
  <c r="M72" i="15"/>
  <c r="K72" i="15"/>
  <c r="I72" i="15"/>
  <c r="E72" i="15"/>
  <c r="L72" i="15"/>
  <c r="J72" i="15"/>
  <c r="H72" i="15"/>
  <c r="G72" i="15"/>
  <c r="F72" i="15"/>
  <c r="D72" i="15"/>
  <c r="M84" i="15"/>
  <c r="K84" i="15"/>
  <c r="I84" i="15"/>
  <c r="E84" i="15"/>
  <c r="L84" i="15"/>
  <c r="J84" i="15"/>
  <c r="H84" i="15"/>
  <c r="G84" i="15"/>
  <c r="F84" i="15"/>
  <c r="D84" i="15"/>
  <c r="M96" i="15"/>
  <c r="K96" i="15"/>
  <c r="I96" i="15"/>
  <c r="E96" i="15"/>
  <c r="L96" i="15"/>
  <c r="J96" i="15"/>
  <c r="H96" i="15"/>
  <c r="G96" i="15"/>
  <c r="F96" i="15"/>
  <c r="D96" i="15"/>
  <c r="L42" i="15"/>
  <c r="J42" i="15"/>
  <c r="H42" i="15"/>
  <c r="G42" i="15"/>
  <c r="F42" i="15"/>
  <c r="D42" i="15"/>
  <c r="M42" i="15"/>
  <c r="K42" i="15"/>
  <c r="I42" i="15"/>
  <c r="E42" i="15"/>
  <c r="M12" i="15"/>
  <c r="K12" i="15"/>
  <c r="I12" i="15"/>
  <c r="G12" i="15"/>
  <c r="E12" i="15"/>
  <c r="L12" i="15"/>
  <c r="J12" i="15"/>
  <c r="H12" i="15"/>
  <c r="F12" i="15"/>
  <c r="M24" i="15"/>
  <c r="K24" i="15"/>
  <c r="I24" i="15"/>
  <c r="G24" i="15"/>
  <c r="E24" i="15"/>
  <c r="L24" i="15"/>
  <c r="J24" i="15"/>
  <c r="F24" i="15"/>
  <c r="D24" i="15"/>
  <c r="M54" i="15"/>
  <c r="K54" i="15"/>
  <c r="I54" i="15"/>
  <c r="G54" i="15"/>
  <c r="F54" i="15"/>
  <c r="D54" i="15"/>
  <c r="L54" i="15"/>
  <c r="J54" i="15"/>
  <c r="H54" i="15"/>
  <c r="E54" i="15"/>
  <c r="M66" i="15"/>
  <c r="K66" i="15"/>
  <c r="I66" i="15"/>
  <c r="G66" i="15"/>
  <c r="F66" i="15"/>
  <c r="D66" i="15"/>
  <c r="L66" i="15"/>
  <c r="J66" i="15"/>
  <c r="H66" i="15"/>
  <c r="E66" i="15"/>
  <c r="M78" i="15"/>
  <c r="K78" i="15"/>
  <c r="I78" i="15"/>
  <c r="G78" i="15"/>
  <c r="F78" i="15"/>
  <c r="D78" i="15"/>
  <c r="L78" i="15"/>
  <c r="J78" i="15"/>
  <c r="H78" i="15"/>
  <c r="E78" i="15"/>
  <c r="M90" i="15"/>
  <c r="K90" i="15"/>
  <c r="I90" i="15"/>
  <c r="G90" i="15"/>
  <c r="F90" i="15"/>
  <c r="D90" i="15"/>
  <c r="L90" i="15"/>
  <c r="J90" i="15"/>
  <c r="H90" i="15"/>
  <c r="E90" i="15"/>
  <c r="D12" i="15"/>
  <c r="C18" i="15"/>
  <c r="C42" i="15"/>
  <c r="C72" i="15"/>
  <c r="C84" i="15"/>
  <c r="C96" i="15"/>
  <c r="C1" i="18"/>
  <c r="C9" i="18" s="1"/>
  <c r="C10" i="18"/>
  <c r="C11" i="20"/>
  <c r="C10" i="20"/>
  <c r="C9" i="20"/>
  <c r="C8" i="20"/>
  <c r="C7" i="20"/>
  <c r="B2" i="20" l="1"/>
  <c r="E15" i="18"/>
  <c r="J15" i="18"/>
  <c r="O15" i="18"/>
  <c r="T15" i="18"/>
  <c r="D4" i="19"/>
  <c r="D5" i="19"/>
  <c r="D10" i="19"/>
  <c r="F9" i="19" s="1"/>
  <c r="D11" i="19"/>
  <c r="D12" i="19"/>
  <c r="D3" i="4"/>
  <c r="D4" i="4"/>
  <c r="D5" i="4"/>
  <c r="D6" i="4"/>
  <c r="D7" i="4"/>
  <c r="D8" i="4"/>
  <c r="M27" i="4"/>
  <c r="N27" i="4"/>
  <c r="O27" i="4"/>
  <c r="P27" i="4"/>
  <c r="Q27" i="4"/>
  <c r="M28" i="4"/>
  <c r="M29" i="4"/>
  <c r="A31" i="4"/>
  <c r="A34" i="4" s="1"/>
  <c r="B31" i="4"/>
  <c r="B34" i="4" s="1"/>
  <c r="M30" i="4"/>
  <c r="D32" i="4"/>
  <c r="M31" i="4"/>
  <c r="E32" i="4"/>
  <c r="G34" i="4"/>
  <c r="H34" i="4"/>
  <c r="I35" i="4"/>
  <c r="I36" i="4"/>
  <c r="J70" i="4"/>
  <c r="J71" i="4" s="1"/>
  <c r="B71" i="4"/>
  <c r="B72" i="4" s="1"/>
  <c r="B73" i="4" s="1"/>
  <c r="B74" i="4" s="1"/>
  <c r="B75" i="4" s="1"/>
  <c r="B76" i="4" s="1"/>
  <c r="B77" i="4" s="1"/>
  <c r="B78" i="4" s="1"/>
  <c r="B79" i="4" s="1"/>
  <c r="B80" i="4" s="1"/>
  <c r="B81" i="4" s="1"/>
  <c r="B82" i="4" s="1"/>
  <c r="B83" i="4" s="1"/>
  <c r="B84" i="4" s="1"/>
  <c r="B85" i="4" s="1"/>
  <c r="B86" i="4" s="1"/>
  <c r="B87" i="4" s="1"/>
  <c r="B88" i="4" s="1"/>
  <c r="B89" i="4" s="1"/>
  <c r="B90" i="4" s="1"/>
  <c r="B91" i="4" s="1"/>
  <c r="B92" i="4" s="1"/>
  <c r="B93" i="4" s="1"/>
  <c r="B94" i="4" s="1"/>
  <c r="B95" i="4" s="1"/>
  <c r="B96" i="4" s="1"/>
  <c r="B97" i="4" s="1"/>
  <c r="B98" i="4" s="1"/>
  <c r="F71" i="4"/>
  <c r="F72" i="4" s="1"/>
  <c r="F73" i="4" s="1"/>
  <c r="F74" i="4" s="1"/>
  <c r="F75" i="4" s="1"/>
  <c r="F76" i="4" s="1"/>
  <c r="F77" i="4" s="1"/>
  <c r="F78" i="4" s="1"/>
  <c r="F79" i="4" s="1"/>
  <c r="F80" i="4" s="1"/>
  <c r="F81" i="4" s="1"/>
  <c r="F82" i="4" s="1"/>
  <c r="F83" i="4" s="1"/>
  <c r="F84" i="4" s="1"/>
  <c r="F85" i="4" s="1"/>
  <c r="F86" i="4" s="1"/>
  <c r="F87" i="4" s="1"/>
  <c r="F88" i="4" s="1"/>
  <c r="F89" i="4" s="1"/>
  <c r="F90" i="4" s="1"/>
  <c r="F91" i="4" s="1"/>
  <c r="F92" i="4" s="1"/>
  <c r="F93" i="4" s="1"/>
  <c r="F94" i="4" s="1"/>
  <c r="F95" i="4" s="1"/>
  <c r="F96" i="4" s="1"/>
  <c r="F97" i="4" s="1"/>
  <c r="F98" i="4" s="1"/>
  <c r="F99" i="4" s="1"/>
  <c r="F100" i="4" s="1"/>
  <c r="F101" i="4" s="1"/>
  <c r="F102" i="4" s="1"/>
  <c r="F103" i="4" s="1"/>
  <c r="F104" i="4" s="1"/>
  <c r="F105" i="4" s="1"/>
  <c r="F106" i="4" s="1"/>
  <c r="F107" i="4" s="1"/>
  <c r="F108" i="4" s="1"/>
  <c r="F109" i="4" s="1"/>
  <c r="F110" i="4" s="1"/>
  <c r="F111" i="4" s="1"/>
  <c r="F112" i="4" s="1"/>
  <c r="F113" i="4" s="1"/>
  <c r="F114" i="4" s="1"/>
  <c r="F115" i="4" s="1"/>
  <c r="F116" i="4" s="1"/>
  <c r="F117" i="4" s="1"/>
  <c r="F118" i="4" s="1"/>
  <c r="F119" i="4" s="1"/>
  <c r="F120" i="4" s="1"/>
  <c r="F121" i="4" s="1"/>
  <c r="F122" i="4" s="1"/>
  <c r="F123" i="4" s="1"/>
  <c r="F124" i="4" s="1"/>
  <c r="F125" i="4" s="1"/>
  <c r="F126" i="4" s="1"/>
  <c r="F127" i="4" s="1"/>
  <c r="F128" i="4" s="1"/>
  <c r="F129" i="4" s="1"/>
  <c r="F130" i="4" s="1"/>
  <c r="F131" i="4" s="1"/>
  <c r="F132" i="4" s="1"/>
  <c r="F133" i="4" s="1"/>
  <c r="F134" i="4" s="1"/>
  <c r="F135" i="4" s="1"/>
  <c r="J72" i="4"/>
  <c r="J73" i="4" s="1"/>
  <c r="B29" i="4"/>
  <c r="H13" i="4"/>
  <c r="H14" i="4" s="1"/>
  <c r="H16" i="4"/>
  <c r="H18" i="4"/>
  <c r="F13" i="19" l="1"/>
  <c r="E3" i="19"/>
  <c r="C2" i="18"/>
  <c r="D122" i="18"/>
  <c r="F122" i="18" s="1"/>
  <c r="G122" i="18" s="1"/>
  <c r="B121" i="18"/>
  <c r="C6" i="18"/>
  <c r="H27" i="4"/>
  <c r="K28" i="4" s="1"/>
  <c r="K30" i="4" s="1"/>
  <c r="K31" i="4" s="1"/>
  <c r="C8" i="18"/>
  <c r="F18" i="18" s="1"/>
  <c r="F19" i="18" s="1"/>
  <c r="F20" i="18" s="1"/>
  <c r="F21" i="18" s="1"/>
  <c r="F22" i="18" s="1"/>
  <c r="F23" i="18" s="1"/>
  <c r="F24" i="18" s="1"/>
  <c r="F25" i="18" s="1"/>
  <c r="F26" i="18" s="1"/>
  <c r="F27" i="18" s="1"/>
  <c r="F28" i="18" s="1"/>
  <c r="F29" i="18" s="1"/>
  <c r="F30" i="18" s="1"/>
  <c r="F31" i="18" s="1"/>
  <c r="F32" i="18" s="1"/>
  <c r="F33" i="18" s="1"/>
  <c r="F34" i="18" s="1"/>
  <c r="F35" i="18" s="1"/>
  <c r="F36" i="18" s="1"/>
  <c r="F37" i="18" s="1"/>
  <c r="F38" i="18" s="1"/>
  <c r="F39" i="18" s="1"/>
  <c r="F40" i="18" s="1"/>
  <c r="F41" i="18" s="1"/>
  <c r="F42" i="18" s="1"/>
  <c r="F43" i="18" s="1"/>
  <c r="F44" i="18" s="1"/>
  <c r="F45" i="18" s="1"/>
  <c r="F46" i="18" s="1"/>
  <c r="F47" i="18" s="1"/>
  <c r="F48" i="18" s="1"/>
  <c r="F49" i="18" s="1"/>
  <c r="F50" i="18" s="1"/>
  <c r="F51" i="18" s="1"/>
  <c r="F52" i="18" s="1"/>
  <c r="F53" i="18" s="1"/>
  <c r="F54" i="18" s="1"/>
  <c r="F55" i="18" s="1"/>
  <c r="F56" i="18" s="1"/>
  <c r="F57" i="18" s="1"/>
  <c r="F58" i="18" s="1"/>
  <c r="F59" i="18" s="1"/>
  <c r="F60" i="18" s="1"/>
  <c r="F61" i="18" s="1"/>
  <c r="F62" i="18" s="1"/>
  <c r="F63" i="18" s="1"/>
  <c r="F64" i="18" s="1"/>
  <c r="F65" i="18" s="1"/>
  <c r="F66" i="18" s="1"/>
  <c r="F67" i="18" s="1"/>
  <c r="F68" i="18" s="1"/>
  <c r="F69" i="18" s="1"/>
  <c r="F70" i="18" s="1"/>
  <c r="F71" i="18" s="1"/>
  <c r="F72" i="18" s="1"/>
  <c r="F73" i="18" s="1"/>
  <c r="F74" i="18" s="1"/>
  <c r="F75" i="18" s="1"/>
  <c r="F76" i="18" s="1"/>
  <c r="F77" i="18" s="1"/>
  <c r="F78" i="18" s="1"/>
  <c r="F79" i="18" s="1"/>
  <c r="F80" i="18" s="1"/>
  <c r="F81" i="18" s="1"/>
  <c r="F82" i="18" s="1"/>
  <c r="F83" i="18" s="1"/>
  <c r="F84" i="18" s="1"/>
  <c r="F85" i="18" s="1"/>
  <c r="F86" i="18" s="1"/>
  <c r="F87" i="18" s="1"/>
  <c r="F88" i="18" s="1"/>
  <c r="F89" i="18" s="1"/>
  <c r="F90" i="18" s="1"/>
  <c r="F91" i="18" s="1"/>
  <c r="F92" i="18" s="1"/>
  <c r="F93" i="18" s="1"/>
  <c r="F94" i="18" s="1"/>
  <c r="F95" i="18" s="1"/>
  <c r="F96" i="18" s="1"/>
  <c r="C5" i="18"/>
  <c r="B118" i="18"/>
  <c r="B25" i="4"/>
  <c r="B28" i="4"/>
  <c r="H17" i="4"/>
  <c r="E120" i="18"/>
  <c r="G25" i="4"/>
  <c r="C32" i="4"/>
  <c r="F12" i="19"/>
  <c r="F11" i="19"/>
  <c r="F10" i="19"/>
  <c r="B99" i="4"/>
  <c r="B100" i="4" s="1"/>
  <c r="B101" i="4" s="1"/>
  <c r="B102" i="4" s="1"/>
  <c r="B103" i="4" s="1"/>
  <c r="B104" i="4" s="1"/>
  <c r="B105" i="4" s="1"/>
  <c r="B106" i="4" s="1"/>
  <c r="B107" i="4" s="1"/>
  <c r="B108" i="4" s="1"/>
  <c r="B109" i="4" s="1"/>
  <c r="B110" i="4" s="1"/>
  <c r="B111" i="4" s="1"/>
  <c r="B112" i="4" s="1"/>
  <c r="B113" i="4" s="1"/>
  <c r="B114" i="4" s="1"/>
  <c r="B115" i="4" s="1"/>
  <c r="B116" i="4" s="1"/>
  <c r="B117" i="4" s="1"/>
  <c r="B118" i="4" s="1"/>
  <c r="B119" i="4" s="1"/>
  <c r="B120" i="4" s="1"/>
  <c r="B121" i="4" s="1"/>
  <c r="B122" i="4" s="1"/>
  <c r="B123" i="4" s="1"/>
  <c r="B124" i="4" s="1"/>
  <c r="B125" i="4" s="1"/>
  <c r="B126" i="4" s="1"/>
  <c r="B127" i="4" s="1"/>
  <c r="B128" i="4" s="1"/>
  <c r="B129" i="4" s="1"/>
  <c r="B130" i="4" s="1"/>
  <c r="F136" i="4"/>
  <c r="F137" i="4" s="1"/>
  <c r="F138" i="4" s="1"/>
  <c r="F139" i="4" s="1"/>
  <c r="F140" i="4" s="1"/>
  <c r="F141" i="4" s="1"/>
  <c r="F142" i="4" s="1"/>
  <c r="F143" i="4" s="1"/>
  <c r="F144" i="4" s="1"/>
  <c r="F145" i="4" s="1"/>
  <c r="F146" i="4" s="1"/>
  <c r="F147" i="4" s="1"/>
  <c r="F148" i="4" s="1"/>
  <c r="F149" i="4" s="1"/>
  <c r="F150" i="4" s="1"/>
  <c r="F151" i="4" s="1"/>
  <c r="F152" i="4" s="1"/>
  <c r="F153" i="4" s="1"/>
  <c r="F154" i="4" s="1"/>
  <c r="F155" i="4" s="1"/>
  <c r="F156" i="4" s="1"/>
  <c r="F157" i="4" s="1"/>
  <c r="F158" i="4" s="1"/>
  <c r="F159" i="4" s="1"/>
  <c r="F160" i="4" s="1"/>
  <c r="F161" i="4" s="1"/>
  <c r="F162" i="4" s="1"/>
  <c r="F163" i="4" s="1"/>
  <c r="F164" i="4" s="1"/>
  <c r="F165" i="4" s="1"/>
  <c r="F166" i="4" s="1"/>
  <c r="F167" i="4" s="1"/>
  <c r="F168" i="4" s="1"/>
  <c r="F169" i="4" s="1"/>
  <c r="F170" i="4" s="1"/>
  <c r="H13" i="19" l="1"/>
  <c r="I13" i="19" s="1"/>
  <c r="I8" i="4" s="1"/>
  <c r="O8" i="4" s="1"/>
  <c r="I4" i="18"/>
  <c r="J14" i="18" s="1"/>
  <c r="B32" i="4"/>
  <c r="B35" i="4"/>
  <c r="G4" i="18"/>
  <c r="E14" i="18" s="1"/>
  <c r="J28" i="4"/>
  <c r="J30" i="4" s="1"/>
  <c r="J31" i="4" s="1"/>
  <c r="I28" i="4"/>
  <c r="I30" i="4" s="1"/>
  <c r="I31" i="4" s="1"/>
  <c r="H10" i="19"/>
  <c r="I10" i="19" s="1"/>
  <c r="I5" i="4" s="1"/>
  <c r="N5" i="4" s="1"/>
  <c r="H12" i="19"/>
  <c r="I12" i="19" s="1"/>
  <c r="I7" i="4" s="1"/>
  <c r="J7" i="4" s="1"/>
  <c r="K7" i="4" s="1"/>
  <c r="L7" i="4" s="1"/>
  <c r="H9" i="19"/>
  <c r="I9" i="19" s="1"/>
  <c r="I4" i="4" s="1"/>
  <c r="L28" i="4"/>
  <c r="L30" i="4" s="1"/>
  <c r="L31" i="4" s="1"/>
  <c r="H35" i="4"/>
  <c r="A35" i="4"/>
  <c r="G35" i="4"/>
  <c r="A32" i="4"/>
  <c r="M4" i="18"/>
  <c r="T14" i="18" s="1"/>
  <c r="K4" i="18"/>
  <c r="O14" i="18" s="1"/>
  <c r="K18" i="18"/>
  <c r="K19" i="18" s="1"/>
  <c r="K20" i="18" s="1"/>
  <c r="K21" i="18" s="1"/>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H11" i="19"/>
  <c r="I11" i="19" s="1"/>
  <c r="I6" i="4" s="1"/>
  <c r="J6" i="4" s="1"/>
  <c r="K6" i="4" s="1"/>
  <c r="B26" i="4"/>
  <c r="D120" i="18"/>
  <c r="F120" i="18" s="1"/>
  <c r="B120" i="18" s="1"/>
  <c r="B127" i="18" s="1"/>
  <c r="C4" i="18"/>
  <c r="C11" i="18" s="1"/>
  <c r="P18" i="18"/>
  <c r="P19" i="18" s="1"/>
  <c r="P20" i="18" s="1"/>
  <c r="P21" i="18" s="1"/>
  <c r="P22" i="18" s="1"/>
  <c r="P23" i="18" s="1"/>
  <c r="P24" i="18" s="1"/>
  <c r="P25" i="18" s="1"/>
  <c r="P26" i="18" s="1"/>
  <c r="P27" i="18" s="1"/>
  <c r="P28" i="18" s="1"/>
  <c r="P29" i="18" s="1"/>
  <c r="P30" i="18" s="1"/>
  <c r="P31" i="18" s="1"/>
  <c r="P32" i="18" s="1"/>
  <c r="P33" i="18" s="1"/>
  <c r="P34" i="18" s="1"/>
  <c r="P35" i="18" s="1"/>
  <c r="P36" i="18" s="1"/>
  <c r="P37" i="18" s="1"/>
  <c r="P38" i="18" s="1"/>
  <c r="P39" i="18" s="1"/>
  <c r="P40" i="18" s="1"/>
  <c r="P41" i="18" s="1"/>
  <c r="P42" i="18" s="1"/>
  <c r="P43" i="18" s="1"/>
  <c r="P44" i="18" s="1"/>
  <c r="P45" i="18" s="1"/>
  <c r="P46" i="18" s="1"/>
  <c r="P47" i="18" s="1"/>
  <c r="P48" i="18" s="1"/>
  <c r="P49" i="18" s="1"/>
  <c r="P50" i="18" s="1"/>
  <c r="P51" i="18" s="1"/>
  <c r="P52" i="18" s="1"/>
  <c r="P53" i="18" s="1"/>
  <c r="P54" i="18" s="1"/>
  <c r="P55" i="18" s="1"/>
  <c r="P56" i="18" s="1"/>
  <c r="P57" i="18" s="1"/>
  <c r="P58" i="18" s="1"/>
  <c r="P59" i="18" s="1"/>
  <c r="P60" i="18" s="1"/>
  <c r="P61" i="18" s="1"/>
  <c r="P62" i="18" s="1"/>
  <c r="P63" i="18" s="1"/>
  <c r="P64" i="18" s="1"/>
  <c r="P65" i="18" s="1"/>
  <c r="P66" i="18" s="1"/>
  <c r="P67" i="18" s="1"/>
  <c r="P68" i="18" s="1"/>
  <c r="P69" i="18" s="1"/>
  <c r="P70" i="18" s="1"/>
  <c r="P71" i="18" s="1"/>
  <c r="P72" i="18" s="1"/>
  <c r="P73" i="18" s="1"/>
  <c r="P74" i="18" s="1"/>
  <c r="P75" i="18" s="1"/>
  <c r="P76" i="18" s="1"/>
  <c r="P77" i="18" s="1"/>
  <c r="P78" i="18" s="1"/>
  <c r="P79" i="18" s="1"/>
  <c r="P80" i="18" s="1"/>
  <c r="P81" i="18" s="1"/>
  <c r="P82" i="18" s="1"/>
  <c r="P83" i="18" s="1"/>
  <c r="P84" i="18" s="1"/>
  <c r="P85" i="18" s="1"/>
  <c r="P86" i="18" s="1"/>
  <c r="P87" i="18" s="1"/>
  <c r="P88" i="18" s="1"/>
  <c r="P89" i="18" s="1"/>
  <c r="P90" i="18" s="1"/>
  <c r="P91" i="18" s="1"/>
  <c r="P92" i="18" s="1"/>
  <c r="P93" i="18" s="1"/>
  <c r="P94" i="18" s="1"/>
  <c r="P95" i="18" s="1"/>
  <c r="P96" i="18" s="1"/>
  <c r="A18" i="18"/>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J8" i="4"/>
  <c r="K8" i="4" s="1"/>
  <c r="Q17" i="18" l="1"/>
  <c r="F18" i="4"/>
  <c r="N8" i="4"/>
  <c r="F16" i="4"/>
  <c r="I16" i="4" s="1"/>
  <c r="D26" i="4"/>
  <c r="D27" i="4" s="1"/>
  <c r="F26" i="4"/>
  <c r="F27" i="4" s="1"/>
  <c r="E31" i="4"/>
  <c r="G31" i="4" s="1"/>
  <c r="D34" i="4" s="1"/>
  <c r="D36" i="4" s="1"/>
  <c r="D35" i="4" s="1"/>
  <c r="E35" i="4" s="1"/>
  <c r="F34" i="4" s="1"/>
  <c r="J34" i="4" s="1"/>
  <c r="L34" i="4" s="1"/>
  <c r="L32" i="4" s="1"/>
  <c r="N7" i="4"/>
  <c r="F17" i="4"/>
  <c r="G17" i="4" s="1"/>
  <c r="O7" i="4"/>
  <c r="O5" i="4"/>
  <c r="J5" i="4"/>
  <c r="K5" i="4" s="1"/>
  <c r="L5" i="4" s="1"/>
  <c r="F15" i="4"/>
  <c r="G15" i="4" s="1"/>
  <c r="I8" i="19"/>
  <c r="I3" i="4" s="1"/>
  <c r="J3" i="4" s="1"/>
  <c r="N6" i="4"/>
  <c r="L6" i="4"/>
  <c r="M6" i="4"/>
  <c r="O6" i="4"/>
  <c r="M7" i="4"/>
  <c r="L17" i="18"/>
  <c r="C26" i="4"/>
  <c r="C27" i="4" s="1"/>
  <c r="E26" i="4"/>
  <c r="E27" i="4" s="1"/>
  <c r="R17" i="18"/>
  <c r="T17" i="18" s="1"/>
  <c r="Q18" i="18"/>
  <c r="S18" i="18" s="1"/>
  <c r="A86" i="18"/>
  <c r="B124" i="18"/>
  <c r="B126" i="18"/>
  <c r="B125" i="18"/>
  <c r="G17" i="18"/>
  <c r="B17" i="18"/>
  <c r="N4" i="4"/>
  <c r="N3" i="4" s="1"/>
  <c r="F14" i="4"/>
  <c r="J4" i="4"/>
  <c r="F13" i="4"/>
  <c r="O4" i="4"/>
  <c r="O3" i="4" s="1"/>
  <c r="G18" i="4"/>
  <c r="I18" i="4"/>
  <c r="L8" i="4"/>
  <c r="M8" i="4"/>
  <c r="G16" i="4" l="1"/>
  <c r="K4" i="4"/>
  <c r="K3" i="4"/>
  <c r="M3" i="4" s="1"/>
  <c r="I17" i="4"/>
  <c r="I15" i="4"/>
  <c r="M5" i="4"/>
  <c r="K32" i="4"/>
  <c r="J32" i="4"/>
  <c r="I32" i="4"/>
  <c r="Q19" i="18"/>
  <c r="R19" i="18" s="1"/>
  <c r="R18" i="18"/>
  <c r="T18" i="18" s="1"/>
  <c r="M17" i="18"/>
  <c r="O17" i="18" s="1"/>
  <c r="L18" i="18"/>
  <c r="A87" i="18"/>
  <c r="G18" i="18"/>
  <c r="H17" i="18"/>
  <c r="J17" i="18" s="1"/>
  <c r="C17" i="18"/>
  <c r="E17" i="18" s="1"/>
  <c r="B18" i="18"/>
  <c r="I13" i="4"/>
  <c r="G13" i="4"/>
  <c r="G14" i="4"/>
  <c r="I14" i="4"/>
  <c r="L3" i="4" l="1"/>
  <c r="S19" i="18"/>
  <c r="T19" i="18" s="1"/>
  <c r="Q20" i="18"/>
  <c r="R20" i="18" s="1"/>
  <c r="N18" i="18"/>
  <c r="M18" i="18"/>
  <c r="L19" i="18"/>
  <c r="A88" i="18"/>
  <c r="I18" i="18"/>
  <c r="H18" i="18"/>
  <c r="G19" i="18"/>
  <c r="D18" i="18"/>
  <c r="C18" i="18"/>
  <c r="B19" i="18"/>
  <c r="M4" i="4"/>
  <c r="L4" i="4"/>
  <c r="Q21" i="18" l="1"/>
  <c r="S21" i="18" s="1"/>
  <c r="S20" i="18"/>
  <c r="T20" i="18" s="1"/>
  <c r="N19" i="18"/>
  <c r="M19" i="18"/>
  <c r="L20" i="18"/>
  <c r="O18" i="18"/>
  <c r="E18" i="18"/>
  <c r="A89" i="18"/>
  <c r="B20" i="18"/>
  <c r="D19" i="18"/>
  <c r="C19" i="18"/>
  <c r="J18" i="18"/>
  <c r="H19" i="18"/>
  <c r="G20" i="18"/>
  <c r="I19" i="18"/>
  <c r="R21" i="18" l="1"/>
  <c r="T21" i="18" s="1"/>
  <c r="Q22" i="18"/>
  <c r="S22" i="18" s="1"/>
  <c r="N20" i="18"/>
  <c r="M20" i="18"/>
  <c r="L21" i="18"/>
  <c r="O19" i="18"/>
  <c r="E19" i="18"/>
  <c r="A90" i="18"/>
  <c r="H20" i="18"/>
  <c r="G21" i="18"/>
  <c r="I20" i="18"/>
  <c r="J19" i="18"/>
  <c r="B21" i="18"/>
  <c r="D20" i="18"/>
  <c r="C20" i="18"/>
  <c r="R22" i="18" l="1"/>
  <c r="T22" i="18" s="1"/>
  <c r="Q23" i="18"/>
  <c r="S23" i="18" s="1"/>
  <c r="N21" i="18"/>
  <c r="M21" i="18"/>
  <c r="L22" i="18"/>
  <c r="O20" i="18"/>
  <c r="E20" i="18"/>
  <c r="A91" i="18"/>
  <c r="H21" i="18"/>
  <c r="G22" i="18"/>
  <c r="I21" i="18"/>
  <c r="B22" i="18"/>
  <c r="D21" i="18"/>
  <c r="C21" i="18"/>
  <c r="J20" i="18"/>
  <c r="R23" i="18" l="1"/>
  <c r="T23" i="18" s="1"/>
  <c r="Q24" i="18"/>
  <c r="S24" i="18" s="1"/>
  <c r="O21" i="18"/>
  <c r="L23" i="18"/>
  <c r="N22" i="18"/>
  <c r="M22" i="18"/>
  <c r="A92" i="18"/>
  <c r="E21" i="18"/>
  <c r="B23" i="18"/>
  <c r="D22" i="18"/>
  <c r="C22" i="18"/>
  <c r="I22" i="18"/>
  <c r="H22" i="18"/>
  <c r="G23" i="18"/>
  <c r="J21" i="18"/>
  <c r="R24" i="18" l="1"/>
  <c r="T24" i="18" s="1"/>
  <c r="Q25" i="18"/>
  <c r="S25" i="18" s="1"/>
  <c r="O22" i="18"/>
  <c r="N23" i="18"/>
  <c r="L24" i="18"/>
  <c r="M23" i="18"/>
  <c r="E22" i="18"/>
  <c r="A93" i="18"/>
  <c r="J22" i="18"/>
  <c r="B24" i="18"/>
  <c r="D23" i="18"/>
  <c r="C23" i="18"/>
  <c r="I23" i="18"/>
  <c r="H23" i="18"/>
  <c r="G24" i="18"/>
  <c r="R25" i="18" l="1"/>
  <c r="T25" i="18" s="1"/>
  <c r="Q26" i="18"/>
  <c r="Q27" i="18" s="1"/>
  <c r="O23" i="18"/>
  <c r="L25" i="18"/>
  <c r="N24" i="18"/>
  <c r="M24" i="18"/>
  <c r="J23" i="18"/>
  <c r="E23" i="18"/>
  <c r="A94" i="18"/>
  <c r="B25" i="18"/>
  <c r="D24" i="18"/>
  <c r="C24" i="18"/>
  <c r="H24" i="18"/>
  <c r="G25" i="18"/>
  <c r="I24" i="18"/>
  <c r="S26" i="18" l="1"/>
  <c r="R26" i="18"/>
  <c r="O24" i="18"/>
  <c r="M25" i="18"/>
  <c r="L26" i="18"/>
  <c r="N25" i="18"/>
  <c r="E24" i="18"/>
  <c r="A95" i="18"/>
  <c r="J24" i="18"/>
  <c r="H25" i="18"/>
  <c r="G26" i="18"/>
  <c r="I25" i="18"/>
  <c r="D25" i="18"/>
  <c r="C25" i="18"/>
  <c r="B26" i="18"/>
  <c r="S27" i="18"/>
  <c r="Q28" i="18"/>
  <c r="R27" i="18"/>
  <c r="T26" i="18" l="1"/>
  <c r="T27" i="18" s="1"/>
  <c r="O25" i="18"/>
  <c r="N26" i="18"/>
  <c r="L27" i="18"/>
  <c r="M26" i="18"/>
  <c r="E25" i="18"/>
  <c r="A96" i="18"/>
  <c r="J25" i="18"/>
  <c r="C26" i="18"/>
  <c r="D26" i="18"/>
  <c r="B27" i="18"/>
  <c r="I26" i="18"/>
  <c r="H26" i="18"/>
  <c r="G27" i="18"/>
  <c r="S28" i="18"/>
  <c r="Q29" i="18"/>
  <c r="R28" i="18"/>
  <c r="O26" i="18" l="1"/>
  <c r="N27" i="18"/>
  <c r="M27" i="18"/>
  <c r="L28" i="18"/>
  <c r="T28" i="18"/>
  <c r="J26" i="18"/>
  <c r="C27" i="18"/>
  <c r="B28" i="18"/>
  <c r="D27" i="18"/>
  <c r="E26" i="18"/>
  <c r="G28" i="18"/>
  <c r="I27" i="18"/>
  <c r="H27" i="18"/>
  <c r="S29" i="18"/>
  <c r="Q30" i="18"/>
  <c r="R29" i="18"/>
  <c r="O27" i="18" l="1"/>
  <c r="M28" i="18"/>
  <c r="L29" i="18"/>
  <c r="N28" i="18"/>
  <c r="T29" i="18"/>
  <c r="J27" i="18"/>
  <c r="C28" i="18"/>
  <c r="B29" i="18"/>
  <c r="D28" i="18"/>
  <c r="G29" i="18"/>
  <c r="I28" i="18"/>
  <c r="H28" i="18"/>
  <c r="E27" i="18"/>
  <c r="S30" i="18"/>
  <c r="Q31" i="18"/>
  <c r="R30" i="18"/>
  <c r="M29" i="18" l="1"/>
  <c r="N29" i="18"/>
  <c r="L30" i="18"/>
  <c r="O28" i="18"/>
  <c r="T30" i="18"/>
  <c r="J28" i="18"/>
  <c r="G30" i="18"/>
  <c r="I29" i="18"/>
  <c r="H29" i="18"/>
  <c r="C29" i="18"/>
  <c r="B30" i="18"/>
  <c r="D29" i="18"/>
  <c r="E28" i="18"/>
  <c r="S31" i="18"/>
  <c r="Q32" i="18"/>
  <c r="R31" i="18"/>
  <c r="O29" i="18" l="1"/>
  <c r="M30" i="18"/>
  <c r="L31" i="18"/>
  <c r="N30" i="18"/>
  <c r="T31" i="18"/>
  <c r="D30" i="18"/>
  <c r="C30" i="18"/>
  <c r="B31" i="18"/>
  <c r="J29" i="18"/>
  <c r="G31" i="18"/>
  <c r="I30" i="18"/>
  <c r="H30" i="18"/>
  <c r="E29" i="18"/>
  <c r="S32" i="18"/>
  <c r="Q33" i="18"/>
  <c r="R32" i="18"/>
  <c r="M31" i="18" l="1"/>
  <c r="L32" i="18"/>
  <c r="N31" i="18"/>
  <c r="O30" i="18"/>
  <c r="J30" i="18"/>
  <c r="T32" i="18"/>
  <c r="E30" i="18"/>
  <c r="G32" i="18"/>
  <c r="I31" i="18"/>
  <c r="H31" i="18"/>
  <c r="C31" i="18"/>
  <c r="B32" i="18"/>
  <c r="D31" i="18"/>
  <c r="S33" i="18"/>
  <c r="Q34" i="18"/>
  <c r="R33" i="18"/>
  <c r="B7" i="17"/>
  <c r="D3" i="16"/>
  <c r="D4" i="16"/>
  <c r="C3" i="16"/>
  <c r="N32" i="18" l="1"/>
  <c r="M32" i="18"/>
  <c r="L33" i="18"/>
  <c r="O31" i="18"/>
  <c r="T33" i="18"/>
  <c r="D32" i="18"/>
  <c r="C32" i="18"/>
  <c r="B33" i="18"/>
  <c r="J31" i="18"/>
  <c r="I32" i="18"/>
  <c r="H32" i="18"/>
  <c r="G33" i="18"/>
  <c r="E31" i="18"/>
  <c r="S34" i="18"/>
  <c r="Q35" i="18"/>
  <c r="R34" i="18"/>
  <c r="B13" i="17"/>
  <c r="B3" i="16"/>
  <c r="A3" i="16"/>
  <c r="T34" i="18" l="1"/>
  <c r="O32" i="18"/>
  <c r="L34" i="18"/>
  <c r="N33" i="18"/>
  <c r="M33" i="18"/>
  <c r="J32" i="18"/>
  <c r="I33" i="18"/>
  <c r="H33" i="18"/>
  <c r="G34" i="18"/>
  <c r="C33" i="18"/>
  <c r="B34" i="18"/>
  <c r="D33" i="18"/>
  <c r="E32" i="18"/>
  <c r="S35" i="18"/>
  <c r="Q36" i="18"/>
  <c r="R35" i="18"/>
  <c r="E3" i="16"/>
  <c r="F3" i="16" s="1"/>
  <c r="O33" i="18" l="1"/>
  <c r="M34" i="18"/>
  <c r="L35" i="18"/>
  <c r="N34" i="18"/>
  <c r="T35" i="18"/>
  <c r="J33" i="18"/>
  <c r="D34" i="18"/>
  <c r="C34" i="18"/>
  <c r="B35" i="18"/>
  <c r="I34" i="18"/>
  <c r="H34" i="18"/>
  <c r="G35" i="18"/>
  <c r="E33" i="18"/>
  <c r="S36" i="18"/>
  <c r="R36" i="18"/>
  <c r="Q37" i="18"/>
  <c r="M35" i="18" l="1"/>
  <c r="L36" i="18"/>
  <c r="N35" i="18"/>
  <c r="O34" i="18"/>
  <c r="T36" i="18"/>
  <c r="J34" i="18"/>
  <c r="G36" i="18"/>
  <c r="I35" i="18"/>
  <c r="H35" i="18"/>
  <c r="E34" i="18"/>
  <c r="C35" i="18"/>
  <c r="B36" i="18"/>
  <c r="D35" i="18"/>
  <c r="S37" i="18"/>
  <c r="Q38" i="18"/>
  <c r="R37" i="18"/>
  <c r="O35" i="18" l="1"/>
  <c r="M36" i="18"/>
  <c r="L37" i="18"/>
  <c r="N36" i="18"/>
  <c r="T37" i="18"/>
  <c r="E35" i="18"/>
  <c r="J35" i="18"/>
  <c r="I36" i="18"/>
  <c r="H36" i="18"/>
  <c r="G37" i="18"/>
  <c r="D36" i="18"/>
  <c r="C36" i="18"/>
  <c r="B37" i="18"/>
  <c r="S38" i="18"/>
  <c r="Q39" i="18"/>
  <c r="R38" i="18"/>
  <c r="N37" i="18" l="1"/>
  <c r="M37" i="18"/>
  <c r="L38" i="18"/>
  <c r="O36" i="18"/>
  <c r="T38" i="18"/>
  <c r="E36" i="18"/>
  <c r="C37" i="18"/>
  <c r="B38" i="18"/>
  <c r="D37" i="18"/>
  <c r="J36" i="18"/>
  <c r="G38" i="18"/>
  <c r="I37" i="18"/>
  <c r="H37" i="18"/>
  <c r="S39" i="18"/>
  <c r="Q40" i="18"/>
  <c r="R39" i="18"/>
  <c r="O37" i="18" l="1"/>
  <c r="L39" i="18"/>
  <c r="N38" i="18"/>
  <c r="M38" i="18"/>
  <c r="J37" i="18"/>
  <c r="T39" i="18"/>
  <c r="C38" i="18"/>
  <c r="B39" i="18"/>
  <c r="D38" i="18"/>
  <c r="G39" i="18"/>
  <c r="I38" i="18"/>
  <c r="H38" i="18"/>
  <c r="E37" i="18"/>
  <c r="S40" i="18"/>
  <c r="Q41" i="18"/>
  <c r="R40" i="18"/>
  <c r="O38" i="18" l="1"/>
  <c r="N39" i="18"/>
  <c r="M39" i="18"/>
  <c r="L40" i="18"/>
  <c r="T40" i="18"/>
  <c r="E38" i="18"/>
  <c r="J38" i="18"/>
  <c r="G40" i="18"/>
  <c r="I39" i="18"/>
  <c r="H39" i="18"/>
  <c r="C39" i="18"/>
  <c r="D39" i="18"/>
  <c r="B40" i="18"/>
  <c r="S41" i="18"/>
  <c r="Q42" i="18"/>
  <c r="R41" i="18"/>
  <c r="O39" i="18" l="1"/>
  <c r="N40" i="18"/>
  <c r="M40" i="18"/>
  <c r="L41" i="18"/>
  <c r="T41" i="18"/>
  <c r="J39" i="18"/>
  <c r="D40" i="18"/>
  <c r="C40" i="18"/>
  <c r="B41" i="18"/>
  <c r="E39" i="18"/>
  <c r="G41" i="18"/>
  <c r="I40" i="18"/>
  <c r="H40" i="18"/>
  <c r="S42" i="18"/>
  <c r="Q43" i="18"/>
  <c r="R42" i="18"/>
  <c r="M41" i="18" l="1"/>
  <c r="L42" i="18"/>
  <c r="N41" i="18"/>
  <c r="O40" i="18"/>
  <c r="T42" i="18"/>
  <c r="J40" i="18"/>
  <c r="E40" i="18"/>
  <c r="I41" i="18"/>
  <c r="H41" i="18"/>
  <c r="G42" i="18"/>
  <c r="C41" i="18"/>
  <c r="B42" i="18"/>
  <c r="D41" i="18"/>
  <c r="S43" i="18"/>
  <c r="Q44" i="18"/>
  <c r="R43" i="18"/>
  <c r="N42" i="18" l="1"/>
  <c r="M42" i="18"/>
  <c r="L43" i="18"/>
  <c r="O41" i="18"/>
  <c r="T43" i="18"/>
  <c r="J41" i="18"/>
  <c r="C42" i="18"/>
  <c r="B43" i="18"/>
  <c r="D42" i="18"/>
  <c r="G43" i="18"/>
  <c r="I42" i="18"/>
  <c r="H42" i="18"/>
  <c r="E41" i="18"/>
  <c r="S44" i="18"/>
  <c r="Q45" i="18"/>
  <c r="R44" i="18"/>
  <c r="O42" i="18" l="1"/>
  <c r="M43" i="18"/>
  <c r="L44" i="18"/>
  <c r="N43" i="18"/>
  <c r="T44" i="18"/>
  <c r="J42" i="18"/>
  <c r="G44" i="18"/>
  <c r="I43" i="18"/>
  <c r="H43" i="18"/>
  <c r="D43" i="18"/>
  <c r="C43" i="18"/>
  <c r="B44" i="18"/>
  <c r="E42" i="18"/>
  <c r="S45" i="18"/>
  <c r="Q46" i="18"/>
  <c r="R45" i="18"/>
  <c r="L45" i="18" l="1"/>
  <c r="N44" i="18"/>
  <c r="M44" i="18"/>
  <c r="O43" i="18"/>
  <c r="T45" i="18"/>
  <c r="J43" i="18"/>
  <c r="E43" i="18"/>
  <c r="G45" i="18"/>
  <c r="I44" i="18"/>
  <c r="H44" i="18"/>
  <c r="C44" i="18"/>
  <c r="B45" i="18"/>
  <c r="D44" i="18"/>
  <c r="S46" i="18"/>
  <c r="Q47" i="18"/>
  <c r="R46" i="18"/>
  <c r="O44" i="18" l="1"/>
  <c r="N45" i="18"/>
  <c r="M45" i="18"/>
  <c r="L46" i="18"/>
  <c r="T46" i="18"/>
  <c r="C45" i="18"/>
  <c r="B46" i="18"/>
  <c r="D45" i="18"/>
  <c r="J44" i="18"/>
  <c r="I45" i="18"/>
  <c r="H45" i="18"/>
  <c r="G46" i="18"/>
  <c r="E44" i="18"/>
  <c r="S47" i="18"/>
  <c r="Q48" i="18"/>
  <c r="R47" i="18"/>
  <c r="O45" i="18" l="1"/>
  <c r="L47" i="18"/>
  <c r="N46" i="18"/>
  <c r="M46" i="18"/>
  <c r="T47" i="18"/>
  <c r="J45" i="18"/>
  <c r="I46" i="18"/>
  <c r="H46" i="18"/>
  <c r="G47" i="18"/>
  <c r="E45" i="18"/>
  <c r="C46" i="18"/>
  <c r="D46" i="18"/>
  <c r="B47" i="18"/>
  <c r="S48" i="18"/>
  <c r="Q49" i="18"/>
  <c r="R48" i="18"/>
  <c r="O46" i="18" l="1"/>
  <c r="M47" i="18"/>
  <c r="L48" i="18"/>
  <c r="N47" i="18"/>
  <c r="J46" i="18"/>
  <c r="T48" i="18"/>
  <c r="D47" i="18"/>
  <c r="C47" i="18"/>
  <c r="B48" i="18"/>
  <c r="E46" i="18"/>
  <c r="G48" i="18"/>
  <c r="I47" i="18"/>
  <c r="H47" i="18"/>
  <c r="S49" i="18"/>
  <c r="Q50" i="18"/>
  <c r="R49" i="18"/>
  <c r="O47" i="18" l="1"/>
  <c r="M48" i="18"/>
  <c r="L49" i="18"/>
  <c r="N48" i="18"/>
  <c r="T49" i="18"/>
  <c r="J47" i="18"/>
  <c r="E47" i="18"/>
  <c r="I48" i="18"/>
  <c r="H48" i="18"/>
  <c r="G49" i="18"/>
  <c r="C48" i="18"/>
  <c r="B49" i="18"/>
  <c r="D48" i="18"/>
  <c r="S50" i="18"/>
  <c r="Q51" i="18"/>
  <c r="R50" i="18"/>
  <c r="O48" i="18" l="1"/>
  <c r="N49" i="18"/>
  <c r="M49" i="18"/>
  <c r="L50" i="18"/>
  <c r="T50" i="18"/>
  <c r="E48" i="18"/>
  <c r="J48" i="18"/>
  <c r="C49" i="18"/>
  <c r="B50" i="18"/>
  <c r="D49" i="18"/>
  <c r="I49" i="18"/>
  <c r="H49" i="18"/>
  <c r="G50" i="18"/>
  <c r="S51" i="18"/>
  <c r="Q52" i="18"/>
  <c r="R51" i="18"/>
  <c r="M50" i="18" l="1"/>
  <c r="L51" i="18"/>
  <c r="N50" i="18"/>
  <c r="O49" i="18"/>
  <c r="T51" i="18"/>
  <c r="J49" i="18"/>
  <c r="G51" i="18"/>
  <c r="I50" i="18"/>
  <c r="H50" i="18"/>
  <c r="C50" i="18"/>
  <c r="B51" i="18"/>
  <c r="D50" i="18"/>
  <c r="E49" i="18"/>
  <c r="S52" i="18"/>
  <c r="Q53" i="18"/>
  <c r="R52" i="18"/>
  <c r="B13" i="15"/>
  <c r="B19" i="15" s="1"/>
  <c r="B25" i="15" s="1"/>
  <c r="B31" i="15" s="1"/>
  <c r="B37" i="15" s="1"/>
  <c r="B43" i="15" s="1"/>
  <c r="B49" i="15" s="1"/>
  <c r="B55" i="15" s="1"/>
  <c r="B61" i="15" s="1"/>
  <c r="B67" i="15" s="1"/>
  <c r="B73" i="15" s="1"/>
  <c r="B79" i="15" s="1"/>
  <c r="B85" i="15" s="1"/>
  <c r="B91" i="15" s="1"/>
  <c r="B97" i="15" s="1"/>
  <c r="B103" i="15" s="1"/>
  <c r="N51" i="18" l="1"/>
  <c r="M51" i="18"/>
  <c r="L52" i="18"/>
  <c r="O50" i="18"/>
  <c r="T52" i="18"/>
  <c r="J50" i="18"/>
  <c r="E50" i="18"/>
  <c r="C51" i="18"/>
  <c r="B52" i="18"/>
  <c r="D51" i="18"/>
  <c r="G52" i="18"/>
  <c r="I51" i="18"/>
  <c r="H51" i="18"/>
  <c r="S53" i="18"/>
  <c r="Q54" i="18"/>
  <c r="R53" i="18"/>
  <c r="K10" i="2"/>
  <c r="M52" i="18" l="1"/>
  <c r="L53" i="18"/>
  <c r="N52" i="18"/>
  <c r="O51" i="18"/>
  <c r="T53" i="18"/>
  <c r="J51" i="18"/>
  <c r="E51" i="18"/>
  <c r="G53" i="18"/>
  <c r="I52" i="18"/>
  <c r="H52" i="18"/>
  <c r="C52" i="18"/>
  <c r="D52" i="18"/>
  <c r="B53" i="18"/>
  <c r="S54" i="18"/>
  <c r="Q55" i="18"/>
  <c r="R54" i="18"/>
  <c r="O52" i="18" l="1"/>
  <c r="N53" i="18"/>
  <c r="M53" i="18"/>
  <c r="L54" i="18"/>
  <c r="T54" i="18"/>
  <c r="J52" i="18"/>
  <c r="C53" i="18"/>
  <c r="B54" i="18"/>
  <c r="D53" i="18"/>
  <c r="E52" i="18"/>
  <c r="G54" i="18"/>
  <c r="I53" i="18"/>
  <c r="H53" i="18"/>
  <c r="S55" i="18"/>
  <c r="Q56" i="18"/>
  <c r="R55" i="18"/>
  <c r="S27" i="10"/>
  <c r="O53" i="18" l="1"/>
  <c r="T55" i="18"/>
  <c r="N54" i="18"/>
  <c r="M54" i="18"/>
  <c r="L55" i="18"/>
  <c r="J53" i="18"/>
  <c r="C54" i="18"/>
  <c r="B55" i="18"/>
  <c r="D54" i="18"/>
  <c r="G55" i="18"/>
  <c r="I54" i="18"/>
  <c r="H54" i="18"/>
  <c r="E53" i="18"/>
  <c r="S56" i="18"/>
  <c r="Q57" i="18"/>
  <c r="R56" i="18"/>
  <c r="T26" i="10"/>
  <c r="S26" i="10"/>
  <c r="R26" i="10"/>
  <c r="U25" i="10"/>
  <c r="T25" i="10"/>
  <c r="S25" i="10"/>
  <c r="R25" i="10"/>
  <c r="O54" i="18" l="1"/>
  <c r="T56" i="18"/>
  <c r="M55" i="18"/>
  <c r="L56" i="18"/>
  <c r="N55" i="18"/>
  <c r="J54" i="18"/>
  <c r="G56" i="18"/>
  <c r="I55" i="18"/>
  <c r="H55" i="18"/>
  <c r="C55" i="18"/>
  <c r="D55" i="18"/>
  <c r="B56" i="18"/>
  <c r="E54" i="18"/>
  <c r="S57" i="18"/>
  <c r="R57" i="18"/>
  <c r="Q58" i="18"/>
  <c r="R30" i="10"/>
  <c r="D15" i="3" s="1"/>
  <c r="G24" i="3"/>
  <c r="F24" i="3"/>
  <c r="G23" i="3"/>
  <c r="F23" i="3"/>
  <c r="B24" i="3"/>
  <c r="F22" i="3"/>
  <c r="G21" i="3"/>
  <c r="F21" i="3"/>
  <c r="G20" i="3"/>
  <c r="F20" i="3"/>
  <c r="F9" i="3"/>
  <c r="K2" i="3"/>
  <c r="H14" i="3"/>
  <c r="E3" i="3" l="1"/>
  <c r="F3" i="3"/>
  <c r="D14" i="3"/>
  <c r="J3" i="3"/>
  <c r="H3" i="3"/>
  <c r="I3" i="3"/>
  <c r="G3" i="3"/>
  <c r="H12" i="3"/>
  <c r="L57" i="18"/>
  <c r="N56" i="18"/>
  <c r="M56" i="18"/>
  <c r="O55" i="18"/>
  <c r="E55" i="18"/>
  <c r="T57" i="18"/>
  <c r="J55" i="18"/>
  <c r="I56" i="18"/>
  <c r="H56" i="18"/>
  <c r="G57" i="18"/>
  <c r="D56" i="18"/>
  <c r="C56" i="18"/>
  <c r="B57" i="18"/>
  <c r="S58" i="18"/>
  <c r="Q59" i="18"/>
  <c r="R58" i="18"/>
  <c r="T30" i="10"/>
  <c r="H13" i="3" l="1"/>
  <c r="T58" i="18"/>
  <c r="O56" i="18"/>
  <c r="N57" i="18"/>
  <c r="M57" i="18"/>
  <c r="L58" i="18"/>
  <c r="J56" i="18"/>
  <c r="E56" i="18"/>
  <c r="G58" i="18"/>
  <c r="I57" i="18"/>
  <c r="H57" i="18"/>
  <c r="C57" i="18"/>
  <c r="B58" i="18"/>
  <c r="D57" i="18"/>
  <c r="S59" i="18"/>
  <c r="Q60" i="18"/>
  <c r="R59" i="18"/>
  <c r="S30" i="10"/>
  <c r="O57" i="18" l="1"/>
  <c r="M58" i="18"/>
  <c r="L59" i="18"/>
  <c r="N58" i="18"/>
  <c r="T59" i="18"/>
  <c r="D58" i="18"/>
  <c r="C58" i="18"/>
  <c r="B59" i="18"/>
  <c r="J57" i="18"/>
  <c r="I58" i="18"/>
  <c r="H58" i="18"/>
  <c r="G59" i="18"/>
  <c r="E57" i="18"/>
  <c r="S60" i="18"/>
  <c r="Q61" i="18"/>
  <c r="R60" i="18"/>
  <c r="H15" i="3"/>
  <c r="Z68" i="6"/>
  <c r="Z69" i="6"/>
  <c r="Z70" i="6"/>
  <c r="Z71" i="6"/>
  <c r="Z72" i="6"/>
  <c r="Z73" i="6"/>
  <c r="Z74" i="6"/>
  <c r="Z75" i="6"/>
  <c r="Z76" i="6"/>
  <c r="Z77" i="6"/>
  <c r="Z78" i="6"/>
  <c r="Z79" i="6"/>
  <c r="Z80" i="6"/>
  <c r="Z81" i="6"/>
  <c r="Z82" i="6"/>
  <c r="Z83" i="6"/>
  <c r="Z84" i="6"/>
  <c r="Z85" i="6"/>
  <c r="Z86" i="6"/>
  <c r="Z87" i="6"/>
  <c r="Z88" i="6"/>
  <c r="Z89" i="6"/>
  <c r="Z90" i="6"/>
  <c r="Z91" i="6"/>
  <c r="Z92" i="6"/>
  <c r="Z93" i="6"/>
  <c r="Z94" i="6"/>
  <c r="Z95" i="6"/>
  <c r="Z96" i="6"/>
  <c r="Z97" i="6"/>
  <c r="Z98" i="6"/>
  <c r="Z99" i="6"/>
  <c r="Z100" i="6"/>
  <c r="Z101" i="6"/>
  <c r="Z102" i="6"/>
  <c r="Z103" i="6"/>
  <c r="Z104" i="6"/>
  <c r="Z105" i="6"/>
  <c r="Z106" i="6"/>
  <c r="Z107" i="6"/>
  <c r="Z108" i="6"/>
  <c r="Z109" i="6"/>
  <c r="Z110" i="6"/>
  <c r="Z111" i="6"/>
  <c r="Z112" i="6"/>
  <c r="Z113" i="6"/>
  <c r="Z114" i="6"/>
  <c r="Z115" i="6"/>
  <c r="F2" i="7"/>
  <c r="F3" i="7"/>
  <c r="F4" i="7"/>
  <c r="B5" i="7"/>
  <c r="B22" i="7" s="1"/>
  <c r="F5" i="7"/>
  <c r="F6" i="7"/>
  <c r="F7" i="7"/>
  <c r="F8" i="7"/>
  <c r="F9" i="7"/>
  <c r="F10" i="7"/>
  <c r="F11" i="7"/>
  <c r="F12" i="7"/>
  <c r="F13" i="7"/>
  <c r="F14" i="7"/>
  <c r="F15" i="7"/>
  <c r="F16" i="7"/>
  <c r="F17" i="7"/>
  <c r="F18" i="7"/>
  <c r="B23" i="7"/>
  <c r="B24" i="7"/>
  <c r="C24" i="7" s="1"/>
  <c r="D24" i="7" s="1"/>
  <c r="E24" i="7" s="1"/>
  <c r="F24" i="7" s="1"/>
  <c r="G24" i="7" s="1"/>
  <c r="H24" i="7" s="1"/>
  <c r="I24" i="7" s="1"/>
  <c r="J24" i="7" s="1"/>
  <c r="K24" i="7" s="1"/>
  <c r="L24" i="7" s="1"/>
  <c r="M24" i="7" s="1"/>
  <c r="N24" i="7" s="1"/>
  <c r="O24" i="7" s="1"/>
  <c r="P24" i="7" s="1"/>
  <c r="Q24" i="7" s="1"/>
  <c r="R24" i="7" s="1"/>
  <c r="S24" i="7" s="1"/>
  <c r="B25" i="7"/>
  <c r="B26" i="7"/>
  <c r="C26" i="7" s="1"/>
  <c r="D26" i="7" s="1"/>
  <c r="E26" i="7" s="1"/>
  <c r="F26" i="7" s="1"/>
  <c r="G26" i="7" s="1"/>
  <c r="H26" i="7" s="1"/>
  <c r="I26" i="7" s="1"/>
  <c r="J26" i="7" s="1"/>
  <c r="K26" i="7" s="1"/>
  <c r="L26" i="7" s="1"/>
  <c r="M26" i="7" s="1"/>
  <c r="N26" i="7" s="1"/>
  <c r="O26" i="7" s="1"/>
  <c r="P26" i="7" s="1"/>
  <c r="Q26" i="7" s="1"/>
  <c r="R26" i="7" s="1"/>
  <c r="S26" i="7" s="1"/>
  <c r="B27" i="7"/>
  <c r="B28" i="7"/>
  <c r="B29" i="7"/>
  <c r="B30" i="7"/>
  <c r="B31" i="7"/>
  <c r="D29" i="9"/>
  <c r="D30" i="9" s="1"/>
  <c r="D31" i="9" s="1"/>
  <c r="D32" i="9" s="1"/>
  <c r="D33" i="9" s="1"/>
  <c r="D34" i="9" s="1"/>
  <c r="D35" i="9" s="1"/>
  <c r="D36" i="9" s="1"/>
  <c r="D37" i="9" s="1"/>
  <c r="D38" i="9" s="1"/>
  <c r="D39" i="9" s="1"/>
  <c r="D40" i="9" s="1"/>
  <c r="D41" i="9" s="1"/>
  <c r="D42" i="9" s="1"/>
  <c r="D43" i="9" s="1"/>
  <c r="D44" i="9" s="1"/>
  <c r="D45" i="9" s="1"/>
  <c r="D46" i="9" s="1"/>
  <c r="D47" i="9" s="1"/>
  <c r="D48" i="9" s="1"/>
  <c r="D49" i="9" s="1"/>
  <c r="D50" i="9" s="1"/>
  <c r="D51" i="9" s="1"/>
  <c r="D52" i="9" s="1"/>
  <c r="H29" i="9"/>
  <c r="H30" i="9" s="1"/>
  <c r="H31" i="9" s="1"/>
  <c r="H32" i="9" s="1"/>
  <c r="H33" i="9" s="1"/>
  <c r="H34" i="9" s="1"/>
  <c r="H35" i="9" s="1"/>
  <c r="H36" i="9" s="1"/>
  <c r="H37" i="9" s="1"/>
  <c r="H38" i="9" s="1"/>
  <c r="H39" i="9" s="1"/>
  <c r="H40" i="9" s="1"/>
  <c r="H41" i="9" s="1"/>
  <c r="H42" i="9" s="1"/>
  <c r="H43" i="9" s="1"/>
  <c r="H44" i="9" s="1"/>
  <c r="H45" i="9" s="1"/>
  <c r="H46" i="9" s="1"/>
  <c r="H47" i="9" s="1"/>
  <c r="H48" i="9" s="1"/>
  <c r="H49" i="9" s="1"/>
  <c r="H50" i="9" s="1"/>
  <c r="H51" i="9" s="1"/>
  <c r="H52" i="9" s="1"/>
  <c r="H53" i="9" s="1"/>
  <c r="H54" i="9" s="1"/>
  <c r="H55" i="9" s="1"/>
  <c r="H56" i="9" s="1"/>
  <c r="H57" i="9" s="1"/>
  <c r="H58" i="9" s="1"/>
  <c r="H59" i="9" s="1"/>
  <c r="H60" i="9" s="1"/>
  <c r="H61" i="9" s="1"/>
  <c r="H62" i="9" s="1"/>
  <c r="H63" i="9" s="1"/>
  <c r="H64" i="9" s="1"/>
  <c r="H65" i="9" s="1"/>
  <c r="H66" i="9" s="1"/>
  <c r="H67" i="9" s="1"/>
  <c r="H68" i="9" s="1"/>
  <c r="H69" i="9" s="1"/>
  <c r="H70" i="9" s="1"/>
  <c r="H71" i="9" s="1"/>
  <c r="H72" i="9" s="1"/>
  <c r="H73" i="9" s="1"/>
  <c r="H74" i="9" s="1"/>
  <c r="H75" i="9" s="1"/>
  <c r="H76" i="9" s="1"/>
  <c r="H77" i="9" s="1"/>
  <c r="H78" i="9" s="1"/>
  <c r="C25" i="7"/>
  <c r="C28" i="7"/>
  <c r="C27" i="7"/>
  <c r="C31" i="7"/>
  <c r="C30" i="7"/>
  <c r="C23" i="7"/>
  <c r="C29" i="7"/>
  <c r="D53" i="9" l="1"/>
  <c r="F19" i="7"/>
  <c r="T60" i="18"/>
  <c r="O58" i="18"/>
  <c r="M59" i="18"/>
  <c r="L60" i="18"/>
  <c r="N59" i="18"/>
  <c r="J58" i="18"/>
  <c r="I59" i="18"/>
  <c r="H59" i="18"/>
  <c r="G60" i="18"/>
  <c r="C59" i="18"/>
  <c r="B60" i="18"/>
  <c r="D59" i="18"/>
  <c r="E58" i="18"/>
  <c r="S61" i="18"/>
  <c r="Q62" i="18"/>
  <c r="R61" i="18"/>
  <c r="C22" i="7"/>
  <c r="H79" i="9"/>
  <c r="H80" i="9" s="1"/>
  <c r="H81" i="9" s="1"/>
  <c r="H82" i="9" s="1"/>
  <c r="H83" i="9" s="1"/>
  <c r="H84" i="9" s="1"/>
  <c r="H85" i="9" s="1"/>
  <c r="H86" i="9" s="1"/>
  <c r="H87" i="9" s="1"/>
  <c r="H88" i="9" s="1"/>
  <c r="H89" i="9" s="1"/>
  <c r="H90" i="9" s="1"/>
  <c r="H91" i="9" s="1"/>
  <c r="H92" i="9" s="1"/>
  <c r="H93" i="9" s="1"/>
  <c r="H94" i="9" s="1"/>
  <c r="H95" i="9" s="1"/>
  <c r="H96" i="9" s="1"/>
  <c r="H97" i="9" s="1"/>
  <c r="H98" i="9" s="1"/>
  <c r="H99" i="9" s="1"/>
  <c r="H100" i="9" s="1"/>
  <c r="H101" i="9" s="1"/>
  <c r="H102" i="9" s="1"/>
  <c r="H103" i="9" s="1"/>
  <c r="H104" i="9" s="1"/>
  <c r="H105" i="9" s="1"/>
  <c r="H106" i="9" s="1"/>
  <c r="H107" i="9" s="1"/>
  <c r="H108" i="9" s="1"/>
  <c r="H109" i="9" s="1"/>
  <c r="H110" i="9" s="1"/>
  <c r="H111" i="9" s="1"/>
  <c r="H112" i="9" s="1"/>
  <c r="H113" i="9" s="1"/>
  <c r="H114" i="9" s="1"/>
  <c r="H115" i="9" s="1"/>
  <c r="H116" i="9" s="1"/>
  <c r="H117" i="9" s="1"/>
  <c r="H118" i="9" s="1"/>
  <c r="H119" i="9" s="1"/>
  <c r="H120" i="9" s="1"/>
  <c r="H121" i="9" s="1"/>
  <c r="H122" i="9" s="1"/>
  <c r="H123" i="9" s="1"/>
  <c r="H124" i="9" s="1"/>
  <c r="H125" i="9" s="1"/>
  <c r="H126" i="9" s="1"/>
  <c r="H127" i="9" s="1"/>
  <c r="H128" i="9" s="1"/>
  <c r="D29" i="7"/>
  <c r="D23" i="7"/>
  <c r="D27" i="7"/>
  <c r="D31" i="7"/>
  <c r="D30" i="7"/>
  <c r="D25" i="7"/>
  <c r="D28" i="7"/>
  <c r="D54" i="9" l="1"/>
  <c r="D55" i="9" s="1"/>
  <c r="D56" i="9" s="1"/>
  <c r="D57" i="9" s="1"/>
  <c r="D58" i="9" s="1"/>
  <c r="D59" i="9" s="1"/>
  <c r="D60" i="9" s="1"/>
  <c r="D61" i="9" s="1"/>
  <c r="D62" i="9" s="1"/>
  <c r="D63" i="9" s="1"/>
  <c r="D64" i="9" s="1"/>
  <c r="D65" i="9" s="1"/>
  <c r="D66" i="9" s="1"/>
  <c r="D67" i="9" s="1"/>
  <c r="D68" i="9" s="1"/>
  <c r="D69" i="9" s="1"/>
  <c r="D70" i="9" s="1"/>
  <c r="D71" i="9" s="1"/>
  <c r="D72" i="9" s="1"/>
  <c r="D73" i="9" s="1"/>
  <c r="D74" i="9" s="1"/>
  <c r="D75" i="9" s="1"/>
  <c r="D76" i="9" s="1"/>
  <c r="D77" i="9" s="1"/>
  <c r="T61" i="18"/>
  <c r="O59" i="18"/>
  <c r="M60" i="18"/>
  <c r="L61" i="18"/>
  <c r="N60" i="18"/>
  <c r="J59" i="18"/>
  <c r="C60" i="18"/>
  <c r="B61" i="18"/>
  <c r="D60" i="18"/>
  <c r="G61" i="18"/>
  <c r="I60" i="18"/>
  <c r="H60" i="18"/>
  <c r="E59" i="18"/>
  <c r="S62" i="18"/>
  <c r="Q63" i="18"/>
  <c r="R62" i="18"/>
  <c r="D22" i="7"/>
  <c r="E4" i="2"/>
  <c r="AK21" i="2"/>
  <c r="AL21" i="2"/>
  <c r="AM21" i="2"/>
  <c r="Z23" i="2"/>
  <c r="AA23" i="2"/>
  <c r="AB23" i="2"/>
  <c r="AC23" i="2"/>
  <c r="AD23" i="2"/>
  <c r="AE23" i="2"/>
  <c r="AF23" i="2"/>
  <c r="AG23" i="2"/>
  <c r="AH23" i="2"/>
  <c r="AI23" i="2"/>
  <c r="AJ23" i="2"/>
  <c r="AK23" i="2"/>
  <c r="AL23" i="2"/>
  <c r="AM23" i="2"/>
  <c r="AN23" i="2"/>
  <c r="AO23" i="2"/>
  <c r="AP23" i="2"/>
  <c r="AQ23" i="2"/>
  <c r="AR23" i="2"/>
  <c r="AS23" i="2"/>
  <c r="AT23" i="2"/>
  <c r="AU23" i="2"/>
  <c r="AV23" i="2"/>
  <c r="AW23" i="2"/>
  <c r="AX23" i="2"/>
  <c r="AY23" i="2"/>
  <c r="AZ23" i="2"/>
  <c r="BA23" i="2"/>
  <c r="BB23" i="2"/>
  <c r="BC23" i="2"/>
  <c r="BD23" i="2"/>
  <c r="BE23" i="2"/>
  <c r="BF23" i="2"/>
  <c r="BG23" i="2"/>
  <c r="BH23" i="2"/>
  <c r="BI23" i="2"/>
  <c r="BJ23" i="2"/>
  <c r="BK23" i="2"/>
  <c r="BL23" i="2"/>
  <c r="BM23" i="2"/>
  <c r="BN23" i="2"/>
  <c r="Z24" i="2"/>
  <c r="AA24" i="2"/>
  <c r="AB24" i="2"/>
  <c r="AC24" i="2"/>
  <c r="AD24" i="2"/>
  <c r="AE24" i="2"/>
  <c r="AF24" i="2"/>
  <c r="AG24" i="2"/>
  <c r="AH24" i="2"/>
  <c r="AI24" i="2"/>
  <c r="AJ24" i="2"/>
  <c r="AK24" i="2"/>
  <c r="AL24" i="2"/>
  <c r="AM24" i="2"/>
  <c r="AN24" i="2"/>
  <c r="AO24" i="2"/>
  <c r="AP24" i="2"/>
  <c r="AQ24" i="2"/>
  <c r="AR24" i="2"/>
  <c r="AS24" i="2"/>
  <c r="AT24" i="2"/>
  <c r="AU24" i="2"/>
  <c r="AV24" i="2"/>
  <c r="AW24" i="2"/>
  <c r="AX24" i="2"/>
  <c r="AY24" i="2"/>
  <c r="AZ24" i="2"/>
  <c r="BA24" i="2"/>
  <c r="BB24" i="2"/>
  <c r="BC24" i="2"/>
  <c r="BD24" i="2"/>
  <c r="BE24" i="2"/>
  <c r="BF24" i="2"/>
  <c r="BG24" i="2"/>
  <c r="BH24" i="2"/>
  <c r="BI24" i="2"/>
  <c r="BJ24" i="2"/>
  <c r="BK24" i="2"/>
  <c r="BL24" i="2"/>
  <c r="BM24" i="2"/>
  <c r="BN24" i="2"/>
  <c r="Z25" i="2"/>
  <c r="AI17" i="2" s="1"/>
  <c r="AA25" i="2"/>
  <c r="AB25" i="2"/>
  <c r="AC25" i="2"/>
  <c r="AD25" i="2"/>
  <c r="AE25" i="2"/>
  <c r="AF25" i="2"/>
  <c r="AG25" i="2"/>
  <c r="AH25" i="2"/>
  <c r="AI25" i="2"/>
  <c r="AJ25" i="2"/>
  <c r="AK25" i="2"/>
  <c r="AL25" i="2"/>
  <c r="AM25" i="2"/>
  <c r="AN25" i="2"/>
  <c r="AO25" i="2"/>
  <c r="AP25" i="2"/>
  <c r="AQ25" i="2"/>
  <c r="AR25" i="2"/>
  <c r="AS25" i="2"/>
  <c r="AT25" i="2"/>
  <c r="AU25" i="2"/>
  <c r="AV25" i="2"/>
  <c r="AW25" i="2"/>
  <c r="AX25" i="2"/>
  <c r="AY25" i="2"/>
  <c r="AZ25" i="2"/>
  <c r="BA25" i="2"/>
  <c r="BB25" i="2"/>
  <c r="BC25" i="2"/>
  <c r="BD25" i="2"/>
  <c r="BE25" i="2"/>
  <c r="BF25" i="2"/>
  <c r="BG25" i="2"/>
  <c r="BH25" i="2"/>
  <c r="BI25" i="2"/>
  <c r="BJ25" i="2"/>
  <c r="BK25" i="2"/>
  <c r="BL25" i="2"/>
  <c r="BM25" i="2"/>
  <c r="BN25" i="2"/>
  <c r="Z26" i="2"/>
  <c r="AA26" i="2"/>
  <c r="AB26" i="2"/>
  <c r="AC26" i="2"/>
  <c r="AD26" i="2"/>
  <c r="AE26" i="2"/>
  <c r="AF26" i="2"/>
  <c r="AG26" i="2"/>
  <c r="AH26" i="2"/>
  <c r="AI26" i="2"/>
  <c r="AJ26" i="2"/>
  <c r="AK26" i="2"/>
  <c r="AL26" i="2"/>
  <c r="AM26" i="2"/>
  <c r="AN26" i="2"/>
  <c r="AO26" i="2"/>
  <c r="AP26" i="2"/>
  <c r="AQ26" i="2"/>
  <c r="AR26" i="2"/>
  <c r="AS26" i="2"/>
  <c r="AT26" i="2"/>
  <c r="AU26" i="2"/>
  <c r="AV26" i="2"/>
  <c r="AW26" i="2"/>
  <c r="AX26" i="2"/>
  <c r="AY26" i="2"/>
  <c r="AZ26" i="2"/>
  <c r="BA26" i="2"/>
  <c r="BB26" i="2"/>
  <c r="BC26" i="2"/>
  <c r="BD26" i="2"/>
  <c r="BE26" i="2"/>
  <c r="BF26" i="2"/>
  <c r="BG26" i="2"/>
  <c r="BH26" i="2"/>
  <c r="BI26" i="2"/>
  <c r="BJ26" i="2"/>
  <c r="BK26" i="2"/>
  <c r="BL26" i="2"/>
  <c r="BM26" i="2"/>
  <c r="BN26" i="2"/>
  <c r="Z27" i="2"/>
  <c r="AA27" i="2"/>
  <c r="AB27" i="2"/>
  <c r="AC27" i="2"/>
  <c r="AD27" i="2"/>
  <c r="AE27" i="2"/>
  <c r="AF27" i="2"/>
  <c r="AG27" i="2"/>
  <c r="AH27" i="2"/>
  <c r="AI27" i="2"/>
  <c r="AJ27" i="2"/>
  <c r="AK27" i="2"/>
  <c r="AL27" i="2"/>
  <c r="AM27" i="2"/>
  <c r="AN27" i="2"/>
  <c r="AO27" i="2"/>
  <c r="AP27" i="2"/>
  <c r="AQ27" i="2"/>
  <c r="AR27" i="2"/>
  <c r="AS27" i="2"/>
  <c r="AT27" i="2"/>
  <c r="AU27" i="2"/>
  <c r="AV27" i="2"/>
  <c r="AW27" i="2"/>
  <c r="AX27" i="2"/>
  <c r="AY27" i="2"/>
  <c r="AZ27" i="2"/>
  <c r="BA27" i="2"/>
  <c r="BB27" i="2"/>
  <c r="BC27" i="2"/>
  <c r="BD27" i="2"/>
  <c r="BE27" i="2"/>
  <c r="BF27" i="2"/>
  <c r="BG27" i="2"/>
  <c r="BH27" i="2"/>
  <c r="BI27" i="2"/>
  <c r="BJ27" i="2"/>
  <c r="BK27" i="2"/>
  <c r="BL27" i="2"/>
  <c r="BM27" i="2"/>
  <c r="BN27" i="2"/>
  <c r="Z28" i="2"/>
  <c r="AI20" i="2" s="1"/>
  <c r="AA28" i="2"/>
  <c r="AB28" i="2"/>
  <c r="AC28" i="2"/>
  <c r="AD28" i="2"/>
  <c r="AE28" i="2"/>
  <c r="AF28" i="2"/>
  <c r="AG28" i="2"/>
  <c r="AH28" i="2"/>
  <c r="AI28" i="2"/>
  <c r="AJ28" i="2"/>
  <c r="AK28" i="2"/>
  <c r="AL28" i="2"/>
  <c r="AM28" i="2"/>
  <c r="AN28" i="2"/>
  <c r="AO28" i="2"/>
  <c r="AP28" i="2"/>
  <c r="AQ28" i="2"/>
  <c r="AR28" i="2"/>
  <c r="AS28" i="2"/>
  <c r="AT28" i="2"/>
  <c r="AU28" i="2"/>
  <c r="AV28" i="2"/>
  <c r="AW28" i="2"/>
  <c r="AX28" i="2"/>
  <c r="AY28" i="2"/>
  <c r="AZ28" i="2"/>
  <c r="BA28" i="2"/>
  <c r="BB28" i="2"/>
  <c r="BC28" i="2"/>
  <c r="BD28" i="2"/>
  <c r="BE28" i="2"/>
  <c r="BF28" i="2"/>
  <c r="BG28" i="2"/>
  <c r="BH28" i="2"/>
  <c r="BI28" i="2"/>
  <c r="BJ28" i="2"/>
  <c r="BK28" i="2"/>
  <c r="BL28" i="2"/>
  <c r="BM28" i="2"/>
  <c r="BN28" i="2"/>
  <c r="E25" i="7"/>
  <c r="E31" i="7"/>
  <c r="E23" i="7"/>
  <c r="E28" i="7"/>
  <c r="E27" i="7"/>
  <c r="E29" i="7"/>
  <c r="E30" i="7"/>
  <c r="J9" i="3" l="1"/>
  <c r="E6" i="3" s="1"/>
  <c r="H9" i="3"/>
  <c r="T62" i="18"/>
  <c r="O60" i="18"/>
  <c r="M61" i="18"/>
  <c r="L62" i="18"/>
  <c r="N61" i="18"/>
  <c r="J60" i="18"/>
  <c r="G62" i="18"/>
  <c r="I61" i="18"/>
  <c r="H61" i="18"/>
  <c r="C61" i="18"/>
  <c r="B62" i="18"/>
  <c r="D61" i="18"/>
  <c r="E60" i="18"/>
  <c r="S63" i="18"/>
  <c r="Q64" i="18"/>
  <c r="R63" i="18"/>
  <c r="E22" i="7"/>
  <c r="AI15" i="2"/>
  <c r="J21" i="2"/>
  <c r="J25" i="2"/>
  <c r="J24" i="2"/>
  <c r="H22" i="2"/>
  <c r="K26" i="2"/>
  <c r="H26" i="2"/>
  <c r="K25" i="2"/>
  <c r="H25" i="2"/>
  <c r="K24" i="2"/>
  <c r="H24" i="2"/>
  <c r="K23" i="2"/>
  <c r="H23" i="2"/>
  <c r="J22" i="2"/>
  <c r="AI19" i="2"/>
  <c r="AI18" i="2"/>
  <c r="AI16" i="2"/>
  <c r="J26" i="2"/>
  <c r="J23" i="2"/>
  <c r="K22" i="2"/>
  <c r="K21" i="2"/>
  <c r="H21" i="2"/>
  <c r="F29" i="7"/>
  <c r="F25" i="7"/>
  <c r="F31" i="7"/>
  <c r="F28" i="7"/>
  <c r="F23" i="7"/>
  <c r="F30" i="7"/>
  <c r="F27" i="7"/>
  <c r="H6" i="3" l="1"/>
  <c r="I6" i="3"/>
  <c r="J6" i="3"/>
  <c r="J10" i="3"/>
  <c r="G6" i="3"/>
  <c r="F6" i="3"/>
  <c r="M62" i="18"/>
  <c r="L63" i="18"/>
  <c r="N62" i="18"/>
  <c r="O61" i="18"/>
  <c r="T63" i="18"/>
  <c r="J61" i="18"/>
  <c r="D62" i="18"/>
  <c r="C62" i="18"/>
  <c r="B63" i="18"/>
  <c r="I62" i="18"/>
  <c r="H62" i="18"/>
  <c r="G63" i="18"/>
  <c r="E61" i="18"/>
  <c r="S64" i="18"/>
  <c r="Q65" i="18"/>
  <c r="R64" i="18"/>
  <c r="F22" i="7"/>
  <c r="AL16" i="2"/>
  <c r="AK16" i="2"/>
  <c r="AN16" i="2"/>
  <c r="AM16" i="2"/>
  <c r="AL15" i="2"/>
  <c r="AN15" i="2"/>
  <c r="AK15" i="2"/>
  <c r="AM15" i="2"/>
  <c r="AL17" i="2"/>
  <c r="AN17" i="2"/>
  <c r="AK17" i="2"/>
  <c r="AM17" i="2"/>
  <c r="AK18" i="2"/>
  <c r="AM18" i="2"/>
  <c r="AL18" i="2"/>
  <c r="AN18" i="2"/>
  <c r="AK19" i="2"/>
  <c r="AM19" i="2"/>
  <c r="AL19" i="2"/>
  <c r="AN19" i="2"/>
  <c r="AL20" i="2"/>
  <c r="AN20" i="2"/>
  <c r="AK20" i="2"/>
  <c r="AM20" i="2"/>
  <c r="G31" i="7"/>
  <c r="G27" i="7"/>
  <c r="G30" i="7"/>
  <c r="G29" i="7"/>
  <c r="G28" i="7"/>
  <c r="G23" i="7"/>
  <c r="G25" i="7"/>
  <c r="T64" i="18" l="1"/>
  <c r="L64" i="18"/>
  <c r="N63" i="18"/>
  <c r="M63" i="18"/>
  <c r="O62" i="18"/>
  <c r="G22" i="7"/>
  <c r="I63" i="18"/>
  <c r="H63" i="18"/>
  <c r="G64" i="18"/>
  <c r="E62" i="18"/>
  <c r="J62" i="18"/>
  <c r="D63" i="18"/>
  <c r="C63" i="18"/>
  <c r="B64" i="18"/>
  <c r="S65" i="18"/>
  <c r="Q66" i="18"/>
  <c r="R65" i="18"/>
  <c r="AK7" i="2"/>
  <c r="O22" i="2" s="1"/>
  <c r="U22" i="2" s="1"/>
  <c r="AK6" i="2"/>
  <c r="O21" i="2" s="1"/>
  <c r="U21" i="2" s="1"/>
  <c r="AK11" i="2"/>
  <c r="O26" i="2" s="1"/>
  <c r="U26" i="2" s="1"/>
  <c r="AK8" i="2"/>
  <c r="O23" i="2" s="1"/>
  <c r="U23" i="2" s="1"/>
  <c r="AK10" i="2"/>
  <c r="O25" i="2" s="1"/>
  <c r="U25" i="2" s="1"/>
  <c r="AK9" i="2"/>
  <c r="O24" i="2" s="1"/>
  <c r="U24" i="2" s="1"/>
  <c r="H27" i="7"/>
  <c r="H30" i="7"/>
  <c r="H23" i="7"/>
  <c r="H28" i="7"/>
  <c r="H25" i="7"/>
  <c r="H29" i="7"/>
  <c r="H31" i="7"/>
  <c r="T24" i="2" l="1"/>
  <c r="S24" i="2"/>
  <c r="R24" i="2"/>
  <c r="T21" i="2"/>
  <c r="S21" i="2"/>
  <c r="R21" i="2"/>
  <c r="R25" i="2"/>
  <c r="T25" i="2"/>
  <c r="S25" i="2"/>
  <c r="T26" i="2"/>
  <c r="S26" i="2"/>
  <c r="R26" i="2"/>
  <c r="T22" i="2"/>
  <c r="S22" i="2"/>
  <c r="R22" i="2"/>
  <c r="T23" i="2"/>
  <c r="S23" i="2"/>
  <c r="R23" i="2"/>
  <c r="H22" i="7"/>
  <c r="T65" i="18"/>
  <c r="O63" i="18"/>
  <c r="N64" i="18"/>
  <c r="M64" i="18"/>
  <c r="L65" i="18"/>
  <c r="J63" i="18"/>
  <c r="D64" i="18"/>
  <c r="C64" i="18"/>
  <c r="B65" i="18"/>
  <c r="E63" i="18"/>
  <c r="I64" i="18"/>
  <c r="H64" i="18"/>
  <c r="G65" i="18"/>
  <c r="S66" i="18"/>
  <c r="Q67" i="18"/>
  <c r="R66" i="18"/>
  <c r="E26" i="2"/>
  <c r="E25" i="2"/>
  <c r="E24" i="2"/>
  <c r="E23" i="2"/>
  <c r="E22" i="2"/>
  <c r="P22" i="2"/>
  <c r="E21" i="2"/>
  <c r="I23" i="7"/>
  <c r="I27" i="7"/>
  <c r="I31" i="7"/>
  <c r="I30" i="7"/>
  <c r="I25" i="7"/>
  <c r="I28" i="7"/>
  <c r="I29" i="7"/>
  <c r="I22" i="7" l="1"/>
  <c r="N65" i="18"/>
  <c r="M65" i="18"/>
  <c r="L66" i="18"/>
  <c r="O64" i="18"/>
  <c r="T66" i="18"/>
  <c r="J64" i="18"/>
  <c r="E64" i="18"/>
  <c r="I65" i="18"/>
  <c r="H65" i="18"/>
  <c r="G66" i="18"/>
  <c r="C65" i="18"/>
  <c r="B66" i="18"/>
  <c r="D65" i="18"/>
  <c r="S67" i="18"/>
  <c r="Q68" i="18"/>
  <c r="R67" i="18"/>
  <c r="P26" i="2"/>
  <c r="Q26" i="2"/>
  <c r="P25" i="2"/>
  <c r="Q25" i="2"/>
  <c r="Q24" i="2"/>
  <c r="P24" i="2"/>
  <c r="P23" i="2"/>
  <c r="Q23" i="2"/>
  <c r="Q22" i="2"/>
  <c r="Q21" i="2"/>
  <c r="P21" i="2"/>
  <c r="J30" i="7"/>
  <c r="J29" i="7"/>
  <c r="J31" i="7"/>
  <c r="J25" i="7"/>
  <c r="J23" i="7"/>
  <c r="J27" i="7"/>
  <c r="J28" i="7"/>
  <c r="J22" i="7" l="1"/>
  <c r="M66" i="18"/>
  <c r="L67" i="18"/>
  <c r="N66" i="18"/>
  <c r="O65" i="18"/>
  <c r="T67" i="18"/>
  <c r="D66" i="18"/>
  <c r="C66" i="18"/>
  <c r="B67" i="18"/>
  <c r="I66" i="18"/>
  <c r="H66" i="18"/>
  <c r="G67" i="18"/>
  <c r="E65" i="18"/>
  <c r="J65" i="18"/>
  <c r="S68" i="18"/>
  <c r="Q69" i="18"/>
  <c r="R68" i="18"/>
  <c r="K28" i="7"/>
  <c r="K31" i="7"/>
  <c r="K29" i="7"/>
  <c r="K25" i="7"/>
  <c r="K30" i="7"/>
  <c r="K23" i="7"/>
  <c r="K27" i="7"/>
  <c r="K22" i="7" l="1"/>
  <c r="T68" i="18"/>
  <c r="O66" i="18"/>
  <c r="N67" i="18"/>
  <c r="M67" i="18"/>
  <c r="L68" i="18"/>
  <c r="J66" i="18"/>
  <c r="G68" i="18"/>
  <c r="I67" i="18"/>
  <c r="H67" i="18"/>
  <c r="E66" i="18"/>
  <c r="C67" i="18"/>
  <c r="B68" i="18"/>
  <c r="D67" i="18"/>
  <c r="S69" i="18"/>
  <c r="Q70" i="18"/>
  <c r="R69" i="18"/>
  <c r="L31" i="7"/>
  <c r="L30" i="7"/>
  <c r="L25" i="7"/>
  <c r="L29" i="7"/>
  <c r="L27" i="7"/>
  <c r="L23" i="7"/>
  <c r="L28" i="7"/>
  <c r="L22" i="7" l="1"/>
  <c r="T69" i="18"/>
  <c r="O67" i="18"/>
  <c r="N68" i="18"/>
  <c r="M68" i="18"/>
  <c r="L69" i="18"/>
  <c r="C68" i="18"/>
  <c r="B69" i="18"/>
  <c r="D68" i="18"/>
  <c r="E67" i="18"/>
  <c r="J67" i="18"/>
  <c r="G69" i="18"/>
  <c r="I68" i="18"/>
  <c r="H68" i="18"/>
  <c r="S70" i="18"/>
  <c r="Q71" i="18"/>
  <c r="R70" i="18"/>
  <c r="M30" i="7"/>
  <c r="M23" i="7"/>
  <c r="M31" i="7"/>
  <c r="M28" i="7"/>
  <c r="M29" i="7"/>
  <c r="M25" i="7"/>
  <c r="M27" i="7"/>
  <c r="M22" i="7" l="1"/>
  <c r="O68" i="18"/>
  <c r="N69" i="18"/>
  <c r="M69" i="18"/>
  <c r="L70" i="18"/>
  <c r="T70" i="18"/>
  <c r="J68" i="18"/>
  <c r="I69" i="18"/>
  <c r="G70" i="18"/>
  <c r="H69" i="18"/>
  <c r="C69" i="18"/>
  <c r="B70" i="18"/>
  <c r="D69" i="18"/>
  <c r="E68" i="18"/>
  <c r="S71" i="18"/>
  <c r="Q72" i="18"/>
  <c r="R71" i="18"/>
  <c r="N23" i="7"/>
  <c r="N29" i="7"/>
  <c r="N27" i="7"/>
  <c r="N28" i="7"/>
  <c r="N25" i="7"/>
  <c r="N31" i="7"/>
  <c r="N30" i="7"/>
  <c r="N22" i="7" l="1"/>
  <c r="O69" i="18"/>
  <c r="N70" i="18"/>
  <c r="M70" i="18"/>
  <c r="L71" i="18"/>
  <c r="T71" i="18"/>
  <c r="J69" i="18"/>
  <c r="E69" i="18"/>
  <c r="G71" i="18"/>
  <c r="I70" i="18"/>
  <c r="H70" i="18"/>
  <c r="C70" i="18"/>
  <c r="B71" i="18"/>
  <c r="D70" i="18"/>
  <c r="S72" i="18"/>
  <c r="Q73" i="18"/>
  <c r="R72" i="18"/>
  <c r="O23" i="7"/>
  <c r="O25" i="7"/>
  <c r="O27" i="7"/>
  <c r="O28" i="7"/>
  <c r="O31" i="7"/>
  <c r="O29" i="7"/>
  <c r="O30" i="7"/>
  <c r="O22" i="7" l="1"/>
  <c r="O70" i="18"/>
  <c r="M71" i="18"/>
  <c r="L72" i="18"/>
  <c r="N71" i="18"/>
  <c r="J70" i="18"/>
  <c r="E70" i="18"/>
  <c r="I71" i="18"/>
  <c r="H71" i="18"/>
  <c r="G72" i="18"/>
  <c r="D71" i="18"/>
  <c r="C71" i="18"/>
  <c r="B72" i="18"/>
  <c r="T72" i="18"/>
  <c r="S73" i="18"/>
  <c r="Q74" i="18"/>
  <c r="R73" i="18"/>
  <c r="P28" i="7"/>
  <c r="P23" i="7"/>
  <c r="P30" i="7"/>
  <c r="P25" i="7"/>
  <c r="P29" i="7"/>
  <c r="P31" i="7"/>
  <c r="P27" i="7"/>
  <c r="P22" i="7" l="1"/>
  <c r="O71" i="18"/>
  <c r="N72" i="18"/>
  <c r="M72" i="18"/>
  <c r="L73" i="18"/>
  <c r="T73" i="18"/>
  <c r="D72" i="18"/>
  <c r="C72" i="18"/>
  <c r="B73" i="18"/>
  <c r="I72" i="18"/>
  <c r="H72" i="18"/>
  <c r="G73" i="18"/>
  <c r="E71" i="18"/>
  <c r="J71" i="18"/>
  <c r="S74" i="18"/>
  <c r="Q75" i="18"/>
  <c r="R74" i="18"/>
  <c r="Q29" i="7"/>
  <c r="Q27" i="7"/>
  <c r="Q23" i="7"/>
  <c r="Q30" i="7"/>
  <c r="Q25" i="7"/>
  <c r="Q28" i="7"/>
  <c r="Q31" i="7"/>
  <c r="Q22" i="7" l="1"/>
  <c r="T74" i="18"/>
  <c r="N73" i="18"/>
  <c r="M73" i="18"/>
  <c r="L74" i="18"/>
  <c r="O72" i="18"/>
  <c r="G74" i="18"/>
  <c r="I73" i="18"/>
  <c r="H73" i="18"/>
  <c r="E72" i="18"/>
  <c r="J72" i="18"/>
  <c r="C73" i="18"/>
  <c r="B74" i="18"/>
  <c r="D73" i="18"/>
  <c r="S75" i="18"/>
  <c r="Q76" i="18"/>
  <c r="R75" i="18"/>
  <c r="R30" i="7"/>
  <c r="R27" i="7"/>
  <c r="R28" i="7"/>
  <c r="R31" i="7"/>
  <c r="R29" i="7"/>
  <c r="R23" i="7"/>
  <c r="R25" i="7"/>
  <c r="R22" i="7" l="1"/>
  <c r="O73" i="18"/>
  <c r="N74" i="18"/>
  <c r="M74" i="18"/>
  <c r="L75" i="18"/>
  <c r="T75" i="18"/>
  <c r="E73" i="18"/>
  <c r="D74" i="18"/>
  <c r="C74" i="18"/>
  <c r="B75" i="18"/>
  <c r="J73" i="18"/>
  <c r="G75" i="18"/>
  <c r="I74" i="18"/>
  <c r="H74" i="18"/>
  <c r="S76" i="18"/>
  <c r="Q77" i="18"/>
  <c r="R76" i="18"/>
  <c r="S25" i="7"/>
  <c r="S23" i="7"/>
  <c r="S31" i="7"/>
  <c r="S29" i="7"/>
  <c r="S28" i="7"/>
  <c r="S30" i="7"/>
  <c r="S27" i="7"/>
  <c r="S22" i="7" l="1"/>
  <c r="M75" i="18"/>
  <c r="L76" i="18"/>
  <c r="N75" i="18"/>
  <c r="O74" i="18"/>
  <c r="T76" i="18"/>
  <c r="J74" i="18"/>
  <c r="G76" i="18"/>
  <c r="H75" i="18"/>
  <c r="I75" i="18"/>
  <c r="C75" i="18"/>
  <c r="B76" i="18"/>
  <c r="D75" i="18"/>
  <c r="E74" i="18"/>
  <c r="S77" i="18"/>
  <c r="Q78" i="18"/>
  <c r="R77" i="18"/>
  <c r="N76" i="18" l="1"/>
  <c r="M76" i="18"/>
  <c r="L77" i="18"/>
  <c r="O75" i="18"/>
  <c r="T77" i="18"/>
  <c r="E75" i="18"/>
  <c r="J75" i="18"/>
  <c r="C76" i="18"/>
  <c r="B77" i="18"/>
  <c r="D76" i="18"/>
  <c r="I76" i="18"/>
  <c r="H76" i="18"/>
  <c r="G77" i="18"/>
  <c r="S78" i="18"/>
  <c r="R78" i="18"/>
  <c r="Q79" i="18"/>
  <c r="O76" i="18" l="1"/>
  <c r="M77" i="18"/>
  <c r="L78" i="18"/>
  <c r="N77" i="18"/>
  <c r="J76" i="18"/>
  <c r="T78" i="18"/>
  <c r="G78" i="18"/>
  <c r="I77" i="18"/>
  <c r="H77" i="18"/>
  <c r="D77" i="18"/>
  <c r="C77" i="18"/>
  <c r="B78" i="18"/>
  <c r="E76" i="18"/>
  <c r="S79" i="18"/>
  <c r="Q80" i="18"/>
  <c r="R79" i="18"/>
  <c r="O77" i="18" l="1"/>
  <c r="N78" i="18"/>
  <c r="M78" i="18"/>
  <c r="L79" i="18"/>
  <c r="T79" i="18"/>
  <c r="C78" i="18"/>
  <c r="B79" i="18"/>
  <c r="D78" i="18"/>
  <c r="E77" i="18"/>
  <c r="J77" i="18"/>
  <c r="I78" i="18"/>
  <c r="H78" i="18"/>
  <c r="G79" i="18"/>
  <c r="S80" i="18"/>
  <c r="Q81" i="18"/>
  <c r="R80" i="18"/>
  <c r="M79" i="18" l="1"/>
  <c r="L80" i="18"/>
  <c r="N79" i="18"/>
  <c r="O78" i="18"/>
  <c r="T80" i="18"/>
  <c r="I79" i="18"/>
  <c r="G80" i="18"/>
  <c r="H79" i="18"/>
  <c r="C79" i="18"/>
  <c r="B80" i="18"/>
  <c r="D79" i="18"/>
  <c r="J78" i="18"/>
  <c r="E78" i="18"/>
  <c r="S81" i="18"/>
  <c r="Q82" i="18"/>
  <c r="R81" i="18"/>
  <c r="M80" i="18" l="1"/>
  <c r="N80" i="18"/>
  <c r="L81" i="18"/>
  <c r="O79" i="18"/>
  <c r="T81" i="18"/>
  <c r="E79" i="18"/>
  <c r="G81" i="18"/>
  <c r="H80" i="18"/>
  <c r="I80" i="18"/>
  <c r="C80" i="18"/>
  <c r="D80" i="18"/>
  <c r="B81" i="18"/>
  <c r="J79" i="18"/>
  <c r="S82" i="18"/>
  <c r="Q83" i="18"/>
  <c r="Q84" i="18" s="1"/>
  <c r="R82" i="18"/>
  <c r="O80" i="18" l="1"/>
  <c r="T82" i="18"/>
  <c r="Q85" i="18"/>
  <c r="R84" i="18"/>
  <c r="M81" i="18"/>
  <c r="N81" i="18"/>
  <c r="L82" i="18"/>
  <c r="I81" i="18"/>
  <c r="H81" i="18"/>
  <c r="G82" i="18"/>
  <c r="B82" i="18"/>
  <c r="C81" i="18"/>
  <c r="D81" i="18"/>
  <c r="E80" i="18"/>
  <c r="J80" i="18"/>
  <c r="S83" i="18"/>
  <c r="S84" i="18"/>
  <c r="R83" i="18"/>
  <c r="T83" i="18" l="1"/>
  <c r="T84" i="18" s="1"/>
  <c r="O81" i="18"/>
  <c r="L83" i="18"/>
  <c r="M82" i="18"/>
  <c r="N82" i="18"/>
  <c r="R85" i="18"/>
  <c r="Q86" i="18"/>
  <c r="S85" i="18"/>
  <c r="B83" i="18"/>
  <c r="B84" i="18" s="1"/>
  <c r="C82" i="18"/>
  <c r="D82" i="18"/>
  <c r="J81" i="18"/>
  <c r="E81" i="18"/>
  <c r="I82" i="18"/>
  <c r="H82" i="18"/>
  <c r="G83" i="18"/>
  <c r="G84" i="18" s="1"/>
  <c r="T85" i="18" l="1"/>
  <c r="C84" i="18"/>
  <c r="B85" i="18"/>
  <c r="O82" i="18"/>
  <c r="H84" i="18"/>
  <c r="G85" i="18"/>
  <c r="S86" i="18"/>
  <c r="R86" i="18"/>
  <c r="Q87" i="18"/>
  <c r="L84" i="18"/>
  <c r="M83" i="18"/>
  <c r="N83" i="18"/>
  <c r="J82" i="18"/>
  <c r="I83" i="18"/>
  <c r="H83" i="18"/>
  <c r="I84" i="18"/>
  <c r="E82" i="18"/>
  <c r="D84" i="18"/>
  <c r="C83" i="18"/>
  <c r="D83" i="18"/>
  <c r="O83" i="18" l="1"/>
  <c r="T86" i="18"/>
  <c r="M84" i="18"/>
  <c r="L85" i="18"/>
  <c r="N84" i="18"/>
  <c r="D85" i="18"/>
  <c r="C85" i="18"/>
  <c r="B86" i="18"/>
  <c r="S87" i="18"/>
  <c r="R87" i="18"/>
  <c r="Q88" i="18"/>
  <c r="I85" i="18"/>
  <c r="H85" i="18"/>
  <c r="G86" i="18"/>
  <c r="E83" i="18"/>
  <c r="E84" i="18" s="1"/>
  <c r="J83" i="18"/>
  <c r="J84" i="18" s="1"/>
  <c r="O84" i="18" l="1"/>
  <c r="E85" i="18"/>
  <c r="T87" i="18"/>
  <c r="J85" i="18"/>
  <c r="D86" i="18"/>
  <c r="C86" i="18"/>
  <c r="B87" i="18"/>
  <c r="N85" i="18"/>
  <c r="M85" i="18"/>
  <c r="L86" i="18"/>
  <c r="I86" i="18"/>
  <c r="H86" i="18"/>
  <c r="G87" i="18"/>
  <c r="S88" i="18"/>
  <c r="R88" i="18"/>
  <c r="Q89" i="18"/>
  <c r="O85" i="18" l="1"/>
  <c r="T88" i="18"/>
  <c r="J86" i="18"/>
  <c r="E86" i="18"/>
  <c r="N86" i="18"/>
  <c r="M86" i="18"/>
  <c r="L87" i="18"/>
  <c r="R89" i="18"/>
  <c r="S89" i="18"/>
  <c r="Q90" i="18"/>
  <c r="I87" i="18"/>
  <c r="H87" i="18"/>
  <c r="G88" i="18"/>
  <c r="D87" i="18"/>
  <c r="C87" i="18"/>
  <c r="B88" i="18"/>
  <c r="E87" i="18" l="1"/>
  <c r="J87" i="18"/>
  <c r="T89" i="18"/>
  <c r="O86" i="18"/>
  <c r="S90" i="18"/>
  <c r="R90" i="18"/>
  <c r="Q91" i="18"/>
  <c r="I88" i="18"/>
  <c r="H88" i="18"/>
  <c r="G89" i="18"/>
  <c r="N87" i="18"/>
  <c r="M87" i="18"/>
  <c r="L88" i="18"/>
  <c r="D88" i="18"/>
  <c r="C88" i="18"/>
  <c r="B89" i="18"/>
  <c r="E88" i="18" l="1"/>
  <c r="J88" i="18"/>
  <c r="T90" i="18"/>
  <c r="O87" i="18"/>
  <c r="R91" i="18"/>
  <c r="S91" i="18"/>
  <c r="Q92" i="18"/>
  <c r="D89" i="18"/>
  <c r="C89" i="18"/>
  <c r="B90" i="18"/>
  <c r="I89" i="18"/>
  <c r="H89" i="18"/>
  <c r="G90" i="18"/>
  <c r="N88" i="18"/>
  <c r="M88" i="18"/>
  <c r="L89" i="18"/>
  <c r="J89" i="18" l="1"/>
  <c r="O88" i="18"/>
  <c r="E89" i="18"/>
  <c r="T91" i="18"/>
  <c r="I90" i="18"/>
  <c r="H90" i="18"/>
  <c r="G91" i="18"/>
  <c r="N89" i="18"/>
  <c r="M89" i="18"/>
  <c r="L90" i="18"/>
  <c r="D90" i="18"/>
  <c r="C90" i="18"/>
  <c r="B91" i="18"/>
  <c r="S92" i="18"/>
  <c r="R92" i="18"/>
  <c r="Q93" i="18"/>
  <c r="E90" i="18" l="1"/>
  <c r="J90" i="18"/>
  <c r="T92" i="18"/>
  <c r="O89" i="18"/>
  <c r="I91" i="18"/>
  <c r="H91" i="18"/>
  <c r="G92" i="18"/>
  <c r="R93" i="18"/>
  <c r="S93" i="18"/>
  <c r="Q94" i="18"/>
  <c r="N90" i="18"/>
  <c r="M90" i="18"/>
  <c r="L91" i="18"/>
  <c r="D91" i="18"/>
  <c r="C91" i="18"/>
  <c r="B92" i="18"/>
  <c r="E91" i="18" l="1"/>
  <c r="T93" i="18"/>
  <c r="O90" i="18"/>
  <c r="J91" i="18"/>
  <c r="M91" i="18"/>
  <c r="N91" i="18"/>
  <c r="L92" i="18"/>
  <c r="I92" i="18"/>
  <c r="H92" i="18"/>
  <c r="G93" i="18"/>
  <c r="D92" i="18"/>
  <c r="C92" i="18"/>
  <c r="B93" i="18"/>
  <c r="S94" i="18"/>
  <c r="R94" i="18"/>
  <c r="Q95" i="18"/>
  <c r="Q96" i="18" s="1"/>
  <c r="R96" i="18" s="1"/>
  <c r="T94" i="18" l="1"/>
  <c r="J92" i="18"/>
  <c r="O91" i="18"/>
  <c r="E92" i="18"/>
  <c r="S95" i="18"/>
  <c r="R95" i="18"/>
  <c r="S96" i="18"/>
  <c r="I93" i="18"/>
  <c r="H93" i="18"/>
  <c r="G94" i="18"/>
  <c r="C93" i="18"/>
  <c r="D93" i="18"/>
  <c r="B94" i="18"/>
  <c r="N92" i="18"/>
  <c r="M92" i="18"/>
  <c r="L93" i="18"/>
  <c r="O92" i="18" l="1"/>
  <c r="T95" i="18"/>
  <c r="T96" i="18" s="1"/>
  <c r="M7" i="18" s="1"/>
  <c r="Q14" i="4" s="1"/>
  <c r="E93" i="18"/>
  <c r="J93" i="18"/>
  <c r="N93" i="18"/>
  <c r="M93" i="18"/>
  <c r="L94" i="18"/>
  <c r="I94" i="18"/>
  <c r="H94" i="18"/>
  <c r="G95" i="18"/>
  <c r="G96" i="18" s="1"/>
  <c r="H96" i="18" s="1"/>
  <c r="C94" i="18"/>
  <c r="D94" i="18"/>
  <c r="B95" i="18"/>
  <c r="B96" i="18" s="1"/>
  <c r="C96" i="18" s="1"/>
  <c r="E94" i="18" l="1"/>
  <c r="J94" i="18"/>
  <c r="O93" i="18"/>
  <c r="D95" i="18"/>
  <c r="C95" i="18"/>
  <c r="D96" i="18"/>
  <c r="M94" i="18"/>
  <c r="N94" i="18"/>
  <c r="L95" i="18"/>
  <c r="L96" i="18" s="1"/>
  <c r="M96" i="18" s="1"/>
  <c r="I95" i="18"/>
  <c r="H95" i="18"/>
  <c r="I96" i="18"/>
  <c r="J95" i="18" l="1"/>
  <c r="J96" i="18" s="1"/>
  <c r="I7" i="18" s="1"/>
  <c r="O14" i="4" s="1"/>
  <c r="O94" i="18"/>
  <c r="E95" i="18"/>
  <c r="E96" i="18" s="1"/>
  <c r="G7" i="18" s="1"/>
  <c r="N14" i="4" s="1"/>
  <c r="N95" i="18"/>
  <c r="M95" i="18"/>
  <c r="N96" i="18"/>
  <c r="O95" i="18" l="1"/>
  <c r="O96" i="18" s="1"/>
  <c r="K7" i="18" s="1"/>
  <c r="P14" i="4" s="1"/>
  <c r="B117" i="18"/>
  <c r="B130" i="18" s="1"/>
  <c r="B131" i="18" l="1"/>
  <c r="E137" i="18" s="1"/>
  <c r="C136" i="18" s="1"/>
  <c r="O29" i="4" s="1"/>
  <c r="B129" i="18"/>
  <c r="B132" i="18"/>
  <c r="C137" i="18" l="1"/>
  <c r="O30" i="4" s="1"/>
  <c r="D137" i="18"/>
  <c r="P30" i="4" s="1"/>
  <c r="B137" i="18"/>
  <c r="N30" i="4" s="1"/>
  <c r="E136" i="18"/>
  <c r="Q29" i="4" s="1"/>
  <c r="B136" i="18"/>
  <c r="N29" i="4" s="1"/>
  <c r="D136" i="18"/>
  <c r="P29" i="4" s="1"/>
  <c r="D138" i="18"/>
  <c r="P31" i="4" s="1"/>
  <c r="C138" i="18"/>
  <c r="O31" i="4" s="1"/>
  <c r="B138" i="18"/>
  <c r="N31" i="4" s="1"/>
  <c r="B135" i="18"/>
  <c r="N28" i="4" s="1"/>
  <c r="E135" i="18"/>
  <c r="Q28" i="4" s="1"/>
  <c r="C135" i="18"/>
  <c r="O28" i="4" s="1"/>
  <c r="D135" i="18"/>
  <c r="P28" i="4" s="1"/>
  <c r="C30" i="15" l="1"/>
  <c r="K30" i="15"/>
  <c r="G30" i="15"/>
  <c r="J30" i="15"/>
  <c r="F30" i="15"/>
  <c r="H30" i="15"/>
  <c r="D30" i="15"/>
  <c r="I30" i="15"/>
  <c r="M30" i="15"/>
  <c r="L30" i="15"/>
  <c r="E30" i="15"/>
  <c r="C36" i="15" l="1"/>
  <c r="G36" i="15"/>
  <c r="H36" i="15"/>
  <c r="I36" i="15"/>
  <c r="M36" i="15"/>
  <c r="L36" i="15"/>
  <c r="D36" i="15"/>
  <c r="F36" i="15"/>
  <c r="K36" i="15"/>
  <c r="E36" i="15"/>
  <c r="J36" i="15"/>
  <c r="C102" i="15" l="1"/>
  <c r="F102" i="15"/>
  <c r="G102" i="15"/>
  <c r="E102" i="15"/>
  <c r="L102" i="15"/>
  <c r="D102" i="15"/>
  <c r="K102" i="15"/>
  <c r="M102" i="15"/>
  <c r="J102" i="15"/>
  <c r="I102" i="15"/>
  <c r="H102" i="15"/>
  <c r="C6" i="15"/>
  <c r="C7" i="15" s="1"/>
  <c r="C9" i="15" s="1"/>
  <c r="K6" i="15"/>
  <c r="K7" i="15" s="1"/>
  <c r="K9" i="15" s="1"/>
  <c r="E6" i="15"/>
  <c r="E7" i="15" s="1"/>
  <c r="E9" i="15" s="1"/>
  <c r="G6" i="15"/>
  <c r="G7" i="15" s="1"/>
  <c r="G9" i="15" s="1"/>
  <c r="I6" i="15"/>
  <c r="I7" i="15" s="1"/>
  <c r="I9" i="15" s="1"/>
  <c r="J6" i="15"/>
  <c r="J7" i="15" s="1"/>
  <c r="J9" i="15" s="1"/>
  <c r="D6" i="15"/>
  <c r="D7" i="15" s="1"/>
  <c r="D9" i="15" s="1"/>
  <c r="F6" i="15"/>
  <c r="F7" i="15" s="1"/>
  <c r="F9" i="15" s="1"/>
  <c r="L6" i="15"/>
  <c r="L7" i="15" s="1"/>
  <c r="L9" i="15" s="1"/>
  <c r="H6" i="15"/>
  <c r="H7" i="15" s="1"/>
  <c r="H9" i="15" s="1"/>
  <c r="M6" i="15"/>
  <c r="M7" i="15" s="1"/>
  <c r="M9" i="15" s="1"/>
  <c r="D13" i="15" l="1"/>
  <c r="D15" i="15" s="1"/>
  <c r="D11" i="15"/>
  <c r="L13" i="15"/>
  <c r="L15" i="15" s="1"/>
  <c r="L11" i="15"/>
  <c r="I13" i="15"/>
  <c r="I15" i="15" s="1"/>
  <c r="I11" i="15"/>
  <c r="M11" i="15"/>
  <c r="M13" i="15"/>
  <c r="M15" i="15" s="1"/>
  <c r="G11" i="15"/>
  <c r="G13" i="15"/>
  <c r="G15" i="15" s="1"/>
  <c r="H11" i="15"/>
  <c r="H13" i="15"/>
  <c r="H15" i="15" s="1"/>
  <c r="E13" i="15"/>
  <c r="E15" i="15" s="1"/>
  <c r="E11" i="15"/>
  <c r="F11" i="15"/>
  <c r="F13" i="15"/>
  <c r="F15" i="15" s="1"/>
  <c r="K11" i="15"/>
  <c r="K13" i="15"/>
  <c r="K15" i="15" s="1"/>
  <c r="J13" i="15"/>
  <c r="J15" i="15" s="1"/>
  <c r="J11" i="15"/>
  <c r="C13" i="15"/>
  <c r="C15" i="15" s="1"/>
  <c r="C11" i="15"/>
  <c r="N11" i="15" l="1"/>
  <c r="AB11" i="15" s="1"/>
  <c r="AA17" i="15" s="1"/>
  <c r="M19" i="15"/>
  <c r="M21" i="15" s="1"/>
  <c r="M17" i="15"/>
  <c r="I19" i="15"/>
  <c r="I21" i="15" s="1"/>
  <c r="I17" i="15"/>
  <c r="C19" i="15"/>
  <c r="C21" i="15" s="1"/>
  <c r="C17" i="15"/>
  <c r="K17" i="15"/>
  <c r="K19" i="15"/>
  <c r="K21" i="15" s="1"/>
  <c r="G19" i="15"/>
  <c r="G21" i="15" s="1"/>
  <c r="G17" i="15"/>
  <c r="L17" i="15"/>
  <c r="L19" i="15"/>
  <c r="L21" i="15" s="1"/>
  <c r="J17" i="15"/>
  <c r="J19" i="15"/>
  <c r="J21" i="15" s="1"/>
  <c r="E19" i="15"/>
  <c r="E21" i="15" s="1"/>
  <c r="E17" i="15"/>
  <c r="F19" i="15"/>
  <c r="F21" i="15" s="1"/>
  <c r="F17" i="15"/>
  <c r="H19" i="15"/>
  <c r="H21" i="15" s="1"/>
  <c r="H17" i="15"/>
  <c r="D17" i="15"/>
  <c r="D19" i="15"/>
  <c r="D21" i="15" s="1"/>
  <c r="B16" i="17" l="1"/>
  <c r="H25" i="15"/>
  <c r="H27" i="15" s="1"/>
  <c r="H23" i="15"/>
  <c r="J25" i="15"/>
  <c r="J27" i="15" s="1"/>
  <c r="J23" i="15"/>
  <c r="K25" i="15"/>
  <c r="K27" i="15" s="1"/>
  <c r="K23" i="15"/>
  <c r="I25" i="15"/>
  <c r="I27" i="15" s="1"/>
  <c r="I23" i="15"/>
  <c r="M25" i="15"/>
  <c r="M27" i="15" s="1"/>
  <c r="M23" i="15"/>
  <c r="C23" i="15"/>
  <c r="C25" i="15"/>
  <c r="C27" i="15" s="1"/>
  <c r="F23" i="15"/>
  <c r="F25" i="15"/>
  <c r="F27" i="15" s="1"/>
  <c r="L23" i="15"/>
  <c r="L25" i="15"/>
  <c r="L27" i="15" s="1"/>
  <c r="N17" i="15"/>
  <c r="E23" i="15"/>
  <c r="E25" i="15"/>
  <c r="E27" i="15" s="1"/>
  <c r="D25" i="15"/>
  <c r="D27" i="15" s="1"/>
  <c r="D23" i="15"/>
  <c r="G23" i="15"/>
  <c r="G25" i="15"/>
  <c r="G27" i="15" s="1"/>
  <c r="C31" i="15" l="1"/>
  <c r="C33" i="15" s="1"/>
  <c r="C29" i="15"/>
  <c r="E31" i="15"/>
  <c r="E33" i="15" s="1"/>
  <c r="E29" i="15"/>
  <c r="G31" i="15"/>
  <c r="G33" i="15" s="1"/>
  <c r="G29" i="15"/>
  <c r="AB17" i="15"/>
  <c r="AA23" i="15" s="1"/>
  <c r="I29" i="15"/>
  <c r="I31" i="15"/>
  <c r="I33" i="15" s="1"/>
  <c r="N23" i="15"/>
  <c r="F29" i="15"/>
  <c r="F31" i="15"/>
  <c r="F33" i="15" s="1"/>
  <c r="M31" i="15"/>
  <c r="M33" i="15" s="1"/>
  <c r="M29" i="15"/>
  <c r="L31" i="15"/>
  <c r="L33" i="15" s="1"/>
  <c r="L29" i="15"/>
  <c r="D29" i="15"/>
  <c r="D31" i="15"/>
  <c r="D33" i="15" s="1"/>
  <c r="K31" i="15"/>
  <c r="K33" i="15" s="1"/>
  <c r="K29" i="15"/>
  <c r="J31" i="15"/>
  <c r="J33" i="15" s="1"/>
  <c r="J29" i="15"/>
  <c r="B17" i="17"/>
  <c r="H29" i="15"/>
  <c r="H31" i="15"/>
  <c r="H33" i="15" s="1"/>
  <c r="I37" i="15" l="1"/>
  <c r="I39" i="15" s="1"/>
  <c r="I35" i="15"/>
  <c r="L37" i="15"/>
  <c r="L39" i="15" s="1"/>
  <c r="L35" i="15"/>
  <c r="K35" i="15"/>
  <c r="K37" i="15"/>
  <c r="K39" i="15" s="1"/>
  <c r="G35" i="15"/>
  <c r="G37" i="15"/>
  <c r="G39" i="15" s="1"/>
  <c r="H37" i="15"/>
  <c r="H39" i="15" s="1"/>
  <c r="H35" i="15"/>
  <c r="M37" i="15"/>
  <c r="M39" i="15" s="1"/>
  <c r="M35" i="15"/>
  <c r="E35" i="15"/>
  <c r="E37" i="15"/>
  <c r="E39" i="15" s="1"/>
  <c r="F37" i="15"/>
  <c r="F39" i="15" s="1"/>
  <c r="F35" i="15"/>
  <c r="N29" i="15"/>
  <c r="J37" i="15"/>
  <c r="J39" i="15" s="1"/>
  <c r="J35" i="15"/>
  <c r="D37" i="15"/>
  <c r="D39" i="15" s="1"/>
  <c r="D35" i="15"/>
  <c r="B18" i="17"/>
  <c r="C35" i="15"/>
  <c r="C37" i="15"/>
  <c r="C39" i="15" s="1"/>
  <c r="B19" i="17" l="1"/>
  <c r="M41" i="15"/>
  <c r="M43" i="15"/>
  <c r="M45" i="15" s="1"/>
  <c r="H43" i="15"/>
  <c r="H45" i="15" s="1"/>
  <c r="H41" i="15"/>
  <c r="J41" i="15"/>
  <c r="J43" i="15"/>
  <c r="J45" i="15" s="1"/>
  <c r="G43" i="15"/>
  <c r="G45" i="15" s="1"/>
  <c r="G41" i="15"/>
  <c r="E43" i="15"/>
  <c r="E45" i="15" s="1"/>
  <c r="E41" i="15"/>
  <c r="D43" i="15"/>
  <c r="D45" i="15" s="1"/>
  <c r="D41" i="15"/>
  <c r="K43" i="15"/>
  <c r="K45" i="15" s="1"/>
  <c r="K41" i="15"/>
  <c r="F41" i="15"/>
  <c r="F43" i="15"/>
  <c r="F45" i="15" s="1"/>
  <c r="L41" i="15"/>
  <c r="L43" i="15"/>
  <c r="L45" i="15" s="1"/>
  <c r="C43" i="15"/>
  <c r="C45" i="15" s="1"/>
  <c r="C41" i="15"/>
  <c r="N35" i="15"/>
  <c r="I41" i="15"/>
  <c r="I43" i="15"/>
  <c r="I45" i="15" s="1"/>
  <c r="N41" i="15" l="1"/>
  <c r="D47" i="15"/>
  <c r="D49" i="15"/>
  <c r="D51" i="15" s="1"/>
  <c r="C49" i="15"/>
  <c r="C51" i="15" s="1"/>
  <c r="C47" i="15"/>
  <c r="L49" i="15"/>
  <c r="L51" i="15" s="1"/>
  <c r="L47" i="15"/>
  <c r="F49" i="15"/>
  <c r="F51" i="15" s="1"/>
  <c r="F47" i="15"/>
  <c r="G49" i="15"/>
  <c r="G51" i="15" s="1"/>
  <c r="G47" i="15"/>
  <c r="B20" i="17"/>
  <c r="H47" i="15"/>
  <c r="H49" i="15"/>
  <c r="H51" i="15" s="1"/>
  <c r="J47" i="15"/>
  <c r="J49" i="15"/>
  <c r="J51" i="15" s="1"/>
  <c r="I47" i="15"/>
  <c r="I49" i="15"/>
  <c r="I51" i="15" s="1"/>
  <c r="K49" i="15"/>
  <c r="K51" i="15" s="1"/>
  <c r="K47" i="15"/>
  <c r="M49" i="15"/>
  <c r="M51" i="15" s="1"/>
  <c r="M47" i="15"/>
  <c r="E47" i="15"/>
  <c r="E49" i="15"/>
  <c r="E51" i="15" s="1"/>
  <c r="B21" i="17" l="1"/>
  <c r="K53" i="15"/>
  <c r="K55" i="15"/>
  <c r="K57" i="15" s="1"/>
  <c r="G55" i="15"/>
  <c r="G57" i="15" s="1"/>
  <c r="G53" i="15"/>
  <c r="N47" i="15"/>
  <c r="F53" i="15"/>
  <c r="F55" i="15"/>
  <c r="F57" i="15" s="1"/>
  <c r="L53" i="15"/>
  <c r="L55" i="15"/>
  <c r="L57" i="15" s="1"/>
  <c r="C55" i="15"/>
  <c r="C57" i="15" s="1"/>
  <c r="C53" i="15"/>
  <c r="M53" i="15"/>
  <c r="M55" i="15"/>
  <c r="M57" i="15" s="1"/>
  <c r="D55" i="15"/>
  <c r="D57" i="15" s="1"/>
  <c r="D53" i="15"/>
  <c r="I55" i="15"/>
  <c r="I57" i="15" s="1"/>
  <c r="I53" i="15"/>
  <c r="J55" i="15"/>
  <c r="J57" i="15" s="1"/>
  <c r="J53" i="15"/>
  <c r="H55" i="15"/>
  <c r="H57" i="15" s="1"/>
  <c r="H53" i="15"/>
  <c r="E55" i="15"/>
  <c r="E57" i="15" s="1"/>
  <c r="E53" i="15"/>
  <c r="B22" i="17" l="1"/>
  <c r="N53" i="15"/>
  <c r="J61" i="15"/>
  <c r="J63" i="15" s="1"/>
  <c r="J59" i="15"/>
  <c r="C61" i="15"/>
  <c r="C63" i="15" s="1"/>
  <c r="C59" i="15"/>
  <c r="E61" i="15"/>
  <c r="E63" i="15" s="1"/>
  <c r="E59" i="15"/>
  <c r="L59" i="15"/>
  <c r="L61" i="15"/>
  <c r="L63" i="15" s="1"/>
  <c r="I61" i="15"/>
  <c r="I63" i="15" s="1"/>
  <c r="I59" i="15"/>
  <c r="G59" i="15"/>
  <c r="G61" i="15"/>
  <c r="G63" i="15" s="1"/>
  <c r="F61" i="15"/>
  <c r="F63" i="15" s="1"/>
  <c r="F59" i="15"/>
  <c r="K59" i="15"/>
  <c r="K61" i="15"/>
  <c r="K63" i="15" s="1"/>
  <c r="H59" i="15"/>
  <c r="H61" i="15"/>
  <c r="H63" i="15" s="1"/>
  <c r="D59" i="15"/>
  <c r="D61" i="15"/>
  <c r="D63" i="15" s="1"/>
  <c r="M61" i="15"/>
  <c r="M63" i="15" s="1"/>
  <c r="M59" i="15"/>
  <c r="B23" i="17" l="1"/>
  <c r="D67" i="15"/>
  <c r="D69" i="15" s="1"/>
  <c r="D65" i="15"/>
  <c r="I67" i="15"/>
  <c r="I69" i="15" s="1"/>
  <c r="I65" i="15"/>
  <c r="E65" i="15"/>
  <c r="E67" i="15"/>
  <c r="E69" i="15" s="1"/>
  <c r="N59" i="15"/>
  <c r="H67" i="15"/>
  <c r="H69" i="15" s="1"/>
  <c r="H65" i="15"/>
  <c r="C67" i="15"/>
  <c r="C69" i="15" s="1"/>
  <c r="C65" i="15"/>
  <c r="M65" i="15"/>
  <c r="M67" i="15"/>
  <c r="M69" i="15" s="1"/>
  <c r="L67" i="15"/>
  <c r="L69" i="15" s="1"/>
  <c r="L65" i="15"/>
  <c r="J65" i="15"/>
  <c r="J67" i="15"/>
  <c r="J69" i="15" s="1"/>
  <c r="K67" i="15"/>
  <c r="K69" i="15" s="1"/>
  <c r="K65" i="15"/>
  <c r="F65" i="15"/>
  <c r="F67" i="15"/>
  <c r="F69" i="15" s="1"/>
  <c r="G67" i="15"/>
  <c r="G69" i="15" s="1"/>
  <c r="G65" i="15"/>
  <c r="G71" i="15" l="1"/>
  <c r="G73" i="15"/>
  <c r="G75" i="15" s="1"/>
  <c r="N65" i="15"/>
  <c r="H71" i="15"/>
  <c r="H73" i="15"/>
  <c r="H75" i="15" s="1"/>
  <c r="E73" i="15"/>
  <c r="E75" i="15" s="1"/>
  <c r="E71" i="15"/>
  <c r="J73" i="15"/>
  <c r="J75" i="15" s="1"/>
  <c r="J71" i="15"/>
  <c r="C73" i="15"/>
  <c r="C75" i="15" s="1"/>
  <c r="C71" i="15"/>
  <c r="K71" i="15"/>
  <c r="K73" i="15"/>
  <c r="K75" i="15" s="1"/>
  <c r="F73" i="15"/>
  <c r="F75" i="15" s="1"/>
  <c r="F71" i="15"/>
  <c r="B24" i="17"/>
  <c r="I71" i="15"/>
  <c r="I73" i="15"/>
  <c r="I75" i="15" s="1"/>
  <c r="L71" i="15"/>
  <c r="L73" i="15"/>
  <c r="L75" i="15" s="1"/>
  <c r="M73" i="15"/>
  <c r="M75" i="15" s="1"/>
  <c r="M71" i="15"/>
  <c r="D73" i="15"/>
  <c r="D75" i="15" s="1"/>
  <c r="D71" i="15"/>
  <c r="B25" i="17" l="1"/>
  <c r="N71" i="15"/>
  <c r="D77" i="15"/>
  <c r="D79" i="15"/>
  <c r="D81" i="15" s="1"/>
  <c r="L79" i="15"/>
  <c r="L81" i="15" s="1"/>
  <c r="L77" i="15"/>
  <c r="I79" i="15"/>
  <c r="I81" i="15" s="1"/>
  <c r="I77" i="15"/>
  <c r="H79" i="15"/>
  <c r="H81" i="15" s="1"/>
  <c r="H77" i="15"/>
  <c r="M77" i="15"/>
  <c r="M79" i="15"/>
  <c r="M81" i="15" s="1"/>
  <c r="C77" i="15"/>
  <c r="C79" i="15"/>
  <c r="C81" i="15" s="1"/>
  <c r="F79" i="15"/>
  <c r="F81" i="15" s="1"/>
  <c r="F77" i="15"/>
  <c r="G77" i="15"/>
  <c r="G79" i="15"/>
  <c r="G81" i="15" s="1"/>
  <c r="J77" i="15"/>
  <c r="J79" i="15"/>
  <c r="J81" i="15" s="1"/>
  <c r="E79" i="15"/>
  <c r="E81" i="15" s="1"/>
  <c r="E77" i="15"/>
  <c r="K79" i="15"/>
  <c r="K81" i="15" s="1"/>
  <c r="K77" i="15"/>
  <c r="N77" i="15" l="1"/>
  <c r="B26" i="17"/>
  <c r="H83" i="15"/>
  <c r="H85" i="15"/>
  <c r="H87" i="15" s="1"/>
  <c r="M83" i="15"/>
  <c r="M85" i="15"/>
  <c r="M87" i="15" s="1"/>
  <c r="J85" i="15"/>
  <c r="J87" i="15" s="1"/>
  <c r="J83" i="15"/>
  <c r="I85" i="15"/>
  <c r="I87" i="15" s="1"/>
  <c r="I83" i="15"/>
  <c r="K83" i="15"/>
  <c r="K85" i="15"/>
  <c r="K87" i="15" s="1"/>
  <c r="F85" i="15"/>
  <c r="F87" i="15" s="1"/>
  <c r="F83" i="15"/>
  <c r="E85" i="15"/>
  <c r="E87" i="15" s="1"/>
  <c r="E83" i="15"/>
  <c r="G83" i="15"/>
  <c r="G85" i="15"/>
  <c r="G87" i="15" s="1"/>
  <c r="L85" i="15"/>
  <c r="L87" i="15" s="1"/>
  <c r="L83" i="15"/>
  <c r="D85" i="15"/>
  <c r="D87" i="15" s="1"/>
  <c r="D83" i="15"/>
  <c r="C85" i="15"/>
  <c r="C87" i="15" s="1"/>
  <c r="C83" i="15"/>
  <c r="B27" i="17" l="1"/>
  <c r="N83" i="15"/>
  <c r="C91" i="15"/>
  <c r="C93" i="15" s="1"/>
  <c r="C89" i="15"/>
  <c r="F89" i="15"/>
  <c r="F91" i="15"/>
  <c r="F93" i="15" s="1"/>
  <c r="D91" i="15"/>
  <c r="D93" i="15" s="1"/>
  <c r="D89" i="15"/>
  <c r="G91" i="15"/>
  <c r="G93" i="15" s="1"/>
  <c r="G89" i="15"/>
  <c r="M91" i="15"/>
  <c r="M93" i="15" s="1"/>
  <c r="M89" i="15"/>
  <c r="I91" i="15"/>
  <c r="I93" i="15" s="1"/>
  <c r="I89" i="15"/>
  <c r="L91" i="15"/>
  <c r="L93" i="15" s="1"/>
  <c r="L89" i="15"/>
  <c r="H91" i="15"/>
  <c r="H93" i="15" s="1"/>
  <c r="H89" i="15"/>
  <c r="K89" i="15"/>
  <c r="K91" i="15"/>
  <c r="K93" i="15" s="1"/>
  <c r="J89" i="15"/>
  <c r="J91" i="15"/>
  <c r="J93" i="15" s="1"/>
  <c r="E89" i="15"/>
  <c r="E91" i="15"/>
  <c r="E93" i="15" s="1"/>
  <c r="B28" i="17" l="1"/>
  <c r="I97" i="15"/>
  <c r="I99" i="15" s="1"/>
  <c r="I95" i="15"/>
  <c r="K97" i="15"/>
  <c r="K99" i="15" s="1"/>
  <c r="K95" i="15"/>
  <c r="J97" i="15"/>
  <c r="J99" i="15" s="1"/>
  <c r="J95" i="15"/>
  <c r="E97" i="15"/>
  <c r="E99" i="15" s="1"/>
  <c r="E95" i="15"/>
  <c r="G95" i="15"/>
  <c r="G97" i="15"/>
  <c r="G99" i="15" s="1"/>
  <c r="D97" i="15"/>
  <c r="D99" i="15" s="1"/>
  <c r="D95" i="15"/>
  <c r="M95" i="15"/>
  <c r="M97" i="15"/>
  <c r="M99" i="15" s="1"/>
  <c r="F97" i="15"/>
  <c r="F99" i="15" s="1"/>
  <c r="F95" i="15"/>
  <c r="H97" i="15"/>
  <c r="H99" i="15" s="1"/>
  <c r="H95" i="15"/>
  <c r="N89" i="15"/>
  <c r="L95" i="15"/>
  <c r="L97" i="15"/>
  <c r="L99" i="15" s="1"/>
  <c r="C95" i="15"/>
  <c r="C97" i="15"/>
  <c r="C99" i="15" s="1"/>
  <c r="N95" i="15" l="1"/>
  <c r="L103" i="15"/>
  <c r="L101" i="15"/>
  <c r="H101" i="15"/>
  <c r="H103" i="15"/>
  <c r="D103" i="15"/>
  <c r="D101" i="15"/>
  <c r="E103" i="15"/>
  <c r="E101" i="15"/>
  <c r="K103" i="15"/>
  <c r="K101" i="15"/>
  <c r="C101" i="15"/>
  <c r="C103" i="15"/>
  <c r="F101" i="15"/>
  <c r="F103" i="15"/>
  <c r="M103" i="15"/>
  <c r="M101" i="15"/>
  <c r="G103" i="15"/>
  <c r="G101" i="15"/>
  <c r="J101" i="15"/>
  <c r="J103" i="15"/>
  <c r="B29" i="17"/>
  <c r="I101" i="15"/>
  <c r="I103" i="15"/>
  <c r="B30" i="17" l="1"/>
  <c r="N101" i="15"/>
  <c r="N107" i="15"/>
  <c r="N106" i="15"/>
  <c r="B31" i="17" l="1"/>
  <c r="B32" i="17" s="1"/>
  <c r="D15" i="17" s="1"/>
  <c r="AA69" i="6"/>
  <c r="AA70" i="6" s="1"/>
  <c r="AA71" i="6" s="1"/>
  <c r="AA72" i="6" s="1"/>
  <c r="AA73" i="6" s="1"/>
  <c r="AA74" i="6" s="1"/>
  <c r="AA75" i="6" s="1"/>
  <c r="AA76" i="6" s="1"/>
  <c r="AA77" i="6" s="1"/>
  <c r="AA78" i="6" s="1"/>
  <c r="AA79" i="6" s="1"/>
  <c r="AA80" i="6" s="1"/>
  <c r="AA81" i="6" s="1"/>
  <c r="AA82" i="6" s="1"/>
  <c r="AA83" i="6" s="1"/>
  <c r="AA84" i="6" s="1"/>
  <c r="AA85" i="6" s="1"/>
  <c r="AA86" i="6" s="1"/>
  <c r="AA87" i="6" s="1"/>
  <c r="AA88" i="6" s="1"/>
  <c r="AA89" i="6" s="1"/>
  <c r="AA90" i="6" s="1"/>
  <c r="AA91" i="6" s="1"/>
  <c r="AA92" i="6" s="1"/>
  <c r="AA93" i="6" s="1"/>
  <c r="AA94" i="6" s="1"/>
  <c r="AA95" i="6" s="1"/>
  <c r="AA96" i="6" s="1"/>
  <c r="AA97" i="6" s="1"/>
  <c r="AA98" i="6" s="1"/>
  <c r="AA99" i="6" s="1"/>
  <c r="AA100" i="6" s="1"/>
  <c r="AA101" i="6" s="1"/>
  <c r="AA102" i="6" s="1"/>
  <c r="AA103" i="6" s="1"/>
  <c r="AA104" i="6" s="1"/>
  <c r="AA105" i="6" s="1"/>
  <c r="AA106" i="6" s="1"/>
  <c r="AA107" i="6" s="1"/>
  <c r="AA108" i="6" s="1"/>
  <c r="AA109" i="6" s="1"/>
  <c r="AA110" i="6" s="1"/>
  <c r="AA111" i="6" s="1"/>
  <c r="AA112" i="6" s="1"/>
  <c r="AA113" i="6" s="1"/>
  <c r="AA114" i="6" s="1"/>
  <c r="AA115" i="6" s="1"/>
  <c r="C26" i="6"/>
  <c r="C48" i="6"/>
  <c r="C24" i="6"/>
  <c r="C42" i="6"/>
  <c r="C62" i="6"/>
  <c r="C30" i="6"/>
  <c r="C38" i="6"/>
  <c r="C40" i="6"/>
  <c r="C46" i="6"/>
  <c r="C6" i="6"/>
  <c r="C22" i="6"/>
  <c r="C34" i="6"/>
  <c r="C11" i="6"/>
  <c r="C23" i="6"/>
  <c r="C27" i="6"/>
  <c r="C43" i="6"/>
  <c r="C59" i="6"/>
  <c r="C64" i="6"/>
  <c r="C25" i="6"/>
  <c r="C10" i="6"/>
  <c r="C49" i="6"/>
  <c r="C54" i="6"/>
  <c r="C57" i="6"/>
  <c r="C8" i="6"/>
  <c r="C36" i="6"/>
  <c r="C7" i="6"/>
  <c r="C61" i="6"/>
  <c r="C52" i="6"/>
  <c r="C41" i="6"/>
  <c r="C19" i="6"/>
  <c r="C63" i="6"/>
  <c r="C39" i="6"/>
  <c r="C58" i="6"/>
  <c r="C33" i="6"/>
  <c r="C28" i="6"/>
  <c r="C21" i="6"/>
  <c r="C16" i="6"/>
  <c r="C20" i="6"/>
  <c r="C32" i="6"/>
  <c r="T3" i="6"/>
  <c r="AD3" i="6"/>
  <c r="C53" i="6"/>
  <c r="Z3" i="6"/>
  <c r="W3" i="6"/>
  <c r="Y3" i="6"/>
  <c r="C47" i="6"/>
  <c r="C60" i="6"/>
  <c r="AB3" i="6"/>
  <c r="C51" i="6"/>
  <c r="C50" i="6"/>
  <c r="AA3" i="6"/>
  <c r="C9" i="6"/>
  <c r="X3" i="6"/>
  <c r="C18" i="6"/>
  <c r="AC3" i="6"/>
  <c r="C37" i="6"/>
  <c r="V3" i="6"/>
  <c r="C4" i="6"/>
  <c r="D8" i="6"/>
  <c r="D36" i="6"/>
  <c r="D53" i="6"/>
  <c r="D27" i="6"/>
  <c r="D50" i="6"/>
  <c r="D18" i="6"/>
  <c r="D41" i="6"/>
  <c r="D57" i="6"/>
  <c r="D13" i="6"/>
  <c r="D48" i="6"/>
  <c r="D7" i="6"/>
  <c r="D31" i="6"/>
  <c r="D52" i="6"/>
  <c r="D56" i="6"/>
  <c r="D26" i="6"/>
  <c r="D30" i="6"/>
  <c r="D51" i="6"/>
  <c r="D62" i="6"/>
  <c r="D29" i="6"/>
  <c r="D63" i="6"/>
  <c r="D40" i="6"/>
  <c r="D6" i="6"/>
  <c r="D42" i="6"/>
  <c r="D28" i="6"/>
  <c r="D19" i="6"/>
  <c r="D54" i="6"/>
  <c r="D22" i="6"/>
  <c r="D21" i="6"/>
  <c r="D47" i="6"/>
  <c r="D39" i="6"/>
  <c r="D9" i="6"/>
  <c r="D14" i="6"/>
  <c r="D58" i="6"/>
  <c r="D34" i="6"/>
  <c r="D11" i="6"/>
  <c r="D20" i="6"/>
  <c r="D23" i="6"/>
  <c r="D38" i="6"/>
  <c r="D61" i="6"/>
  <c r="D25" i="6"/>
  <c r="D4" i="6"/>
  <c r="D44" i="6"/>
  <c r="D17" i="6"/>
  <c r="D35" i="6"/>
  <c r="D64" i="6"/>
  <c r="D46" i="6"/>
  <c r="D45" i="6"/>
  <c r="D55" i="6"/>
  <c r="D12" i="6"/>
  <c r="D32" i="6"/>
  <c r="D49" i="6"/>
  <c r="D24" i="6"/>
  <c r="D10" i="6"/>
  <c r="D60" i="6"/>
  <c r="D16" i="6"/>
  <c r="D59" i="6"/>
  <c r="D37" i="6"/>
  <c r="D33" i="6"/>
  <c r="D43" i="6"/>
  <c r="D15" i="6"/>
  <c r="D5" i="6"/>
  <c r="E59" i="6"/>
  <c r="E30" i="6"/>
  <c r="E26" i="6"/>
  <c r="E31" i="6"/>
  <c r="E38" i="6"/>
  <c r="E7" i="6"/>
  <c r="E4" i="6"/>
  <c r="E22" i="6"/>
  <c r="E56" i="6"/>
  <c r="E64" i="6"/>
  <c r="E36" i="6"/>
  <c r="E42" i="6"/>
  <c r="E44" i="6"/>
  <c r="E48" i="6"/>
  <c r="E47" i="6"/>
  <c r="E27" i="6"/>
  <c r="E49" i="6"/>
  <c r="E28" i="6"/>
  <c r="E23" i="6"/>
  <c r="E57" i="6"/>
  <c r="E29" i="6"/>
  <c r="E45" i="6"/>
  <c r="E41" i="6"/>
  <c r="E8" i="6"/>
  <c r="E34" i="6"/>
  <c r="E62" i="6"/>
  <c r="E35" i="6"/>
  <c r="E10" i="6"/>
  <c r="E43" i="6"/>
  <c r="E33" i="6"/>
  <c r="E39" i="6"/>
  <c r="E55" i="6"/>
  <c r="E37" i="6"/>
  <c r="E46" i="6"/>
  <c r="E16" i="6"/>
  <c r="E25" i="6"/>
  <c r="E53" i="6"/>
  <c r="E5" i="6"/>
  <c r="E50" i="6"/>
  <c r="E6" i="6"/>
  <c r="C35" i="6"/>
  <c r="E17" i="6"/>
  <c r="E32" i="6"/>
  <c r="E20" i="6"/>
  <c r="E63" i="6"/>
  <c r="E11" i="6"/>
  <c r="E61" i="6"/>
  <c r="E40" i="6"/>
  <c r="E13" i="6"/>
  <c r="E19" i="6"/>
  <c r="E14" i="6"/>
  <c r="E52" i="6"/>
  <c r="E18" i="6"/>
  <c r="E58" i="6"/>
  <c r="E21" i="6"/>
  <c r="E9" i="6"/>
  <c r="E60" i="6"/>
  <c r="E24" i="6"/>
  <c r="E51" i="6"/>
  <c r="E12" i="6"/>
  <c r="E15" i="6"/>
  <c r="E54" i="6"/>
  <c r="B43" i="6"/>
  <c r="B57" i="6"/>
  <c r="B10" i="6"/>
  <c r="B42" i="6"/>
  <c r="B35" i="6"/>
  <c r="B41" i="6"/>
  <c r="B62" i="6"/>
  <c r="B47" i="6"/>
  <c r="B63" i="6"/>
  <c r="B31" i="6"/>
  <c r="B55" i="6"/>
  <c r="C14" i="6"/>
  <c r="B39" i="6"/>
  <c r="B38" i="6"/>
  <c r="B21" i="6"/>
  <c r="B17" i="6"/>
  <c r="B58" i="6"/>
  <c r="B33" i="6"/>
  <c r="B26" i="6"/>
  <c r="B8" i="6"/>
  <c r="B44" i="6"/>
  <c r="B54" i="6"/>
  <c r="B30" i="6"/>
  <c r="B13" i="6"/>
  <c r="B45" i="6"/>
  <c r="B50" i="6"/>
  <c r="B56" i="6"/>
  <c r="B20" i="6"/>
  <c r="B51" i="6"/>
  <c r="B29" i="6"/>
  <c r="B25" i="6"/>
  <c r="B52" i="6"/>
  <c r="B61" i="6"/>
  <c r="B14" i="6"/>
  <c r="B49" i="6"/>
  <c r="B9" i="6"/>
  <c r="B18" i="6"/>
  <c r="B37" i="6"/>
  <c r="B19" i="6"/>
  <c r="B40" i="6"/>
  <c r="B27" i="6"/>
  <c r="B32" i="6"/>
  <c r="B11" i="6"/>
  <c r="B46" i="6"/>
  <c r="B5" i="6"/>
  <c r="B36" i="6"/>
  <c r="B24" i="6"/>
  <c r="B22" i="6"/>
  <c r="B59" i="6"/>
  <c r="B60" i="6"/>
  <c r="B64" i="6"/>
  <c r="B4" i="6"/>
  <c r="B12" i="6"/>
  <c r="B7" i="6"/>
  <c r="B28" i="6"/>
  <c r="B6" i="6"/>
  <c r="B53" i="6"/>
  <c r="B23" i="6"/>
  <c r="B16" i="6"/>
  <c r="B48" i="6"/>
  <c r="B15" i="6"/>
  <c r="B34" i="6"/>
  <c r="A61" i="6"/>
  <c r="A20" i="6"/>
  <c r="A19" i="6"/>
  <c r="A49" i="6"/>
  <c r="A23" i="6"/>
  <c r="A4" i="6"/>
  <c r="A33" i="6"/>
  <c r="A6" i="6"/>
  <c r="A34" i="6"/>
  <c r="A21" i="6"/>
  <c r="A60" i="6"/>
  <c r="A26" i="6"/>
  <c r="A47" i="6"/>
  <c r="A25" i="6"/>
  <c r="A14" i="6"/>
  <c r="A17" i="6"/>
  <c r="A51" i="6"/>
  <c r="A64" i="6"/>
  <c r="C13" i="6"/>
  <c r="C44" i="6"/>
  <c r="A13" i="6"/>
  <c r="A35" i="6"/>
  <c r="A54" i="6"/>
  <c r="A56" i="6"/>
  <c r="A53" i="6"/>
  <c r="A22" i="6"/>
  <c r="A29" i="6"/>
  <c r="A44" i="6"/>
  <c r="A31" i="6"/>
  <c r="A7" i="6"/>
  <c r="A30" i="6"/>
  <c r="A57" i="6"/>
  <c r="A48" i="6"/>
  <c r="A45" i="6"/>
  <c r="A32" i="6"/>
  <c r="A24" i="6"/>
  <c r="A43" i="6"/>
  <c r="A62" i="6"/>
  <c r="A36" i="6"/>
  <c r="A9" i="6"/>
  <c r="A28" i="6"/>
  <c r="A5" i="6"/>
  <c r="A38" i="6"/>
  <c r="A63" i="6"/>
  <c r="A16" i="6"/>
  <c r="A50" i="6"/>
  <c r="A18" i="6"/>
  <c r="A8" i="6"/>
  <c r="A41" i="6"/>
  <c r="A46" i="6"/>
  <c r="A59" i="6"/>
  <c r="A55" i="6"/>
  <c r="A37" i="6"/>
  <c r="A11" i="6"/>
  <c r="C31" i="6"/>
  <c r="A40" i="6"/>
  <c r="C55" i="6"/>
  <c r="A12" i="6"/>
  <c r="A10" i="6"/>
  <c r="A58" i="6"/>
  <c r="A39" i="6"/>
  <c r="A42" i="6"/>
  <c r="A52" i="6"/>
  <c r="A15" i="6"/>
  <c r="A27" i="6"/>
  <c r="C45" i="6"/>
  <c r="C29" i="6"/>
  <c r="U3" i="6"/>
  <c r="C17" i="6"/>
  <c r="C56" i="6"/>
  <c r="C12" i="6"/>
  <c r="C5" i="6"/>
  <c r="C15" i="6"/>
  <c r="AD65" i="6" l="1"/>
  <c r="AD66" i="6"/>
  <c r="AC65" i="6"/>
  <c r="AC66" i="6"/>
  <c r="AB65" i="6"/>
  <c r="AB66" i="6"/>
  <c r="AA65" i="6"/>
  <c r="AA66" i="6"/>
  <c r="Z65" i="6"/>
  <c r="Z66" i="6"/>
  <c r="Y65" i="6"/>
  <c r="Y66" i="6"/>
  <c r="X65" i="6"/>
  <c r="X66" i="6"/>
  <c r="W65" i="6"/>
  <c r="W66" i="6"/>
  <c r="V65" i="6"/>
  <c r="V66" i="6"/>
  <c r="U65" i="6"/>
  <c r="U66" i="6"/>
  <c r="T65" i="6"/>
  <c r="T66" i="6"/>
  <c r="Z29" i="6"/>
  <c r="AH93" i="6" s="1"/>
  <c r="AD57" i="6"/>
  <c r="Y16" i="6"/>
  <c r="AG80" i="6" s="1"/>
  <c r="Y64" i="6"/>
  <c r="Y7" i="6"/>
  <c r="AG71" i="6" s="1"/>
  <c r="Y59" i="6"/>
  <c r="AD52" i="6"/>
  <c r="Y10" i="6"/>
  <c r="AG74" i="6" s="1"/>
  <c r="AD33" i="6"/>
  <c r="AL97" i="6" s="1"/>
  <c r="AD43" i="6"/>
  <c r="AL107" i="6" s="1"/>
  <c r="AB51" i="6"/>
  <c r="AJ115" i="6" s="1"/>
  <c r="AB18" i="6"/>
  <c r="AJ82" i="6" s="1"/>
  <c r="AB50" i="6"/>
  <c r="AJ114" i="6" s="1"/>
  <c r="Y49" i="6"/>
  <c r="AG113" i="6" s="1"/>
  <c r="Y21" i="6"/>
  <c r="AG85" i="6" s="1"/>
  <c r="W48" i="6"/>
  <c r="AE112" i="6" s="1"/>
  <c r="V19" i="6"/>
  <c r="AD83" i="6" s="1"/>
  <c r="U39" i="6"/>
  <c r="AC103" i="6" s="1"/>
  <c r="T17" i="6"/>
  <c r="AB81" i="6" s="1"/>
  <c r="T47" i="6"/>
  <c r="AB111" i="6" s="1"/>
  <c r="T55" i="6"/>
  <c r="T35" i="6"/>
  <c r="AB99" i="6" s="1"/>
  <c r="AA54" i="6"/>
  <c r="W56" i="6"/>
  <c r="W32" i="6"/>
  <c r="AE96" i="6" s="1"/>
  <c r="V5" i="6"/>
  <c r="AD69" i="6" s="1"/>
  <c r="Z28" i="6"/>
  <c r="AH92" i="6" s="1"/>
  <c r="V56" i="6"/>
  <c r="Y63" i="6"/>
  <c r="W5" i="6"/>
  <c r="AE69" i="6" s="1"/>
  <c r="Y23" i="6"/>
  <c r="AG87" i="6" s="1"/>
  <c r="AC5" i="6"/>
  <c r="AK69" i="6" s="1"/>
  <c r="Y53" i="6"/>
  <c r="T50" i="6"/>
  <c r="AB114" i="6" s="1"/>
  <c r="U45" i="6"/>
  <c r="AC109" i="6" s="1"/>
  <c r="Y31" i="6"/>
  <c r="AG95" i="6" s="1"/>
  <c r="U20" i="6"/>
  <c r="AC84" i="6" s="1"/>
  <c r="AB31" i="6"/>
  <c r="AJ95" i="6" s="1"/>
  <c r="AA35" i="6"/>
  <c r="AI99" i="6" s="1"/>
  <c r="T32" i="6"/>
  <c r="AB96" i="6" s="1"/>
  <c r="AD35" i="6"/>
  <c r="AL99" i="6" s="1"/>
  <c r="AB60" i="6"/>
  <c r="Y20" i="6"/>
  <c r="AG84" i="6" s="1"/>
  <c r="Y46" i="6"/>
  <c r="AG110" i="6" s="1"/>
  <c r="V62" i="6"/>
  <c r="AB47" i="6"/>
  <c r="AJ111" i="6" s="1"/>
  <c r="AA16" i="6"/>
  <c r="AI80" i="6" s="1"/>
  <c r="W52" i="6"/>
  <c r="AA51" i="6"/>
  <c r="AI115" i="6" s="1"/>
  <c r="V37" i="6"/>
  <c r="AD101" i="6" s="1"/>
  <c r="AA15" i="6"/>
  <c r="AI79" i="6" s="1"/>
  <c r="AA4" i="6"/>
  <c r="AI68" i="6" s="1"/>
  <c r="U17" i="6"/>
  <c r="AC81" i="6" s="1"/>
  <c r="W6" i="6"/>
  <c r="AE70" i="6" s="1"/>
  <c r="Y35" i="6"/>
  <c r="AG99" i="6" s="1"/>
  <c r="Y18" i="6"/>
  <c r="AG82" i="6" s="1"/>
  <c r="Z19" i="6"/>
  <c r="AH83" i="6" s="1"/>
  <c r="AB7" i="6"/>
  <c r="AJ71" i="6" s="1"/>
  <c r="W12" i="6"/>
  <c r="AE76" i="6" s="1"/>
  <c r="Y60" i="6"/>
  <c r="AD50" i="6"/>
  <c r="AL114" i="6" s="1"/>
  <c r="U18" i="6"/>
  <c r="AC82" i="6" s="1"/>
  <c r="X9" i="6"/>
  <c r="AF73" i="6" s="1"/>
  <c r="Z53" i="6"/>
  <c r="X58" i="6"/>
  <c r="Y43" i="6"/>
  <c r="AG107" i="6" s="1"/>
  <c r="AA14" i="6"/>
  <c r="AI78" i="6" s="1"/>
  <c r="AD53" i="6"/>
  <c r="U63" i="6"/>
  <c r="AA57" i="6"/>
  <c r="X18" i="6"/>
  <c r="AF82" i="6" s="1"/>
  <c r="Y36" i="6"/>
  <c r="AG100" i="6" s="1"/>
  <c r="X25" i="6"/>
  <c r="AF89" i="6" s="1"/>
  <c r="Z15" i="6"/>
  <c r="AH79" i="6" s="1"/>
  <c r="AB15" i="6"/>
  <c r="AJ79" i="6" s="1"/>
  <c r="U56" i="6"/>
  <c r="Z56" i="6"/>
  <c r="V55" i="6"/>
  <c r="AD55" i="6"/>
  <c r="U55" i="6"/>
  <c r="Y55" i="6"/>
  <c r="AB55" i="6"/>
  <c r="AC55" i="6"/>
  <c r="AA55" i="6"/>
  <c r="AC29" i="6"/>
  <c r="AK93" i="6" s="1"/>
  <c r="X29" i="6"/>
  <c r="AF93" i="6" s="1"/>
  <c r="Z50" i="6"/>
  <c r="AH114" i="6" s="1"/>
  <c r="V50" i="6"/>
  <c r="AD114" i="6" s="1"/>
  <c r="Y29" i="6"/>
  <c r="AG93" i="6" s="1"/>
  <c r="AA53" i="6"/>
  <c r="T11" i="6"/>
  <c r="AB75" i="6" s="1"/>
  <c r="T61" i="6"/>
  <c r="T23" i="6"/>
  <c r="AB87" i="6" s="1"/>
  <c r="T40" i="6"/>
  <c r="AB104" i="6" s="1"/>
  <c r="T6" i="6"/>
  <c r="AB70" i="6" s="1"/>
  <c r="T43" i="6"/>
  <c r="AB107" i="6" s="1"/>
  <c r="T52" i="6"/>
  <c r="T64" i="6"/>
  <c r="T36" i="6"/>
  <c r="AB100" i="6" s="1"/>
  <c r="T24" i="6"/>
  <c r="AB88" i="6" s="1"/>
  <c r="T41" i="6"/>
  <c r="AB105" i="6" s="1"/>
  <c r="T19" i="6"/>
  <c r="AB83" i="6" s="1"/>
  <c r="T42" i="6"/>
  <c r="AB106" i="6" s="1"/>
  <c r="T30" i="6"/>
  <c r="AB94" i="6" s="1"/>
  <c r="T46" i="6"/>
  <c r="AB110" i="6" s="1"/>
  <c r="Y33" i="6"/>
  <c r="AG97" i="6" s="1"/>
  <c r="AB39" i="6"/>
  <c r="AJ103" i="6" s="1"/>
  <c r="X39" i="6"/>
  <c r="AF103" i="6" s="1"/>
  <c r="AD39" i="6"/>
  <c r="AL103" i="6" s="1"/>
  <c r="Z39" i="6"/>
  <c r="AH103" i="6" s="1"/>
  <c r="AA39" i="6"/>
  <c r="AI103" i="6" s="1"/>
  <c r="W39" i="6"/>
  <c r="AE103" i="6" s="1"/>
  <c r="T39" i="6"/>
  <c r="AB103" i="6" s="1"/>
  <c r="AC39" i="6"/>
  <c r="AK103" i="6" s="1"/>
  <c r="X55" i="6"/>
  <c r="AA49" i="6"/>
  <c r="AI113" i="6" s="1"/>
  <c r="AC60" i="6"/>
  <c r="AA27" i="6"/>
  <c r="AI91" i="6" s="1"/>
  <c r="AC53" i="6"/>
  <c r="AC64" i="6"/>
  <c r="AC43" i="6"/>
  <c r="AK107" i="6" s="1"/>
  <c r="AC41" i="6"/>
  <c r="AK105" i="6" s="1"/>
  <c r="AC7" i="6"/>
  <c r="AK71" i="6" s="1"/>
  <c r="AC19" i="6"/>
  <c r="AK83" i="6" s="1"/>
  <c r="AC46" i="6"/>
  <c r="AK110" i="6" s="1"/>
  <c r="AC11" i="6"/>
  <c r="AK75" i="6" s="1"/>
  <c r="AC30" i="6"/>
  <c r="AK94" i="6" s="1"/>
  <c r="AC57" i="6"/>
  <c r="AC36" i="6"/>
  <c r="AK100" i="6" s="1"/>
  <c r="X43" i="6"/>
  <c r="AF107" i="6" s="1"/>
  <c r="X23" i="6"/>
  <c r="AF87" i="6" s="1"/>
  <c r="AC62" i="6"/>
  <c r="AA5" i="6"/>
  <c r="AI69" i="6" s="1"/>
  <c r="AD12" i="6"/>
  <c r="AL76" i="6" s="1"/>
  <c r="AC12" i="6"/>
  <c r="AK76" i="6" s="1"/>
  <c r="AB45" i="6"/>
  <c r="AJ109" i="6" s="1"/>
  <c r="AA45" i="6"/>
  <c r="AI109" i="6" s="1"/>
  <c r="V45" i="6"/>
  <c r="AD109" i="6" s="1"/>
  <c r="T45" i="6"/>
  <c r="AB109" i="6" s="1"/>
  <c r="Z45" i="6"/>
  <c r="AH109" i="6" s="1"/>
  <c r="AC45" i="6"/>
  <c r="AK109" i="6" s="1"/>
  <c r="Y45" i="6"/>
  <c r="AG109" i="6" s="1"/>
  <c r="AD45" i="6"/>
  <c r="AL109" i="6" s="1"/>
  <c r="Z4" i="6"/>
  <c r="AH68" i="6" s="1"/>
  <c r="AB4" i="6"/>
  <c r="AJ68" i="6" s="1"/>
  <c r="W35" i="6"/>
  <c r="AE99" i="6" s="1"/>
  <c r="AB35" i="6"/>
  <c r="AJ99" i="6" s="1"/>
  <c r="AA18" i="6"/>
  <c r="AI82" i="6" s="1"/>
  <c r="Z18" i="6"/>
  <c r="AH82" i="6" s="1"/>
  <c r="X31" i="6"/>
  <c r="AF95" i="6" s="1"/>
  <c r="W51" i="6"/>
  <c r="AE115" i="6" s="1"/>
  <c r="AB17" i="6"/>
  <c r="AJ81" i="6" s="1"/>
  <c r="W17" i="6"/>
  <c r="AE81" i="6" s="1"/>
  <c r="W53" i="6"/>
  <c r="T29" i="6"/>
  <c r="AB93" i="6" s="1"/>
  <c r="Z32" i="6"/>
  <c r="AH96" i="6" s="1"/>
  <c r="W28" i="6"/>
  <c r="AE92" i="6" s="1"/>
  <c r="U33" i="6"/>
  <c r="AC97" i="6" s="1"/>
  <c r="V39" i="6"/>
  <c r="AD103" i="6" s="1"/>
  <c r="X8" i="6"/>
  <c r="AF72" i="6" s="1"/>
  <c r="X49" i="6"/>
  <c r="AF113" i="6" s="1"/>
  <c r="AD37" i="6"/>
  <c r="AL101" i="6" s="1"/>
  <c r="AD47" i="6"/>
  <c r="AL111" i="6" s="1"/>
  <c r="V11" i="6"/>
  <c r="AD75" i="6" s="1"/>
  <c r="Z42" i="6"/>
  <c r="AH106" i="6" s="1"/>
  <c r="AC4" i="6"/>
  <c r="AK68" i="6" s="1"/>
  <c r="AC8" i="6"/>
  <c r="AK72" i="6" s="1"/>
  <c r="U50" i="6"/>
  <c r="AC114" i="6" s="1"/>
  <c r="AD34" i="6"/>
  <c r="AL98" i="6" s="1"/>
  <c r="U15" i="6"/>
  <c r="AC79" i="6" s="1"/>
  <c r="Y15" i="6"/>
  <c r="AG79" i="6" s="1"/>
  <c r="AD15" i="6"/>
  <c r="AL79" i="6" s="1"/>
  <c r="T12" i="6"/>
  <c r="AB76" i="6" s="1"/>
  <c r="AA12" i="6"/>
  <c r="AI76" i="6" s="1"/>
  <c r="T31" i="6"/>
  <c r="AB95" i="6" s="1"/>
  <c r="W4" i="6"/>
  <c r="AE68" i="6" s="1"/>
  <c r="T4" i="6"/>
  <c r="AB68" i="6" s="1"/>
  <c r="Z35" i="6"/>
  <c r="AH99" i="6" s="1"/>
  <c r="T18" i="6"/>
  <c r="AB82" i="6" s="1"/>
  <c r="AC31" i="6"/>
  <c r="AK95" i="6" s="1"/>
  <c r="Z31" i="6"/>
  <c r="AH95" i="6" s="1"/>
  <c r="T9" i="6"/>
  <c r="AB73" i="6" s="1"/>
  <c r="Y9" i="6"/>
  <c r="AG73" i="6" s="1"/>
  <c r="Z9" i="6"/>
  <c r="AH73" i="6" s="1"/>
  <c r="AD9" i="6"/>
  <c r="AL73" i="6" s="1"/>
  <c r="W9" i="6"/>
  <c r="AE73" i="6" s="1"/>
  <c r="AA9" i="6"/>
  <c r="AI73" i="6" s="1"/>
  <c r="U9" i="6"/>
  <c r="AC73" i="6" s="1"/>
  <c r="V9" i="6"/>
  <c r="AD73" i="6" s="1"/>
  <c r="AC9" i="6"/>
  <c r="AK73" i="6" s="1"/>
  <c r="AB9" i="6"/>
  <c r="AJ73" i="6" s="1"/>
  <c r="AB19" i="6"/>
  <c r="AJ83" i="6" s="1"/>
  <c r="W29" i="6"/>
  <c r="AE93" i="6" s="1"/>
  <c r="X53" i="6"/>
  <c r="Y32" i="6"/>
  <c r="AG96" i="6" s="1"/>
  <c r="AB32" i="6"/>
  <c r="AJ96" i="6" s="1"/>
  <c r="AD32" i="6"/>
  <c r="AL96" i="6" s="1"/>
  <c r="AA32" i="6"/>
  <c r="AI96" i="6" s="1"/>
  <c r="V32" i="6"/>
  <c r="AD96" i="6" s="1"/>
  <c r="AC20" i="6"/>
  <c r="AK84" i="6" s="1"/>
  <c r="AC33" i="6"/>
  <c r="AK97" i="6" s="1"/>
  <c r="Y39" i="6"/>
  <c r="AG103" i="6" s="1"/>
  <c r="AD19" i="6"/>
  <c r="AL83" i="6" s="1"/>
  <c r="X52" i="6"/>
  <c r="W37" i="6"/>
  <c r="AE101" i="6" s="1"/>
  <c r="AA59" i="6"/>
  <c r="Z40" i="6"/>
  <c r="AH104" i="6" s="1"/>
  <c r="U12" i="6"/>
  <c r="AC76" i="6" s="1"/>
  <c r="X21" i="6"/>
  <c r="AF85" i="6" s="1"/>
  <c r="V36" i="6"/>
  <c r="AD100" i="6" s="1"/>
  <c r="V7" i="6"/>
  <c r="AD71" i="6" s="1"/>
  <c r="V46" i="6"/>
  <c r="AD110" i="6" s="1"/>
  <c r="V23" i="6"/>
  <c r="AD87" i="6" s="1"/>
  <c r="V21" i="6"/>
  <c r="AD85" i="6" s="1"/>
  <c r="V27" i="6"/>
  <c r="AD91" i="6" s="1"/>
  <c r="V10" i="6"/>
  <c r="AD74" i="6" s="1"/>
  <c r="V41" i="6"/>
  <c r="AD105" i="6" s="1"/>
  <c r="V63" i="6"/>
  <c r="V6" i="6"/>
  <c r="AD70" i="6" s="1"/>
  <c r="V30" i="6"/>
  <c r="AD94" i="6" s="1"/>
  <c r="V57" i="6"/>
  <c r="AA17" i="6"/>
  <c r="AI81" i="6" s="1"/>
  <c r="Y50" i="6"/>
  <c r="AG114" i="6" s="1"/>
  <c r="AD51" i="6"/>
  <c r="AL115" i="6" s="1"/>
  <c r="W55" i="6"/>
  <c r="U53" i="6"/>
  <c r="AC16" i="6"/>
  <c r="AK80" i="6" s="1"/>
  <c r="U28" i="6"/>
  <c r="AC92" i="6" s="1"/>
  <c r="Z33" i="6"/>
  <c r="AH97" i="6" s="1"/>
  <c r="W19" i="6"/>
  <c r="AE83" i="6" s="1"/>
  <c r="Y61" i="6"/>
  <c r="AB36" i="6"/>
  <c r="AJ100" i="6" s="1"/>
  <c r="W59" i="6"/>
  <c r="V43" i="6"/>
  <c r="AD107" i="6" s="1"/>
  <c r="V40" i="6"/>
  <c r="AD104" i="6" s="1"/>
  <c r="Z5" i="6"/>
  <c r="AH69" i="6" s="1"/>
  <c r="AC56" i="6"/>
  <c r="U40" i="6"/>
  <c r="AC104" i="6" s="1"/>
  <c r="T56" i="6"/>
  <c r="AC44" i="6"/>
  <c r="AK108" i="6" s="1"/>
  <c r="U5" i="6"/>
  <c r="AC69" i="6" s="1"/>
  <c r="Y5" i="6"/>
  <c r="AG69" i="6" s="1"/>
  <c r="AD5" i="6"/>
  <c r="AL69" i="6" s="1"/>
  <c r="V12" i="6"/>
  <c r="AD76" i="6" s="1"/>
  <c r="X12" i="6"/>
  <c r="AF76" i="6" s="1"/>
  <c r="Z44" i="6"/>
  <c r="AH108" i="6" s="1"/>
  <c r="W44" i="6"/>
  <c r="AE108" i="6" s="1"/>
  <c r="T44" i="6"/>
  <c r="AB108" i="6" s="1"/>
  <c r="V44" i="6"/>
  <c r="AD108" i="6" s="1"/>
  <c r="AD44" i="6"/>
  <c r="AL108" i="6" s="1"/>
  <c r="Y44" i="6"/>
  <c r="AG108" i="6" s="1"/>
  <c r="X44" i="6"/>
  <c r="AF108" i="6" s="1"/>
  <c r="AA44" i="6"/>
  <c r="AI108" i="6" s="1"/>
  <c r="T14" i="6"/>
  <c r="AB78" i="6" s="1"/>
  <c r="X4" i="6"/>
  <c r="AF68" i="6" s="1"/>
  <c r="V4" i="6"/>
  <c r="AD68" i="6" s="1"/>
  <c r="AC35" i="6"/>
  <c r="AK99" i="6" s="1"/>
  <c r="V29" i="6"/>
  <c r="AD93" i="6" s="1"/>
  <c r="AD18" i="6"/>
  <c r="AL82" i="6" s="1"/>
  <c r="AA31" i="6"/>
  <c r="AI95" i="6" s="1"/>
  <c r="W31" i="6"/>
  <c r="AE95" i="6" s="1"/>
  <c r="AD17" i="6"/>
  <c r="AL81" i="6" s="1"/>
  <c r="X32" i="6"/>
  <c r="AF96" i="6" s="1"/>
  <c r="AC21" i="6"/>
  <c r="AK85" i="6" s="1"/>
  <c r="AA63" i="6"/>
  <c r="AC61" i="6"/>
  <c r="AA10" i="6"/>
  <c r="AI74" i="6" s="1"/>
  <c r="V64" i="6"/>
  <c r="Y38" i="6"/>
  <c r="AG102" i="6" s="1"/>
  <c r="X19" i="6"/>
  <c r="AF83" i="6" s="1"/>
  <c r="X62" i="6"/>
  <c r="X64" i="6"/>
  <c r="X30" i="6"/>
  <c r="AF94" i="6" s="1"/>
  <c r="X38" i="6"/>
  <c r="AF102" i="6" s="1"/>
  <c r="X6" i="6"/>
  <c r="AF70" i="6" s="1"/>
  <c r="X41" i="6"/>
  <c r="AF105" i="6" s="1"/>
  <c r="V20" i="6"/>
  <c r="AD84" i="6" s="1"/>
  <c r="AC15" i="6"/>
  <c r="AK79" i="6" s="1"/>
  <c r="AA43" i="6"/>
  <c r="AI107" i="6" s="1"/>
  <c r="AA6" i="6"/>
  <c r="AI70" i="6" s="1"/>
  <c r="AA36" i="6"/>
  <c r="AI100" i="6" s="1"/>
  <c r="AA40" i="6"/>
  <c r="AI104" i="6" s="1"/>
  <c r="AA11" i="6"/>
  <c r="AI75" i="6" s="1"/>
  <c r="AA61" i="6"/>
  <c r="AA62" i="6"/>
  <c r="AA64" i="6"/>
  <c r="AA30" i="6"/>
  <c r="AI94" i="6" s="1"/>
  <c r="AA23" i="6"/>
  <c r="AI87" i="6" s="1"/>
  <c r="AA7" i="6"/>
  <c r="AI71" i="6" s="1"/>
  <c r="AA19" i="6"/>
  <c r="AI83" i="6" s="1"/>
  <c r="AA33" i="6"/>
  <c r="AI97" i="6" s="1"/>
  <c r="Z51" i="6"/>
  <c r="AH115" i="6" s="1"/>
  <c r="V60" i="6"/>
  <c r="AA60" i="6"/>
  <c r="W60" i="6"/>
  <c r="Z60" i="6"/>
  <c r="X60" i="6"/>
  <c r="AD60" i="6"/>
  <c r="T60" i="6"/>
  <c r="Z17" i="6"/>
  <c r="AH81" i="6" s="1"/>
  <c r="T53" i="6"/>
  <c r="AA20" i="6"/>
  <c r="AI84" i="6" s="1"/>
  <c r="AA58" i="6"/>
  <c r="Z58" i="6"/>
  <c r="AB58" i="6"/>
  <c r="U58" i="6"/>
  <c r="W58" i="6"/>
  <c r="V58" i="6"/>
  <c r="AC58" i="6"/>
  <c r="X61" i="6"/>
  <c r="X36" i="6"/>
  <c r="AF100" i="6" s="1"/>
  <c r="AC22" i="6"/>
  <c r="AK86" i="6" s="1"/>
  <c r="AC48" i="6"/>
  <c r="AK112" i="6" s="1"/>
  <c r="V17" i="6"/>
  <c r="AD81" i="6" s="1"/>
  <c r="X15" i="6"/>
  <c r="AF79" i="6" s="1"/>
  <c r="AB12" i="6"/>
  <c r="AJ76" i="6" s="1"/>
  <c r="Y12" i="6"/>
  <c r="AG76" i="6" s="1"/>
  <c r="Z13" i="6"/>
  <c r="AH77" i="6" s="1"/>
  <c r="W13" i="6"/>
  <c r="AE77" i="6" s="1"/>
  <c r="T13" i="6"/>
  <c r="AB77" i="6" s="1"/>
  <c r="V13" i="6"/>
  <c r="AD77" i="6" s="1"/>
  <c r="AD13" i="6"/>
  <c r="AL77" i="6" s="1"/>
  <c r="Y13" i="6"/>
  <c r="AG77" i="6" s="1"/>
  <c r="X13" i="6"/>
  <c r="AF77" i="6" s="1"/>
  <c r="AA13" i="6"/>
  <c r="AI77" i="6" s="1"/>
  <c r="U13" i="6"/>
  <c r="AC77" i="6" s="1"/>
  <c r="AB13" i="6"/>
  <c r="AJ77" i="6" s="1"/>
  <c r="W33" i="6"/>
  <c r="AE97" i="6" s="1"/>
  <c r="Y4" i="6"/>
  <c r="AG68" i="6" s="1"/>
  <c r="V35" i="6"/>
  <c r="AD99" i="6" s="1"/>
  <c r="X35" i="6"/>
  <c r="AF99" i="6" s="1"/>
  <c r="V18" i="6"/>
  <c r="AD82" i="6" s="1"/>
  <c r="AC18" i="6"/>
  <c r="AK82" i="6" s="1"/>
  <c r="V31" i="6"/>
  <c r="AD95" i="6" s="1"/>
  <c r="AD31" i="6"/>
  <c r="AL95" i="6" s="1"/>
  <c r="Y51" i="6"/>
  <c r="AG115" i="6" s="1"/>
  <c r="AD11" i="6"/>
  <c r="AL75" i="6" s="1"/>
  <c r="AC32" i="6"/>
  <c r="AK96" i="6" s="1"/>
  <c r="AB20" i="6"/>
  <c r="AJ84" i="6" s="1"/>
  <c r="T20" i="6"/>
  <c r="AB84" i="6" s="1"/>
  <c r="W20" i="6"/>
  <c r="AE84" i="6" s="1"/>
  <c r="Z20" i="6"/>
  <c r="AH84" i="6" s="1"/>
  <c r="X20" i="6"/>
  <c r="AF84" i="6" s="1"/>
  <c r="T16" i="6"/>
  <c r="AB80" i="6" s="1"/>
  <c r="Z16" i="6"/>
  <c r="AH80" i="6" s="1"/>
  <c r="AD16" i="6"/>
  <c r="AL80" i="6" s="1"/>
  <c r="W16" i="6"/>
  <c r="AE80" i="6" s="1"/>
  <c r="V16" i="6"/>
  <c r="AD80" i="6" s="1"/>
  <c r="Y58" i="6"/>
  <c r="AB44" i="6"/>
  <c r="AJ108" i="6" s="1"/>
  <c r="X54" i="6"/>
  <c r="AD64" i="6"/>
  <c r="W45" i="6"/>
  <c r="AE109" i="6" s="1"/>
  <c r="AC6" i="6"/>
  <c r="AK70" i="6" s="1"/>
  <c r="AB5" i="6"/>
  <c r="AJ69" i="6" s="1"/>
  <c r="AB57" i="6"/>
  <c r="T15" i="6"/>
  <c r="AB79" i="6" s="1"/>
  <c r="AA56" i="6"/>
  <c r="T5" i="6"/>
  <c r="AB69" i="6" s="1"/>
  <c r="U23" i="6"/>
  <c r="AC87" i="6" s="1"/>
  <c r="U43" i="6"/>
  <c r="AC107" i="6" s="1"/>
  <c r="U30" i="6"/>
  <c r="AC94" i="6" s="1"/>
  <c r="U57" i="6"/>
  <c r="U61" i="6"/>
  <c r="U34" i="6"/>
  <c r="AC98" i="6" s="1"/>
  <c r="U48" i="6"/>
  <c r="AC112" i="6" s="1"/>
  <c r="U6" i="6"/>
  <c r="AC70" i="6" s="1"/>
  <c r="U11" i="6"/>
  <c r="AC75" i="6" s="1"/>
  <c r="U24" i="6"/>
  <c r="AC88" i="6" s="1"/>
  <c r="U38" i="6"/>
  <c r="AC102" i="6" s="1"/>
  <c r="U46" i="6"/>
  <c r="AC110" i="6" s="1"/>
  <c r="U64" i="6"/>
  <c r="U8" i="6"/>
  <c r="AC72" i="6" s="1"/>
  <c r="U36" i="6"/>
  <c r="AC100" i="6" s="1"/>
  <c r="T37" i="6"/>
  <c r="AB101" i="6" s="1"/>
  <c r="U37" i="6"/>
  <c r="AC101" i="6" s="1"/>
  <c r="Y37" i="6"/>
  <c r="AG101" i="6" s="1"/>
  <c r="Z37" i="6"/>
  <c r="AH101" i="6" s="1"/>
  <c r="AB37" i="6"/>
  <c r="AJ101" i="6" s="1"/>
  <c r="AA37" i="6"/>
  <c r="AI101" i="6" s="1"/>
  <c r="AC37" i="6"/>
  <c r="AK101" i="6" s="1"/>
  <c r="X37" i="6"/>
  <c r="AF101" i="6" s="1"/>
  <c r="U31" i="6"/>
  <c r="AC95" i="6" s="1"/>
  <c r="Y47" i="6"/>
  <c r="AG111" i="6" s="1"/>
  <c r="AC47" i="6"/>
  <c r="AK111" i="6" s="1"/>
  <c r="U47" i="6"/>
  <c r="AC111" i="6" s="1"/>
  <c r="V47" i="6"/>
  <c r="AD111" i="6" s="1"/>
  <c r="AA47" i="6"/>
  <c r="AI111" i="6" s="1"/>
  <c r="W47" i="6"/>
  <c r="AE111" i="6" s="1"/>
  <c r="Z47" i="6"/>
  <c r="AH111" i="6" s="1"/>
  <c r="X47" i="6"/>
  <c r="AF111" i="6" s="1"/>
  <c r="Z6" i="6"/>
  <c r="AH70" i="6" s="1"/>
  <c r="Z23" i="6"/>
  <c r="AH87" i="6" s="1"/>
  <c r="Z30" i="6"/>
  <c r="AH94" i="6" s="1"/>
  <c r="Z34" i="6"/>
  <c r="AH98" i="6" s="1"/>
  <c r="Z11" i="6"/>
  <c r="AH75" i="6" s="1"/>
  <c r="Z43" i="6"/>
  <c r="AH107" i="6" s="1"/>
  <c r="Z7" i="6"/>
  <c r="AH71" i="6" s="1"/>
  <c r="Z46" i="6"/>
  <c r="AH110" i="6" s="1"/>
  <c r="Z64" i="6"/>
  <c r="AD4" i="6"/>
  <c r="AL68" i="6" s="1"/>
  <c r="W21" i="6"/>
  <c r="AE85" i="6" s="1"/>
  <c r="AB16" i="6"/>
  <c r="AJ80" i="6" s="1"/>
  <c r="T63" i="6"/>
  <c r="U41" i="6"/>
  <c r="AC105" i="6" s="1"/>
  <c r="Z36" i="6"/>
  <c r="AH100" i="6" s="1"/>
  <c r="X10" i="6"/>
  <c r="AF74" i="6" s="1"/>
  <c r="X22" i="6"/>
  <c r="AF86" i="6" s="1"/>
  <c r="AB30" i="6"/>
  <c r="AJ94" i="6" s="1"/>
  <c r="Z26" i="6"/>
  <c r="AH90" i="6" s="1"/>
  <c r="X56" i="6"/>
  <c r="AD24" i="6"/>
  <c r="AL88" i="6" s="1"/>
  <c r="AD56" i="6"/>
  <c r="AC13" i="6"/>
  <c r="AK77" i="6" s="1"/>
  <c r="U14" i="6"/>
  <c r="AC78" i="6" s="1"/>
  <c r="AD14" i="6"/>
  <c r="AL78" i="6" s="1"/>
  <c r="W14" i="6"/>
  <c r="AE78" i="6" s="1"/>
  <c r="V14" i="6"/>
  <c r="AD78" i="6" s="1"/>
  <c r="AB14" i="6"/>
  <c r="AJ78" i="6" s="1"/>
  <c r="Y14" i="6"/>
  <c r="AG78" i="6" s="1"/>
  <c r="AC14" i="6"/>
  <c r="AK78" i="6" s="1"/>
  <c r="Z14" i="6"/>
  <c r="AH78" i="6" s="1"/>
  <c r="X5" i="6"/>
  <c r="AF69" i="6" s="1"/>
  <c r="Y56" i="6"/>
  <c r="V15" i="6"/>
  <c r="AD79" i="6" s="1"/>
  <c r="Z12" i="6"/>
  <c r="AH76" i="6" s="1"/>
  <c r="AB56" i="6"/>
  <c r="U29" i="6"/>
  <c r="AC93" i="6" s="1"/>
  <c r="U4" i="6"/>
  <c r="AC68" i="6" s="1"/>
  <c r="U35" i="6"/>
  <c r="AC99" i="6" s="1"/>
  <c r="AC17" i="6"/>
  <c r="AK81" i="6" s="1"/>
  <c r="W18" i="6"/>
  <c r="AE82" i="6" s="1"/>
  <c r="X17" i="6"/>
  <c r="AF81" i="6" s="1"/>
  <c r="AC51" i="6"/>
  <c r="AK115" i="6" s="1"/>
  <c r="U51" i="6"/>
  <c r="AC115" i="6" s="1"/>
  <c r="Y17" i="6"/>
  <c r="AG81" i="6" s="1"/>
  <c r="U32" i="6"/>
  <c r="AC96" i="6" s="1"/>
  <c r="AD20" i="6"/>
  <c r="AL84" i="6" s="1"/>
  <c r="T21" i="6"/>
  <c r="AB85" i="6" s="1"/>
  <c r="U16" i="6"/>
  <c r="AC80" i="6" s="1"/>
  <c r="T28" i="6"/>
  <c r="AB92" i="6" s="1"/>
  <c r="T58" i="6"/>
  <c r="Z55" i="6"/>
  <c r="U52" i="6"/>
  <c r="U44" i="6"/>
  <c r="AC108" i="6" s="1"/>
  <c r="Z8" i="6"/>
  <c r="AH72" i="6" s="1"/>
  <c r="V54" i="6"/>
  <c r="AC25" i="6"/>
  <c r="AK89" i="6" s="1"/>
  <c r="X45" i="6"/>
  <c r="AF109" i="6" s="1"/>
  <c r="X14" i="6"/>
  <c r="AF78" i="6" s="1"/>
  <c r="V22" i="6"/>
  <c r="AD86" i="6" s="1"/>
  <c r="AB62" i="6"/>
  <c r="AD26" i="6"/>
  <c r="AL90" i="6" s="1"/>
  <c r="X51" i="6"/>
  <c r="AF115" i="6" s="1"/>
  <c r="X7" i="6"/>
  <c r="AF71" i="6" s="1"/>
  <c r="W15" i="6"/>
  <c r="AE79" i="6" s="1"/>
  <c r="AD29" i="6"/>
  <c r="AL93" i="6" s="1"/>
  <c r="AB29" i="6"/>
  <c r="AJ93" i="6" s="1"/>
  <c r="AA29" i="6"/>
  <c r="AI93" i="6" s="1"/>
  <c r="W50" i="6"/>
  <c r="AE114" i="6" s="1"/>
  <c r="X50" i="6"/>
  <c r="AF114" i="6" s="1"/>
  <c r="AC50" i="6"/>
  <c r="AK114" i="6" s="1"/>
  <c r="AA50" i="6"/>
  <c r="AI114" i="6" s="1"/>
  <c r="X16" i="6"/>
  <c r="AF80" i="6" s="1"/>
  <c r="U21" i="6"/>
  <c r="AC85" i="6" s="1"/>
  <c r="AD58" i="6"/>
  <c r="Z25" i="6"/>
  <c r="AH89" i="6" s="1"/>
  <c r="U60" i="6"/>
  <c r="AC23" i="6"/>
  <c r="AK87" i="6" s="1"/>
  <c r="U22" i="6"/>
  <c r="AC86" i="6" s="1"/>
  <c r="T62" i="6"/>
  <c r="W41" i="6"/>
  <c r="AE105" i="6" s="1"/>
  <c r="AD41" i="6"/>
  <c r="AL105" i="6" s="1"/>
  <c r="AB61" i="6"/>
  <c r="Y8" i="6"/>
  <c r="AG72" i="6" s="1"/>
  <c r="U54" i="6"/>
  <c r="AC54" i="6"/>
  <c r="AB27" i="6"/>
  <c r="AJ91" i="6" s="1"/>
  <c r="X27" i="6"/>
  <c r="AF91" i="6" s="1"/>
  <c r="X34" i="6"/>
  <c r="AF98" i="6" s="1"/>
  <c r="V34" i="6"/>
  <c r="AD98" i="6" s="1"/>
  <c r="AD38" i="6"/>
  <c r="AL102" i="6" s="1"/>
  <c r="AB24" i="6"/>
  <c r="AJ88" i="6" s="1"/>
  <c r="Z24" i="6"/>
  <c r="AH88" i="6" s="1"/>
  <c r="AA26" i="6"/>
  <c r="AI90" i="6" s="1"/>
  <c r="AB11" i="6"/>
  <c r="AJ75" i="6" s="1"/>
  <c r="W46" i="6"/>
  <c r="AE110" i="6" s="1"/>
  <c r="AB38" i="6"/>
  <c r="AJ102" i="6" s="1"/>
  <c r="Y42" i="6"/>
  <c r="AG106" i="6" s="1"/>
  <c r="W26" i="6"/>
  <c r="AE90" i="6" s="1"/>
  <c r="W61" i="6"/>
  <c r="AD7" i="6"/>
  <c r="AL71" i="6" s="1"/>
  <c r="Y57" i="6"/>
  <c r="AD49" i="6"/>
  <c r="AL113" i="6" s="1"/>
  <c r="AB25" i="6"/>
  <c r="AJ89" i="6" s="1"/>
  <c r="U59" i="6"/>
  <c r="Y27" i="6"/>
  <c r="AG91" i="6" s="1"/>
  <c r="AD27" i="6"/>
  <c r="AL91" i="6" s="1"/>
  <c r="AB23" i="6"/>
  <c r="AJ87" i="6" s="1"/>
  <c r="AB34" i="6"/>
  <c r="AJ98" i="6" s="1"/>
  <c r="AC34" i="6"/>
  <c r="AK98" i="6" s="1"/>
  <c r="Y40" i="6"/>
  <c r="AG104" i="6" s="1"/>
  <c r="AB40" i="6"/>
  <c r="AJ104" i="6" s="1"/>
  <c r="Y30" i="6"/>
  <c r="AG94" i="6" s="1"/>
  <c r="W42" i="6"/>
  <c r="AE106" i="6" s="1"/>
  <c r="Y24" i="6"/>
  <c r="AG88" i="6" s="1"/>
  <c r="X48" i="6"/>
  <c r="AF112" i="6" s="1"/>
  <c r="AA28" i="6"/>
  <c r="AI92" i="6" s="1"/>
  <c r="V33" i="6"/>
  <c r="AD97" i="6" s="1"/>
  <c r="Z63" i="6"/>
  <c r="AA41" i="6"/>
  <c r="AI105" i="6" s="1"/>
  <c r="AD36" i="6"/>
  <c r="AL100" i="6" s="1"/>
  <c r="W8" i="6"/>
  <c r="AE72" i="6" s="1"/>
  <c r="T8" i="6"/>
  <c r="AB72" i="6" s="1"/>
  <c r="Z57" i="6"/>
  <c r="Z54" i="6"/>
  <c r="W49" i="6"/>
  <c r="AE113" i="6" s="1"/>
  <c r="Z10" i="6"/>
  <c r="AH74" i="6" s="1"/>
  <c r="AB22" i="6"/>
  <c r="AJ86" i="6" s="1"/>
  <c r="AD22" i="6"/>
  <c r="AL86" i="6" s="1"/>
  <c r="T22" i="6"/>
  <c r="AB86" i="6" s="1"/>
  <c r="AD46" i="6"/>
  <c r="AL110" i="6" s="1"/>
  <c r="AC38" i="6"/>
  <c r="AK102" i="6" s="1"/>
  <c r="Y62" i="6"/>
  <c r="X26" i="6"/>
  <c r="AF90" i="6" s="1"/>
  <c r="T26" i="6"/>
  <c r="AB90" i="6" s="1"/>
  <c r="Y28" i="6"/>
  <c r="AG92" i="6" s="1"/>
  <c r="AC63" i="6"/>
  <c r="V52" i="6"/>
  <c r="W54" i="6"/>
  <c r="AB49" i="6"/>
  <c r="AJ113" i="6" s="1"/>
  <c r="AD10" i="6"/>
  <c r="AL74" i="6" s="1"/>
  <c r="V25" i="6"/>
  <c r="AD89" i="6" s="1"/>
  <c r="AD25" i="6"/>
  <c r="AL89" i="6" s="1"/>
  <c r="X59" i="6"/>
  <c r="AC59" i="6"/>
  <c r="W43" i="6"/>
  <c r="AE107" i="6" s="1"/>
  <c r="W23" i="6"/>
  <c r="AE87" i="6" s="1"/>
  <c r="Y11" i="6"/>
  <c r="AG75" i="6" s="1"/>
  <c r="AB6" i="6"/>
  <c r="AJ70" i="6" s="1"/>
  <c r="AD6" i="6"/>
  <c r="AL70" i="6" s="1"/>
  <c r="T38" i="6"/>
  <c r="AB102" i="6" s="1"/>
  <c r="W24" i="6"/>
  <c r="AE88" i="6" s="1"/>
  <c r="AC42" i="6"/>
  <c r="AK106" i="6" s="1"/>
  <c r="V42" i="6"/>
  <c r="AD106" i="6" s="1"/>
  <c r="T48" i="6"/>
  <c r="AB112" i="6" s="1"/>
  <c r="V48" i="6"/>
  <c r="AD112" i="6" s="1"/>
  <c r="AB41" i="6"/>
  <c r="AJ105" i="6" s="1"/>
  <c r="W36" i="6"/>
  <c r="AE100" i="6" s="1"/>
  <c r="AB8" i="6"/>
  <c r="AJ72" i="6" s="1"/>
  <c r="AB54" i="6"/>
  <c r="AB64" i="6"/>
  <c r="W27" i="6"/>
  <c r="AE91" i="6" s="1"/>
  <c r="T27" i="6"/>
  <c r="AB91" i="6" s="1"/>
  <c r="Z27" i="6"/>
  <c r="AH91" i="6" s="1"/>
  <c r="AA34" i="6"/>
  <c r="AI98" i="6" s="1"/>
  <c r="Y34" i="6"/>
  <c r="AG98" i="6" s="1"/>
  <c r="W38" i="6"/>
  <c r="AE102" i="6" s="1"/>
  <c r="AC24" i="6"/>
  <c r="AK88" i="6" s="1"/>
  <c r="V24" i="6"/>
  <c r="AD88" i="6" s="1"/>
  <c r="U26" i="6"/>
  <c r="AC90" i="6" s="1"/>
  <c r="AB26" i="6"/>
  <c r="AJ90" i="6" s="1"/>
  <c r="T51" i="6"/>
  <c r="AB115" i="6" s="1"/>
  <c r="V51" i="6"/>
  <c r="AD115" i="6" s="1"/>
  <c r="V53" i="6"/>
  <c r="AB53" i="6"/>
  <c r="AA21" i="6"/>
  <c r="AI85" i="6" s="1"/>
  <c r="AB21" i="6"/>
  <c r="AJ85" i="6" s="1"/>
  <c r="AC28" i="6"/>
  <c r="AK92" i="6" s="1"/>
  <c r="V28" i="6"/>
  <c r="AD92" i="6" s="1"/>
  <c r="AD63" i="6"/>
  <c r="Y19" i="6"/>
  <c r="AG83" i="6" s="1"/>
  <c r="AA52" i="6"/>
  <c r="Z61" i="6"/>
  <c r="U7" i="6"/>
  <c r="AC71" i="6" s="1"/>
  <c r="W7" i="6"/>
  <c r="AE71" i="6" s="1"/>
  <c r="AD8" i="6"/>
  <c r="AL72" i="6" s="1"/>
  <c r="X57" i="6"/>
  <c r="V49" i="6"/>
  <c r="AD113" i="6" s="1"/>
  <c r="Z49" i="6"/>
  <c r="AH113" i="6" s="1"/>
  <c r="AB10" i="6"/>
  <c r="AJ74" i="6" s="1"/>
  <c r="W10" i="6"/>
  <c r="AE74" i="6" s="1"/>
  <c r="AA25" i="6"/>
  <c r="AI89" i="6" s="1"/>
  <c r="W25" i="6"/>
  <c r="AE89" i="6" s="1"/>
  <c r="AB59" i="6"/>
  <c r="V59" i="6"/>
  <c r="Z22" i="6"/>
  <c r="AH86" i="6" s="1"/>
  <c r="AA22" i="6"/>
  <c r="AI86" i="6" s="1"/>
  <c r="X46" i="6"/>
  <c r="AF110" i="6" s="1"/>
  <c r="AC40" i="6"/>
  <c r="AK104" i="6" s="1"/>
  <c r="U62" i="6"/>
  <c r="Z62" i="6"/>
  <c r="Y48" i="6"/>
  <c r="AG112" i="6" s="1"/>
  <c r="AA48" i="6"/>
  <c r="AI112" i="6" s="1"/>
  <c r="AB33" i="6"/>
  <c r="AJ97" i="6" s="1"/>
  <c r="T33" i="6"/>
  <c r="AB97" i="6" s="1"/>
  <c r="X63" i="6"/>
  <c r="AB52" i="6"/>
  <c r="AC52" i="6"/>
  <c r="V8" i="6"/>
  <c r="AD72" i="6" s="1"/>
  <c r="W57" i="6"/>
  <c r="Y54" i="6"/>
  <c r="T54" i="6"/>
  <c r="W64" i="6"/>
  <c r="W11" i="6"/>
  <c r="AE75" i="6" s="1"/>
  <c r="W22" i="6"/>
  <c r="AE86" i="6" s="1"/>
  <c r="AA46" i="6"/>
  <c r="AI110" i="6" s="1"/>
  <c r="V38" i="6"/>
  <c r="AD102" i="6" s="1"/>
  <c r="AA38" i="6"/>
  <c r="AI102" i="6" s="1"/>
  <c r="AA42" i="6"/>
  <c r="AI106" i="6" s="1"/>
  <c r="X42" i="6"/>
  <c r="AF106" i="6" s="1"/>
  <c r="AD42" i="6"/>
  <c r="AL106" i="6" s="1"/>
  <c r="Y26" i="6"/>
  <c r="AG90" i="6" s="1"/>
  <c r="AC26" i="6"/>
  <c r="AK90" i="6" s="1"/>
  <c r="AD28" i="6"/>
  <c r="AL92" i="6" s="1"/>
  <c r="AB28" i="6"/>
  <c r="AJ92" i="6" s="1"/>
  <c r="AB63" i="6"/>
  <c r="Z41" i="6"/>
  <c r="AH105" i="6" s="1"/>
  <c r="Y41" i="6"/>
  <c r="AG105" i="6" s="1"/>
  <c r="AD61" i="6"/>
  <c r="U49" i="6"/>
  <c r="AC113" i="6" s="1"/>
  <c r="T49" i="6"/>
  <c r="AB113" i="6" s="1"/>
  <c r="U10" i="6"/>
  <c r="AC74" i="6" s="1"/>
  <c r="AC10" i="6"/>
  <c r="AK74" i="6" s="1"/>
  <c r="Y25" i="6"/>
  <c r="AG89" i="6" s="1"/>
  <c r="U25" i="6"/>
  <c r="AC89" i="6" s="1"/>
  <c r="AD59" i="6"/>
  <c r="Z59" i="6"/>
  <c r="U27" i="6"/>
  <c r="AC91" i="6" s="1"/>
  <c r="AC27" i="6"/>
  <c r="AK91" i="6" s="1"/>
  <c r="T34" i="6"/>
  <c r="AB98" i="6" s="1"/>
  <c r="W34" i="6"/>
  <c r="AE98" i="6" s="1"/>
  <c r="X40" i="6"/>
  <c r="AF104" i="6" s="1"/>
  <c r="W40" i="6"/>
  <c r="AE104" i="6" s="1"/>
  <c r="AD30" i="6"/>
  <c r="AL94" i="6" s="1"/>
  <c r="W30" i="6"/>
  <c r="AE94" i="6" s="1"/>
  <c r="AA24" i="6"/>
  <c r="AI88" i="6" s="1"/>
  <c r="X24" i="6"/>
  <c r="AF88" i="6" s="1"/>
  <c r="Z48" i="6"/>
  <c r="AH112" i="6" s="1"/>
  <c r="AD48" i="6"/>
  <c r="AL112" i="6" s="1"/>
  <c r="AD21" i="6"/>
  <c r="AL85" i="6" s="1"/>
  <c r="Z21" i="6"/>
  <c r="AH85" i="6" s="1"/>
  <c r="X33" i="6"/>
  <c r="AF97" i="6" s="1"/>
  <c r="W63" i="6"/>
  <c r="V61" i="6"/>
  <c r="T7" i="6"/>
  <c r="AB71" i="6" s="1"/>
  <c r="AA8" i="6"/>
  <c r="AI72" i="6" s="1"/>
  <c r="T57" i="6"/>
  <c r="AD54" i="6"/>
  <c r="AD23" i="6"/>
  <c r="AL87" i="6" s="1"/>
  <c r="Y22" i="6"/>
  <c r="AG86" i="6" s="1"/>
  <c r="AB46" i="6"/>
  <c r="AJ110" i="6" s="1"/>
  <c r="Z38" i="6"/>
  <c r="AH102" i="6" s="1"/>
  <c r="AD62" i="6"/>
  <c r="W62" i="6"/>
  <c r="V26" i="6"/>
  <c r="AD90" i="6" s="1"/>
  <c r="X28" i="6"/>
  <c r="AF92" i="6" s="1"/>
  <c r="U19" i="6"/>
  <c r="AC83" i="6" s="1"/>
  <c r="Z52" i="6"/>
  <c r="Y52" i="6"/>
  <c r="AC49" i="6"/>
  <c r="AK113" i="6" s="1"/>
  <c r="T10" i="6"/>
  <c r="AB74" i="6" s="1"/>
  <c r="T25" i="6"/>
  <c r="AB89" i="6" s="1"/>
  <c r="T59" i="6"/>
  <c r="AB43" i="6"/>
  <c r="AJ107" i="6" s="1"/>
  <c r="X11" i="6"/>
  <c r="AF75" i="6" s="1"/>
  <c r="Y6" i="6"/>
  <c r="AG70" i="6" s="1"/>
  <c r="AD40" i="6"/>
  <c r="AL104" i="6" s="1"/>
  <c r="AB42" i="6"/>
  <c r="AJ106" i="6" s="1"/>
  <c r="U42" i="6"/>
  <c r="AC106" i="6" s="1"/>
  <c r="AB48" i="6"/>
  <c r="AJ112" i="6" s="1"/>
  <c r="AB23" i="15"/>
  <c r="AA29" i="15" s="1"/>
  <c r="AB29" i="15" s="1"/>
  <c r="AA35" i="15" s="1"/>
  <c r="AB35" i="15" s="1"/>
  <c r="AA41" i="15" s="1"/>
  <c r="AB41" i="15" s="1"/>
  <c r="AA47" i="15" s="1"/>
  <c r="AB47" i="15" s="1"/>
  <c r="AA53" i="15" s="1"/>
  <c r="AB53" i="15" s="1"/>
  <c r="AA59" i="15" s="1"/>
  <c r="AB59" i="15" s="1"/>
  <c r="AA65" i="15" s="1"/>
  <c r="AB65" i="15" s="1"/>
  <c r="AA71" i="15" s="1"/>
  <c r="AB71" i="15" s="1"/>
  <c r="AA77" i="15" s="1"/>
  <c r="AB77" i="15" s="1"/>
  <c r="AA83" i="15" s="1"/>
  <c r="AB83" i="15" s="1"/>
  <c r="AA89" i="15" s="1"/>
  <c r="AB89" i="15" s="1"/>
  <c r="AA95" i="15" s="1"/>
  <c r="AB95" i="15" s="1"/>
  <c r="AA101" i="15" s="1"/>
  <c r="AB101" i="15" s="1"/>
  <c r="N108"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L15" authorId="0" shapeId="0" xr:uid="{00000000-0006-0000-0300-000001000000}">
      <text>
        <r>
          <rPr>
            <b/>
            <sz val="8"/>
            <color indexed="8"/>
            <rFont val="Tahoma"/>
            <family val="2"/>
            <charset val="238"/>
          </rPr>
          <t xml:space="preserve">Boss:
</t>
        </r>
        <r>
          <rPr>
            <sz val="8"/>
            <color indexed="8"/>
            <rFont val="Tahoma"/>
            <family val="2"/>
            <charset val="238"/>
          </rPr>
          <t xml:space="preserve">estimated pit time.
</t>
        </r>
      </text>
    </comment>
    <comment ref="L16" authorId="0" shapeId="0" xr:uid="{00000000-0006-0000-0300-000002000000}">
      <text>
        <r>
          <rPr>
            <b/>
            <sz val="9"/>
            <color indexed="8"/>
            <rFont val="Tahoma"/>
            <family val="2"/>
          </rPr>
          <t xml:space="preserve">Nathan Skelly:
</t>
        </r>
        <r>
          <rPr>
            <sz val="9"/>
            <color indexed="8"/>
            <rFont val="Tahoma"/>
            <family val="2"/>
          </rPr>
          <t>This information has to come from a previous race</t>
        </r>
      </text>
    </comment>
    <comment ref="F31" authorId="0" shapeId="0" xr:uid="{00000000-0006-0000-0300-000003000000}">
      <text>
        <r>
          <rPr>
            <b/>
            <sz val="8"/>
            <color indexed="8"/>
            <rFont val="Tahoma"/>
            <family val="2"/>
          </rPr>
          <t xml:space="preserve">Boss:
</t>
        </r>
        <r>
          <rPr>
            <sz val="8"/>
            <color indexed="8"/>
            <rFont val="Tahoma"/>
            <family val="2"/>
          </rPr>
          <t xml:space="preserve">put your CT risk here.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R92" authorId="0" shapeId="0" xr:uid="{00000000-0006-0000-0400-000001000000}">
      <text>
        <r>
          <rPr>
            <b/>
            <sz val="9"/>
            <color indexed="8"/>
            <rFont val="Tahoma"/>
            <family val="2"/>
          </rPr>
          <t xml:space="preserve">Author:
</t>
        </r>
        <r>
          <rPr>
            <sz val="9"/>
            <color indexed="8"/>
            <rFont val="Tahoma"/>
            <family val="2"/>
          </rPr>
          <t>-4.5 std</t>
        </r>
      </text>
    </comment>
    <comment ref="T92" authorId="0" shapeId="0" xr:uid="{00000000-0006-0000-0400-000002000000}">
      <text>
        <r>
          <rPr>
            <b/>
            <sz val="9"/>
            <color indexed="8"/>
            <rFont val="Tahoma"/>
            <family val="2"/>
          </rPr>
          <t xml:space="preserve">Author:
</t>
        </r>
        <r>
          <rPr>
            <sz val="9"/>
            <color indexed="8"/>
            <rFont val="Tahoma"/>
            <family val="2"/>
          </rPr>
          <t>-4.5 std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00000000-0006-0000-0700-000001000000}">
      <text>
        <r>
          <rPr>
            <sz val="9"/>
            <color indexed="8"/>
            <rFont val="Tahoma"/>
            <family val="2"/>
          </rPr>
          <t>Select the clear track risk you want to use for a particular track
in this column.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C6E759EB-A28E-4FF5-8174-03F6D7BB4F5E}">
      <text>
        <r>
          <rPr>
            <sz val="9"/>
            <color indexed="8"/>
            <rFont val="Tahoma"/>
            <family val="2"/>
          </rPr>
          <t>Select the clear track risk you want to use for a particular track
in this column.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I8" authorId="0" shapeId="0" xr:uid="{00000000-0006-0000-1300-000001000000}">
      <text>
        <r>
          <rPr>
            <b/>
            <sz val="8"/>
            <color indexed="8"/>
            <rFont val="Tahoma"/>
            <family val="2"/>
            <charset val="238"/>
          </rPr>
          <t xml:space="preserve">Boss:
</t>
        </r>
      </text>
    </comment>
  </commentList>
</comments>
</file>

<file path=xl/sharedStrings.xml><?xml version="1.0" encoding="utf-8"?>
<sst xmlns="http://schemas.openxmlformats.org/spreadsheetml/2006/main" count="2767" uniqueCount="880">
  <si>
    <t>Front Wing</t>
  </si>
  <si>
    <t>Rear Wing</t>
  </si>
  <si>
    <t>Engine</t>
  </si>
  <si>
    <t>Brakes</t>
  </si>
  <si>
    <t>Gears</t>
  </si>
  <si>
    <t>Suspension</t>
  </si>
  <si>
    <t>Practice Run:</t>
  </si>
  <si>
    <t>:</t>
  </si>
  <si>
    <t>Driver Stats:</t>
  </si>
  <si>
    <t>Technical Insight</t>
  </si>
  <si>
    <t>Experience</t>
  </si>
  <si>
    <t>Wings</t>
  </si>
  <si>
    <t>Gear</t>
  </si>
  <si>
    <t>Driver's Feedback:</t>
  </si>
  <si>
    <t>Qualifying 1: The Easy Way</t>
  </si>
  <si>
    <t>Drivers reaction to each setting:</t>
  </si>
  <si>
    <t>Drivers settings:</t>
  </si>
  <si>
    <t>All the Messy Stuff!</t>
  </si>
  <si>
    <t>Between</t>
  </si>
  <si>
    <t>and</t>
  </si>
  <si>
    <t>Known Fringe so far:</t>
  </si>
  <si>
    <t>Fringe</t>
  </si>
  <si>
    <t>.</t>
  </si>
  <si>
    <t>low is 0</t>
  </si>
  <si>
    <t>high is 0</t>
  </si>
  <si>
    <t>Final Settings:</t>
  </si>
  <si>
    <t>Unstable in many corners</t>
  </si>
  <si>
    <t>Missing a bit of grip in the curves</t>
  </si>
  <si>
    <t>The gear ratio is too high</t>
  </si>
  <si>
    <t>Not enough engine power in straight</t>
  </si>
  <si>
    <t>Put the gear ratio a bit lower</t>
  </si>
  <si>
    <t>Move balance a bit more to the front</t>
  </si>
  <si>
    <t xml:space="preserve"> </t>
  </si>
  <si>
    <t>Perfect</t>
  </si>
  <si>
    <t>Bit more rigid suspension I will go faster</t>
  </si>
  <si>
    <t>The car could have a bit more speed in the straights</t>
  </si>
  <si>
    <t>Often in the red. Put the gear ratio a bit higher</t>
  </si>
  <si>
    <t>The engine power on the straights is not sufficient</t>
  </si>
  <si>
    <t>The engine revs are too high</t>
  </si>
  <si>
    <t>The suspension rigidity is too high</t>
  </si>
  <si>
    <t>Try to favor a bit more the low revs</t>
  </si>
  <si>
    <t>The car is too rigid. Lower a bit the rigidity</t>
  </si>
  <si>
    <t>The gear ratio is too low</t>
  </si>
  <si>
    <t>The suspension rigidity is too low</t>
  </si>
  <si>
    <t>The car is lacking some speed in the straights</t>
  </si>
  <si>
    <t>Put the balance a bit more to the back</t>
  </si>
  <si>
    <t>Effectiveness could be higher if we move balance to back</t>
  </si>
  <si>
    <t>Effectiveness could be higher if we move balance to front</t>
  </si>
  <si>
    <t>A1-Ring</t>
  </si>
  <si>
    <t>Adelaide</t>
  </si>
  <si>
    <t>Anderstorp</t>
  </si>
  <si>
    <t>Barcelona</t>
  </si>
  <si>
    <t>Brands Hatch</t>
  </si>
  <si>
    <t>Brasilia</t>
  </si>
  <si>
    <t>Buenos Aires</t>
  </si>
  <si>
    <t>Estoril</t>
  </si>
  <si>
    <t>Fiorano</t>
  </si>
  <si>
    <t>Fuji</t>
  </si>
  <si>
    <t>Hockenheim</t>
  </si>
  <si>
    <t>Hungaroring</t>
  </si>
  <si>
    <t>Imola</t>
  </si>
  <si>
    <t>Indianapolis</t>
  </si>
  <si>
    <t>Interlagos</t>
  </si>
  <si>
    <t>Istanbul</t>
  </si>
  <si>
    <t>Jerez</t>
  </si>
  <si>
    <t>Kyalami</t>
  </si>
  <si>
    <t>Laguna Seca</t>
  </si>
  <si>
    <t>Magny Cours</t>
  </si>
  <si>
    <t>Melbourne</t>
  </si>
  <si>
    <t>Mexico City</t>
  </si>
  <si>
    <t>Monte Carlo</t>
  </si>
  <si>
    <t>Montreal</t>
  </si>
  <si>
    <t>Monza</t>
  </si>
  <si>
    <t>Mugello</t>
  </si>
  <si>
    <t>Nurburgring</t>
  </si>
  <si>
    <t>Oesterreichring</t>
  </si>
  <si>
    <t>Paul Ricard</t>
  </si>
  <si>
    <t>Sakhir</t>
  </si>
  <si>
    <t>Sepang</t>
  </si>
  <si>
    <t>Shanghai</t>
  </si>
  <si>
    <t>Silverstone</t>
  </si>
  <si>
    <t>Singapore</t>
  </si>
  <si>
    <t>Spa</t>
  </si>
  <si>
    <t>Suzuka</t>
  </si>
  <si>
    <t>Valencia</t>
  </si>
  <si>
    <t>Zandvoort</t>
  </si>
  <si>
    <t>Zolder</t>
  </si>
  <si>
    <t>Yeongam</t>
  </si>
  <si>
    <t>Yas Marina</t>
  </si>
  <si>
    <t>Poznan</t>
  </si>
  <si>
    <t>228-250</t>
  </si>
  <si>
    <t>206-227</t>
  </si>
  <si>
    <t>239-250</t>
  </si>
  <si>
    <t>183-205</t>
  </si>
  <si>
    <t>223-250</t>
  </si>
  <si>
    <t>227-238</t>
  </si>
  <si>
    <t>160-182</t>
  </si>
  <si>
    <t>195-222</t>
  </si>
  <si>
    <t>215-226</t>
  </si>
  <si>
    <t>137-159</t>
  </si>
  <si>
    <t>168-194</t>
  </si>
  <si>
    <t>203-214</t>
  </si>
  <si>
    <t>115-136</t>
  </si>
  <si>
    <t>140-167</t>
  </si>
  <si>
    <t>191-202</t>
  </si>
  <si>
    <t>92-114</t>
  </si>
  <si>
    <t>112-139</t>
  </si>
  <si>
    <t>180-190</t>
  </si>
  <si>
    <t>69-91</t>
  </si>
  <si>
    <t>84-111</t>
  </si>
  <si>
    <t>168-179</t>
  </si>
  <si>
    <t>46-68</t>
  </si>
  <si>
    <t>57-83</t>
  </si>
  <si>
    <t>156-167</t>
  </si>
  <si>
    <t>24-45</t>
  </si>
  <si>
    <t>29-56</t>
  </si>
  <si>
    <t>144-155</t>
  </si>
  <si>
    <t>0-23</t>
  </si>
  <si>
    <t>0-28</t>
  </si>
  <si>
    <t>132-143</t>
  </si>
  <si>
    <t>range</t>
  </si>
  <si>
    <t>120-131</t>
  </si>
  <si>
    <t>Agg Adjustment</t>
  </si>
  <si>
    <t>Exp Adjustment</t>
  </si>
  <si>
    <t>108-119</t>
  </si>
  <si>
    <t>Irungattukottai</t>
  </si>
  <si>
    <t>96-107</t>
  </si>
  <si>
    <t>Elecs 4-6 Levels higher than Engine</t>
  </si>
  <si>
    <t>84-95</t>
  </si>
  <si>
    <t>Elecs 3 Levels higher than Engine</t>
  </si>
  <si>
    <t>72-83</t>
  </si>
  <si>
    <t>Durability</t>
  </si>
  <si>
    <t>Humid</t>
  </si>
  <si>
    <t>Temp</t>
  </si>
  <si>
    <t>Elecs 2 Levels higher than Engine</t>
  </si>
  <si>
    <t>Elecs 1 Level higher than Engine</t>
  </si>
  <si>
    <t>Very Low</t>
  </si>
  <si>
    <t>Same Level</t>
  </si>
  <si>
    <t>26-48</t>
  </si>
  <si>
    <t>Very High</t>
  </si>
  <si>
    <t>xsoft</t>
  </si>
  <si>
    <t>Engine 1 Level higher than Elecs</t>
  </si>
  <si>
    <t>25-36</t>
  </si>
  <si>
    <t>Medium</t>
  </si>
  <si>
    <t>soft</t>
  </si>
  <si>
    <t>Engine 2 Levels higher than Elecs</t>
  </si>
  <si>
    <t>13-24</t>
  </si>
  <si>
    <t>Low</t>
  </si>
  <si>
    <t>medium</t>
  </si>
  <si>
    <t>Engine 3 Levels higher than Elecs</t>
  </si>
  <si>
    <t>0-12</t>
  </si>
  <si>
    <t>High</t>
  </si>
  <si>
    <t>hard</t>
  </si>
  <si>
    <t>Engine 4-6 Levels higher than Elecs</t>
  </si>
  <si>
    <t>Track wear</t>
  </si>
  <si>
    <t>Risk and wear</t>
  </si>
  <si>
    <t>Bucharest Ring</t>
  </si>
  <si>
    <t>Elecs Adjustment</t>
  </si>
  <si>
    <t>TI Adjustment</t>
  </si>
  <si>
    <t>Brno</t>
  </si>
  <si>
    <t>rain</t>
  </si>
  <si>
    <t>D6</t>
  </si>
  <si>
    <t>D5</t>
  </si>
  <si>
    <t>D4</t>
  </si>
  <si>
    <t>D3</t>
  </si>
  <si>
    <t>D2</t>
  </si>
  <si>
    <t>D1</t>
  </si>
  <si>
    <t>kTrack</t>
  </si>
  <si>
    <t>Track</t>
  </si>
  <si>
    <t>Yokomama</t>
  </si>
  <si>
    <t>Pipirelli</t>
  </si>
  <si>
    <t>Michelini</t>
  </si>
  <si>
    <t>Dunnolop</t>
  </si>
  <si>
    <t>Bridgerock</t>
  </si>
  <si>
    <t>Wet</t>
  </si>
  <si>
    <t>Badyear</t>
  </si>
  <si>
    <t>Factor:</t>
  </si>
  <si>
    <t>Dry</t>
  </si>
  <si>
    <t>TCD</t>
  </si>
  <si>
    <t>Cost/Race</t>
  </si>
  <si>
    <t>Warmup Distance</t>
  </si>
  <si>
    <t>Peak Temperature</t>
  </si>
  <si>
    <t>Wet Performance</t>
  </si>
  <si>
    <t>Dry Performance</t>
  </si>
  <si>
    <t>Supplier</t>
  </si>
  <si>
    <t>Happy Zone / 2</t>
  </si>
  <si>
    <t>Happy Zone</t>
  </si>
  <si>
    <t>---------&gt;</t>
  </si>
  <si>
    <t>Q2 Temperature</t>
  </si>
  <si>
    <t>Race</t>
  </si>
  <si>
    <t>Q2</t>
  </si>
  <si>
    <t>Q1 Setup</t>
  </si>
  <si>
    <t>Setup Changes</t>
  </si>
  <si>
    <t>Q1 Temperature</t>
  </si>
  <si>
    <t>Q1 &amp; Q2 Same Weather</t>
  </si>
  <si>
    <t>From Perfect Practice Setup</t>
  </si>
  <si>
    <t>Aggressiveness</t>
  </si>
  <si>
    <t>Ave. Speed</t>
  </si>
  <si>
    <t>TOTAL</t>
  </si>
  <si>
    <t>&gt; L/km</t>
  </si>
  <si>
    <t>Electronics Level</t>
  </si>
  <si>
    <t>Corners</t>
  </si>
  <si>
    <t>Pit Stop</t>
  </si>
  <si>
    <t>&gt; Litres</t>
  </si>
  <si>
    <t>Engine Level</t>
  </si>
  <si>
    <t>Grip Level</t>
  </si>
  <si>
    <t>Fuel Load</t>
  </si>
  <si>
    <t>Typical Fuel</t>
  </si>
  <si>
    <t>Rec. Fuel</t>
  </si>
  <si>
    <t>Track Consumption</t>
  </si>
  <si>
    <t>Susp Rigidity</t>
  </si>
  <si>
    <t>Tyre</t>
  </si>
  <si>
    <t>Downforce</t>
  </si>
  <si>
    <t>Time Loss (s)</t>
  </si>
  <si>
    <t>Loss Type</t>
  </si>
  <si>
    <t>-----------&gt;</t>
  </si>
  <si>
    <t>Expected Stops</t>
  </si>
  <si>
    <t>Acceleration</t>
  </si>
  <si>
    <t>Laps</t>
  </si>
  <si>
    <t>Handling</t>
  </si>
  <si>
    <t>Kms</t>
  </si>
  <si>
    <t>Power</t>
  </si>
  <si>
    <t>Distance</t>
  </si>
  <si>
    <t>CT Risk</t>
  </si>
  <si>
    <t>0 Risk</t>
  </si>
  <si>
    <t>Tyres</t>
  </si>
  <si>
    <t>Track Wear</t>
  </si>
  <si>
    <t>Overtaking</t>
  </si>
  <si>
    <t>TCD Race</t>
  </si>
  <si>
    <t>Race Distance</t>
  </si>
  <si>
    <t>Wear</t>
  </si>
  <si>
    <t>Tyre Supplier</t>
  </si>
  <si>
    <t>Lap Length</t>
  </si>
  <si>
    <t>Average Race Hum</t>
  </si>
  <si>
    <t>Average Race Temp</t>
  </si>
  <si>
    <t>Laps In Stint &gt;</t>
  </si>
  <si>
    <t>Weather Race</t>
  </si>
  <si>
    <t>Sum Check</t>
  </si>
  <si>
    <t>Stint 6</t>
  </si>
  <si>
    <t>Stint 5</t>
  </si>
  <si>
    <t>Stint 4</t>
  </si>
  <si>
    <t>Stint 3</t>
  </si>
  <si>
    <t>Stint 2</t>
  </si>
  <si>
    <t>Stint 1</t>
  </si>
  <si>
    <t>Pit In/Out</t>
  </si>
  <si>
    <t>Kaunas</t>
  </si>
  <si>
    <t>60-71</t>
  </si>
  <si>
    <t>49-59</t>
  </si>
  <si>
    <t>Hard</t>
  </si>
  <si>
    <t>Normal</t>
  </si>
  <si>
    <t>Soft</t>
  </si>
  <si>
    <t>Easy</t>
  </si>
  <si>
    <t>Portimao</t>
  </si>
  <si>
    <t>New Delhi</t>
  </si>
  <si>
    <t>Very Hard</t>
  </si>
  <si>
    <t>Very Easy</t>
  </si>
  <si>
    <t>Indianapolis Oval</t>
  </si>
  <si>
    <t>Ahvenisto</t>
  </si>
  <si>
    <t>Fuel</t>
  </si>
  <si>
    <t>In/Out Pit Time</t>
  </si>
  <si>
    <t>Nr of Corners</t>
  </si>
  <si>
    <t>Weight (kg)</t>
  </si>
  <si>
    <t>Motivation</t>
  </si>
  <si>
    <t>Charisma</t>
  </si>
  <si>
    <t>Stamina</t>
  </si>
  <si>
    <t>Talent</t>
  </si>
  <si>
    <t>Concentration</t>
  </si>
  <si>
    <t>Overall</t>
  </si>
  <si>
    <t>Race 17</t>
  </si>
  <si>
    <t>Race 16</t>
  </si>
  <si>
    <t>Race 15</t>
  </si>
  <si>
    <t>Race 14</t>
  </si>
  <si>
    <t>Race 13</t>
  </si>
  <si>
    <t>Race 12</t>
  </si>
  <si>
    <t>Race 11</t>
  </si>
  <si>
    <t>Race 10</t>
  </si>
  <si>
    <t>Race 9</t>
  </si>
  <si>
    <t>Race 8</t>
  </si>
  <si>
    <t>Race 7</t>
  </si>
  <si>
    <t>Race 6</t>
  </si>
  <si>
    <t>Race 5</t>
  </si>
  <si>
    <t>Race 4</t>
  </si>
  <si>
    <t>Race 3</t>
  </si>
  <si>
    <t>Race 2</t>
  </si>
  <si>
    <t>Race 1</t>
  </si>
  <si>
    <t>Start</t>
  </si>
  <si>
    <t>Age</t>
  </si>
  <si>
    <t>Reputation</t>
  </si>
  <si>
    <t>Fitness Class</t>
  </si>
  <si>
    <t>Salary</t>
  </si>
  <si>
    <t>Nigel Hailwood</t>
  </si>
  <si>
    <t>Name</t>
  </si>
  <si>
    <t>DRIVER TRAINING</t>
  </si>
  <si>
    <t>DRIVER INFORMATION</t>
  </si>
  <si>
    <t>Electronics</t>
  </si>
  <si>
    <t>Gearbox</t>
  </si>
  <si>
    <t>Cooling</t>
  </si>
  <si>
    <t>Sidepods</t>
  </si>
  <si>
    <t>Underbody</t>
  </si>
  <si>
    <t>Chassis</t>
  </si>
  <si>
    <t>Track Name</t>
  </si>
  <si>
    <t>Indy Oval</t>
  </si>
  <si>
    <t>Elet.</t>
  </si>
  <si>
    <t>Susp.</t>
  </si>
  <si>
    <t>Brak.</t>
  </si>
  <si>
    <t>Cool.</t>
  </si>
  <si>
    <t>Sid.</t>
  </si>
  <si>
    <t>Und.</t>
  </si>
  <si>
    <t>SOMA</t>
  </si>
  <si>
    <t>&lt;===Driver Skills/Car Levels===&gt;</t>
  </si>
  <si>
    <t>Stam.</t>
  </si>
  <si>
    <t>Exp.</t>
  </si>
  <si>
    <t>Agg.</t>
  </si>
  <si>
    <t>Tal.</t>
  </si>
  <si>
    <t>Conc.</t>
  </si>
  <si>
    <t>66</t>
  </si>
  <si>
    <t>60</t>
  </si>
  <si>
    <t>NONE</t>
  </si>
  <si>
    <t>PG</t>
  </si>
  <si>
    <t>MS</t>
  </si>
  <si>
    <t>Typ. Fuel</t>
  </si>
  <si>
    <t>Tot. Chge</t>
  </si>
  <si>
    <t>KG</t>
  </si>
  <si>
    <t>BM</t>
  </si>
  <si>
    <t>DG</t>
  </si>
  <si>
    <t>NV</t>
  </si>
  <si>
    <t>SF</t>
  </si>
  <si>
    <t>y</t>
  </si>
  <si>
    <t>Exp</t>
  </si>
  <si>
    <t>Agg</t>
  </si>
  <si>
    <t>TI</t>
  </si>
  <si>
    <t>Elecs</t>
  </si>
  <si>
    <t>Fuel Sources</t>
  </si>
  <si>
    <t>+1ºC Temp</t>
  </si>
  <si>
    <t>Changes</t>
  </si>
  <si>
    <t>Level 9</t>
  </si>
  <si>
    <t>Level 8</t>
  </si>
  <si>
    <t>Level 7</t>
  </si>
  <si>
    <t>Level 6</t>
  </si>
  <si>
    <t>Level 5</t>
  </si>
  <si>
    <t>Level 4</t>
  </si>
  <si>
    <t>Level 3</t>
  </si>
  <si>
    <t>Level 2</t>
  </si>
  <si>
    <t>Level 1</t>
  </si>
  <si>
    <t>Part</t>
  </si>
  <si>
    <t>k</t>
  </si>
  <si>
    <t>Pit Time</t>
  </si>
  <si>
    <t>Lap Dist</t>
  </si>
  <si>
    <t>Race Average Temp</t>
  </si>
  <si>
    <t>Will show after 5 laps</t>
  </si>
  <si>
    <t>Q1 + Q2 Same Weather</t>
  </si>
  <si>
    <t>Front Wing :</t>
  </si>
  <si>
    <t>Rear Wing :</t>
  </si>
  <si>
    <t>Brakes :</t>
  </si>
  <si>
    <t>Gears :</t>
  </si>
  <si>
    <t>Suspension :</t>
  </si>
  <si>
    <t>Engine :</t>
  </si>
  <si>
    <t>Tech. Insight :</t>
  </si>
  <si>
    <t>Experience    :</t>
  </si>
  <si>
    <t xml:space="preserve">Sat. Range </t>
  </si>
  <si>
    <t>Next Run:</t>
  </si>
  <si>
    <t>Use these settings</t>
  </si>
  <si>
    <t>Temperature:</t>
  </si>
  <si>
    <t>Lower or Higher edge of satisfied</t>
  </si>
  <si>
    <t>M Rain</t>
  </si>
  <si>
    <t>M Hard</t>
  </si>
  <si>
    <t>M Medium</t>
  </si>
  <si>
    <t>M Soft</t>
  </si>
  <si>
    <t>Durability 6</t>
  </si>
  <si>
    <t>M Xsoft</t>
  </si>
  <si>
    <t>BY Rain</t>
  </si>
  <si>
    <t>BY Hard</t>
  </si>
  <si>
    <t>BY Medium</t>
  </si>
  <si>
    <t>BY Soft</t>
  </si>
  <si>
    <t>Durability 5</t>
  </si>
  <si>
    <t>BY Xsoft</t>
  </si>
  <si>
    <t>D Rain</t>
  </si>
  <si>
    <t>D Hard</t>
  </si>
  <si>
    <t>D Medium</t>
  </si>
  <si>
    <t>D Soft</t>
  </si>
  <si>
    <t>Durability 4</t>
  </si>
  <si>
    <t>D Xsoft</t>
  </si>
  <si>
    <t>3 Rain</t>
  </si>
  <si>
    <t>3 Hard</t>
  </si>
  <si>
    <t>3 Medium</t>
  </si>
  <si>
    <t>3 Soft</t>
  </si>
  <si>
    <t>Durability 3</t>
  </si>
  <si>
    <t>3 Xsoft</t>
  </si>
  <si>
    <t>Y Rain</t>
  </si>
  <si>
    <t>Y Hard</t>
  </si>
  <si>
    <t>Y Medium</t>
  </si>
  <si>
    <t>Y Soft</t>
  </si>
  <si>
    <t>Dur 2</t>
  </si>
  <si>
    <t>Y Xsoft</t>
  </si>
  <si>
    <t>P Rain</t>
  </si>
  <si>
    <t>P Hard</t>
  </si>
  <si>
    <t>P Medium</t>
  </si>
  <si>
    <t>P Soft</t>
  </si>
  <si>
    <t>Dur 1</t>
  </si>
  <si>
    <t>P Xsoft</t>
  </si>
  <si>
    <t>wytrzymałość w %</t>
  </si>
  <si>
    <t>Wilgotność (%)</t>
  </si>
  <si>
    <t>Temp. (st.)</t>
  </si>
  <si>
    <t>100CT</t>
  </si>
  <si>
    <t>CT risk</t>
  </si>
  <si>
    <t>0 RISK</t>
  </si>
  <si>
    <t>Tyre type</t>
  </si>
  <si>
    <t>Humidity</t>
  </si>
  <si>
    <t>New Temp</t>
  </si>
  <si>
    <t>Mod. Trk W</t>
  </si>
  <si>
    <t>Est. 100%</t>
  </si>
  <si>
    <t>Tire type</t>
  </si>
  <si>
    <t>Old Hum</t>
  </si>
  <si>
    <t>Old temp</t>
  </si>
  <si>
    <t>Poznań</t>
  </si>
  <si>
    <t>x laps</t>
  </si>
  <si>
    <t>lap length</t>
  </si>
  <si>
    <t>Basic Wear</t>
  </si>
  <si>
    <t>Times faster than a 3 stop on hards</t>
  </si>
  <si>
    <t>/stints</t>
  </si>
  <si>
    <t>laps</t>
  </si>
  <si>
    <t>TCD Q2</t>
  </si>
  <si>
    <t>pitstop time</t>
  </si>
  <si>
    <t>4 stops</t>
  </si>
  <si>
    <t>3 stops</t>
  </si>
  <si>
    <t>2 stops</t>
  </si>
  <si>
    <t>1 stop</t>
  </si>
  <si>
    <t>TCD Q1</t>
  </si>
  <si>
    <t>Fuel Per Lap</t>
  </si>
  <si>
    <t>Race Fuel (DRY)</t>
  </si>
  <si>
    <t>Lap 2 Number</t>
  </si>
  <si>
    <t>R&amp;D mechanics</t>
  </si>
  <si>
    <t>Lap 1 Number</t>
  </si>
  <si>
    <t>R&amp;D electronics</t>
  </si>
  <si>
    <t>Lap 2 Time</t>
  </si>
  <si>
    <t>R&amp;D aerodynamics</t>
  </si>
  <si>
    <t>Lap 1 Time</t>
  </si>
  <si>
    <t>Stint Fuel</t>
  </si>
  <si>
    <t>Tech. Director Information</t>
  </si>
  <si>
    <t>Stint Length</t>
  </si>
  <si>
    <t>Weight</t>
  </si>
  <si>
    <t>Past Race Information</t>
  </si>
  <si>
    <t>Pitstop Time</t>
  </si>
  <si>
    <t>Time for Strategy</t>
  </si>
  <si>
    <t>Extra Soft</t>
  </si>
  <si>
    <t>4 Stop</t>
  </si>
  <si>
    <t>3 Stop</t>
  </si>
  <si>
    <t>2 Stop</t>
  </si>
  <si>
    <t>1 Stop</t>
  </si>
  <si>
    <t>Number stops</t>
  </si>
  <si>
    <t>Upper Limit</t>
  </si>
  <si>
    <t>Lower Limit</t>
  </si>
  <si>
    <t>Level</t>
  </si>
  <si>
    <t>STRATEGY CALCULATIONS</t>
  </si>
  <si>
    <t>SETUP PREDICTION</t>
  </si>
  <si>
    <t>Driver Information</t>
  </si>
  <si>
    <t>Tyre Manufacturer</t>
  </si>
  <si>
    <t>Humidty</t>
  </si>
  <si>
    <t>Temperature (Q2)</t>
  </si>
  <si>
    <t>Weather (Q2)</t>
  </si>
  <si>
    <t>Q1 to Q2</t>
  </si>
  <si>
    <t>Temperature (Q1)</t>
  </si>
  <si>
    <t>Setup for Race</t>
  </si>
  <si>
    <t>Setup for Q2</t>
  </si>
  <si>
    <t>Driver's sat. range</t>
  </si>
  <si>
    <t>Driver's Too High Setting</t>
  </si>
  <si>
    <t>Driver's Too Low Setting</t>
  </si>
  <si>
    <t>Settings for NEXT Lap</t>
  </si>
  <si>
    <t>Weather (Q1)</t>
  </si>
  <si>
    <t>Wing split   (- FW less)</t>
  </si>
  <si>
    <t>PRACTICE ASSISTANCE</t>
  </si>
  <si>
    <t>Setup Steps</t>
  </si>
  <si>
    <t># stops</t>
  </si>
  <si>
    <t>E Soft</t>
  </si>
  <si>
    <t>Med</t>
  </si>
  <si>
    <t>WC offset</t>
  </si>
  <si>
    <t>WC factor</t>
  </si>
  <si>
    <t>Elec lvl</t>
  </si>
  <si>
    <t>Cool lvl</t>
  </si>
  <si>
    <t>Und lvl</t>
  </si>
  <si>
    <t>Cha lvl</t>
  </si>
  <si>
    <t>Susp lvl</t>
  </si>
  <si>
    <t>Gear lvl</t>
  </si>
  <si>
    <t>Brake lvl</t>
  </si>
  <si>
    <t>Eng lvl</t>
  </si>
  <si>
    <t>Wings lvl</t>
  </si>
  <si>
    <t>Aggr</t>
  </si>
  <si>
    <t>Tal</t>
  </si>
  <si>
    <t>Conc</t>
  </si>
  <si>
    <t>Very high</t>
  </si>
  <si>
    <t>Very low</t>
  </si>
  <si>
    <t>Tyre Wear (Track)</t>
  </si>
  <si>
    <t>Track Length</t>
  </si>
  <si>
    <t>Hum</t>
  </si>
  <si>
    <t>Elec</t>
  </si>
  <si>
    <t>Aggression</t>
  </si>
  <si>
    <t>pit lane</t>
  </si>
  <si>
    <t>race laps</t>
  </si>
  <si>
    <t>ktrack</t>
  </si>
  <si>
    <t>Risk</t>
  </si>
  <si>
    <t>Komentarz</t>
  </si>
  <si>
    <t>0CT</t>
  </si>
  <si>
    <t>wyższe części.</t>
  </si>
  <si>
    <t>20CT</t>
  </si>
  <si>
    <t>30CT</t>
  </si>
  <si>
    <t>40CT</t>
  </si>
  <si>
    <t>60CT</t>
  </si>
  <si>
    <t>10CT</t>
  </si>
  <si>
    <t>35CT</t>
  </si>
  <si>
    <t>nathan.</t>
  </si>
  <si>
    <t>70CT</t>
  </si>
  <si>
    <t>9CT</t>
  </si>
  <si>
    <t>12CT</t>
  </si>
  <si>
    <t>25CT</t>
  </si>
  <si>
    <t>50CT</t>
  </si>
  <si>
    <t>Brasil</t>
  </si>
  <si>
    <t>6 kółek RAIN.</t>
  </si>
  <si>
    <t>85CT</t>
  </si>
  <si>
    <t>80CT</t>
  </si>
  <si>
    <t>FW</t>
  </si>
  <si>
    <t>RW</t>
  </si>
  <si>
    <t>UB</t>
  </si>
  <si>
    <t>SP</t>
  </si>
  <si>
    <t>CO</t>
  </si>
  <si>
    <t>GB</t>
  </si>
  <si>
    <t>BR</t>
  </si>
  <si>
    <t>SUS</t>
  </si>
  <si>
    <t>Ele</t>
  </si>
  <si>
    <t>Elite Qual</t>
  </si>
  <si>
    <t>Elite Race</t>
  </si>
  <si>
    <t>Master Qual</t>
  </si>
  <si>
    <t>Master Race</t>
  </si>
  <si>
    <t>Pro Qual</t>
  </si>
  <si>
    <t>Pro Race</t>
  </si>
  <si>
    <t>Amatuer Qual</t>
  </si>
  <si>
    <t>Amatuer Race</t>
  </si>
  <si>
    <t>Rookie Qual</t>
  </si>
  <si>
    <t>Rookie Race</t>
  </si>
  <si>
    <t>Please type either Elite, Master, Pro, Amatuer, or Rookie in group</t>
  </si>
  <si>
    <t>COSTS (per race)</t>
  </si>
  <si>
    <t>Driver Salary</t>
  </si>
  <si>
    <t>Driver Training</t>
  </si>
  <si>
    <t>TD Salary</t>
  </si>
  <si>
    <t>Facilities Maintenance</t>
  </si>
  <si>
    <t>Staff Salary</t>
  </si>
  <si>
    <t>Staff Training</t>
  </si>
  <si>
    <t>Practise/Qually Laps</t>
  </si>
  <si>
    <t>Testing</t>
  </si>
  <si>
    <t>Facilities Upgrade</t>
  </si>
  <si>
    <t>Total</t>
  </si>
  <si>
    <t>Income (per race)</t>
  </si>
  <si>
    <t>Rookie</t>
  </si>
  <si>
    <t>Group</t>
  </si>
  <si>
    <t>Amatuer</t>
  </si>
  <si>
    <t>Expected Position</t>
  </si>
  <si>
    <t>Sponsors</t>
  </si>
  <si>
    <t>Pro</t>
  </si>
  <si>
    <t>Qually Position</t>
  </si>
  <si>
    <t>Race Position</t>
  </si>
  <si>
    <t>Master</t>
  </si>
  <si>
    <t>Elite</t>
  </si>
  <si>
    <t>Actual Money</t>
  </si>
  <si>
    <t>Season Profit</t>
  </si>
  <si>
    <t>Start of Season Money</t>
  </si>
  <si>
    <t>After Race 1</t>
  </si>
  <si>
    <t>After Race 2</t>
  </si>
  <si>
    <t>After Race 3</t>
  </si>
  <si>
    <t>After Race 4</t>
  </si>
  <si>
    <t>After Race 5</t>
  </si>
  <si>
    <t>After Race 6</t>
  </si>
  <si>
    <t>After Race 7</t>
  </si>
  <si>
    <t>After Race 8</t>
  </si>
  <si>
    <t>After Race 9</t>
  </si>
  <si>
    <t>After Race 10</t>
  </si>
  <si>
    <t>After Race 11</t>
  </si>
  <si>
    <t>After Race 12</t>
  </si>
  <si>
    <t>After Race 13</t>
  </si>
  <si>
    <t>After Race 14</t>
  </si>
  <si>
    <t>After Race 15</t>
  </si>
  <si>
    <t>After Race 16</t>
  </si>
  <si>
    <t>After Race 17</t>
  </si>
  <si>
    <t>Cost</t>
  </si>
  <si>
    <t>Before Race</t>
  </si>
  <si>
    <t>After Race</t>
  </si>
  <si>
    <t>Race Fuel</t>
  </si>
  <si>
    <t>Conversion</t>
  </si>
  <si>
    <t>Sus</t>
  </si>
  <si>
    <t>so, Y = (11.963/12)*100= 99.6916 clear risk = 99.</t>
  </si>
  <si>
    <t xml:space="preserve">for 100 Clear Risks, 12%extra wear </t>
  </si>
  <si>
    <t xml:space="preserve">for Y Clear Risks,11.963% extra wear </t>
  </si>
  <si>
    <t xml:space="preserve">then: for 0 Clear Risks,0% extra wear </t>
  </si>
  <si>
    <t xml:space="preserve">89.4*(1-x) = 78.705,then x =...=0.11963 </t>
  </si>
  <si>
    <t xml:space="preserve">if 0 risks ESoft do 89.4km and i need to do 78.705km (15 laps for this race) </t>
  </si>
  <si>
    <t xml:space="preserve">So what i do tocalculate max allowed risk (not to do extra pit stop) is: </t>
  </si>
  <si>
    <t xml:space="preserve">Hard: 40% </t>
  </si>
  <si>
    <t xml:space="preserve">Med: 30% </t>
  </si>
  <si>
    <t xml:space="preserve">Soft: 21% </t>
  </si>
  <si>
    <t xml:space="preserve">ES: 12% more wear </t>
  </si>
  <si>
    <t>Riski a zużycie opon:</t>
  </si>
  <si>
    <t>wzór: tabelka #1*tabelka#2*tabelka #3*dane durability arkusz#1</t>
  </si>
  <si>
    <t>Estra Soft</t>
  </si>
  <si>
    <t>20% mniej</t>
  </si>
  <si>
    <t>riski 100</t>
  </si>
  <si>
    <t>1% wilg.</t>
  </si>
  <si>
    <t>1 st.</t>
  </si>
  <si>
    <t>track type</t>
  </si>
  <si>
    <t>SUSP</t>
  </si>
  <si>
    <t>GEAR</t>
  </si>
  <si>
    <t>MECH</t>
  </si>
  <si>
    <t>BRAKE</t>
  </si>
  <si>
    <t>ELECTR</t>
  </si>
  <si>
    <t>ENGINE</t>
  </si>
  <si>
    <t>AERO</t>
  </si>
  <si>
    <t>Rear Wing.</t>
  </si>
  <si>
    <t>WING</t>
  </si>
  <si>
    <t>EXP</t>
  </si>
  <si>
    <t>Front wing.</t>
  </si>
  <si>
    <t>FINAS Satisfy Band</t>
  </si>
  <si>
    <t>Happines range:</t>
  </si>
  <si>
    <t>TECH DIRECTOR</t>
  </si>
  <si>
    <t>Tech Insight</t>
  </si>
  <si>
    <t>DRIVER Satisfy Band</t>
  </si>
  <si>
    <t>Time Loss Four Pits</t>
  </si>
  <si>
    <t>Time Loss Three Pits</t>
  </si>
  <si>
    <t>Time Loss Two Pits</t>
  </si>
  <si>
    <t>Time Loss One Pit</t>
  </si>
  <si>
    <t>Time Loss Fuel (four stops)</t>
  </si>
  <si>
    <t>Time Loss Fuel (three stops)</t>
  </si>
  <si>
    <t>Time Loss Fuel (two stops)</t>
  </si>
  <si>
    <t>Dunno Mlti</t>
  </si>
  <si>
    <t>time lost per</t>
  </si>
  <si>
    <t>Time Loss Fuel (one stop)</t>
  </si>
  <si>
    <t>Dunnos</t>
  </si>
  <si>
    <t>Pips</t>
  </si>
  <si>
    <t xml:space="preserve">temp </t>
  </si>
  <si>
    <t>Tyre Cmpd Speed Diff</t>
  </si>
  <si>
    <t>Fuel Usage km/L</t>
  </si>
  <si>
    <t>Fuel Cons</t>
  </si>
  <si>
    <t># 0f laps</t>
  </si>
  <si>
    <t>Fuel (L)</t>
  </si>
  <si>
    <t>Number Laps</t>
  </si>
  <si>
    <t>Race Length km</t>
  </si>
  <si>
    <t>Estimated Pit Time</t>
  </si>
  <si>
    <t>Track Parameters</t>
  </si>
  <si>
    <t>Cumulative</t>
  </si>
  <si>
    <t>Pitstop</t>
  </si>
  <si>
    <t>Laptime</t>
  </si>
  <si>
    <t>Litres</t>
  </si>
  <si>
    <t>Lap</t>
  </si>
  <si>
    <t>Cumulative Laptime</t>
  </si>
  <si>
    <t>Cumulative laptime</t>
  </si>
  <si>
    <t>laptime</t>
  </si>
  <si>
    <t>Tyre Compound</t>
  </si>
  <si>
    <t>Tyre compound</t>
  </si>
  <si>
    <t>Pit laps</t>
  </si>
  <si>
    <t>Pit on laps</t>
  </si>
  <si>
    <t>Pit on lap</t>
  </si>
  <si>
    <t>4 stop</t>
  </si>
  <si>
    <t>3 stop</t>
  </si>
  <si>
    <t>2 stop</t>
  </si>
  <si>
    <t>per lap</t>
  </si>
  <si>
    <t>litres consumption</t>
  </si>
  <si>
    <t>This tool assumes all stints are of equal length except for the last stint</t>
  </si>
  <si>
    <t>seconds</t>
  </si>
  <si>
    <t>est pitstop time</t>
  </si>
  <si>
    <t>Note this tool does not account for tyre wear, blockages or risks</t>
  </si>
  <si>
    <t>pit in/out</t>
  </si>
  <si>
    <t>ES: 0</t>
  </si>
  <si>
    <t>Total Time (S)</t>
  </si>
  <si>
    <t>Soft : 1</t>
  </si>
  <si>
    <t>Base laptime</t>
  </si>
  <si>
    <t>ok</t>
  </si>
  <si>
    <t>dodgy</t>
  </si>
  <si>
    <t>Medium : 2</t>
  </si>
  <si>
    <t>Time difference per tyre</t>
  </si>
  <si>
    <t>Tyre comp</t>
  </si>
  <si>
    <t>Hards: 3</t>
  </si>
  <si>
    <t>Time Difference per litre</t>
  </si>
  <si>
    <t>Fuel for laps</t>
  </si>
  <si>
    <t>For tyre compounds use</t>
  </si>
  <si>
    <t>mean race Temp</t>
  </si>
  <si>
    <t>Ktrack</t>
  </si>
  <si>
    <t>STRATEGY CALCULATOR</t>
  </si>
  <si>
    <t>TRACK SPECIFICS</t>
  </si>
  <si>
    <t xml:space="preserve">This Season Calendar is linked to the Season Planner! </t>
  </si>
  <si>
    <t>Be sure not to remove these contents and keep them updated.</t>
  </si>
  <si>
    <t>Each field has a dropdown box for ease of use :-)</t>
  </si>
  <si>
    <t>Austin</t>
  </si>
  <si>
    <t>Faster</t>
  </si>
  <si>
    <t>Also Tested</t>
  </si>
  <si>
    <t>Abu Dhabi</t>
  </si>
  <si>
    <t>Even, -15/+15</t>
  </si>
  <si>
    <t>-50/+50,-60/+60,-45/+45</t>
  </si>
  <si>
    <t>-25/+25,-35/+35</t>
  </si>
  <si>
    <t>+45/-45, max split</t>
  </si>
  <si>
    <t>+50/-50</t>
  </si>
  <si>
    <t>Evens</t>
  </si>
  <si>
    <t>+25/-25,+35/-35,+15/-15,+30/-30,+40/-40</t>
  </si>
  <si>
    <t>Brands Hatch (United Kingdom)</t>
  </si>
  <si>
    <t>+15/-15,+20,-20</t>
  </si>
  <si>
    <t>Brasilia (Brazil)</t>
  </si>
  <si>
    <t>-80/+80</t>
  </si>
  <si>
    <t>-70/+70</t>
  </si>
  <si>
    <t>-50/+50,-90/+90,-80/+80</t>
  </si>
  <si>
    <t>evens, '+15/-15,+25/-25</t>
  </si>
  <si>
    <t>+40/-40</t>
  </si>
  <si>
    <t>+40</t>
  </si>
  <si>
    <t>+50</t>
  </si>
  <si>
    <t>Hokenheim</t>
  </si>
  <si>
    <t>-175/+175,-150/+150,-170/+170</t>
  </si>
  <si>
    <t>-125/+125,-190/+190,-200/+200</t>
  </si>
  <si>
    <t>-125</t>
  </si>
  <si>
    <t>-130</t>
  </si>
  <si>
    <t>-65/+65,-55/+55,-75/+75</t>
  </si>
  <si>
    <t>Even</t>
  </si>
  <si>
    <t>-175/+175,</t>
  </si>
  <si>
    <t>-125/+125,-150/+150,-165/+165,-200/+200</t>
  </si>
  <si>
    <t>Irun</t>
  </si>
  <si>
    <t>+25,+50</t>
  </si>
  <si>
    <t>Jerez (Spain)</t>
  </si>
  <si>
    <t>-20/+20,-10/+10</t>
  </si>
  <si>
    <t>+50/-50,+75/-75, +60/-60</t>
  </si>
  <si>
    <t>-200/+200, -225/+225,-175/+175</t>
  </si>
  <si>
    <t>-220/+220, -150/+150</t>
  </si>
  <si>
    <t>Melbourne (Australia)</t>
  </si>
  <si>
    <t>-100/+100, -95/+95</t>
  </si>
  <si>
    <t>-100/+100</t>
  </si>
  <si>
    <t>-125/+125,-135/+135,-75/+75</t>
  </si>
  <si>
    <t>Monaco</t>
  </si>
  <si>
    <t>Max -/+ split</t>
  </si>
  <si>
    <t>-190/+190,-200/+200</t>
  </si>
  <si>
    <t>-170/+170,-175/+175,-225/+225</t>
  </si>
  <si>
    <t>-35</t>
  </si>
  <si>
    <t>Max - 200+</t>
  </si>
  <si>
    <t>+90/-90,+95/-95,+100/-100</t>
  </si>
  <si>
    <t>+110/-110,+105/-105,+80/-80</t>
  </si>
  <si>
    <t>+25/-25</t>
  </si>
  <si>
    <t>+40/-40,+37/-37</t>
  </si>
  <si>
    <t>+20/-20, Evens, +15/-15,+25/-25</t>
  </si>
  <si>
    <t>+50/-50,+75/-75</t>
  </si>
  <si>
    <t>-75,-80,-125</t>
  </si>
  <si>
    <t>Sepang (Malaysia)</t>
  </si>
  <si>
    <t>-100/+100, -110/+110</t>
  </si>
  <si>
    <t>-75/+75, -125/+125</t>
  </si>
  <si>
    <t>Shanghai (China) </t>
  </si>
  <si>
    <t>+10/-10</t>
  </si>
  <si>
    <t>-63/+63,-60/+60,-55/+55,-45/+45,-70/+70</t>
  </si>
  <si>
    <t>-73/+73,-83/+83,-65/+65,-75/+75,-50/+50</t>
  </si>
  <si>
    <t>+70/-70</t>
  </si>
  <si>
    <t>Spa (Belgium)</t>
  </si>
  <si>
    <t>-65/+65</t>
  </si>
  <si>
    <t>-30/+30,-40/+40,-20/+20</t>
  </si>
  <si>
    <t>-20</t>
  </si>
  <si>
    <t>+70/-70,+80/-80, '+60/-60</t>
  </si>
  <si>
    <t>-125/+125,-150/+150</t>
  </si>
  <si>
    <t>-150/+150,-100/+100</t>
  </si>
  <si>
    <t>A1 Ring</t>
  </si>
  <si>
    <t>+75</t>
  </si>
  <si>
    <t>Estroil</t>
  </si>
  <si>
    <t>-55</t>
  </si>
  <si>
    <t>Fiorana</t>
  </si>
  <si>
    <t>evens</t>
  </si>
  <si>
    <t>-200</t>
  </si>
  <si>
    <t>-50</t>
  </si>
  <si>
    <t>-25/+25, +25/-25</t>
  </si>
  <si>
    <t>Evens, -10/+10, -15/+15</t>
  </si>
  <si>
    <t>-60, -50,-45</t>
  </si>
  <si>
    <t>&gt; Exact fuel requirement based on driver/car/track</t>
  </si>
  <si>
    <t>Dry To Wet</t>
  </si>
  <si>
    <t>Wet To Dry</t>
  </si>
  <si>
    <t>Fuel Tip:</t>
  </si>
  <si>
    <t>Use the higher of the two fuel values if the difference</t>
  </si>
  <si>
    <t>is small (upto 2L difference).  Use an imbetween value</t>
  </si>
  <si>
    <t>when the difference is greater (i.e if the difference is</t>
  </si>
  <si>
    <t>4L then go with a value in the middle for a 2L difference)</t>
  </si>
  <si>
    <t>&gt; Average track consumption for your car's level</t>
  </si>
  <si>
    <t>9~6</t>
  </si>
  <si>
    <t>45~51</t>
  </si>
  <si>
    <t>Weather Conversion history for the calculation</t>
  </si>
  <si>
    <t>D2W S32 R15</t>
  </si>
  <si>
    <t>D2W S33 R3</t>
  </si>
  <si>
    <t>W2D</t>
  </si>
  <si>
    <t>T.chge 45~51</t>
  </si>
  <si>
    <t>T.chge 9~6</t>
  </si>
  <si>
    <t>+130/-130, +150/-150</t>
  </si>
  <si>
    <t>Austin Texas</t>
  </si>
  <si>
    <t>56</t>
  </si>
  <si>
    <t>Sat. Range</t>
  </si>
  <si>
    <t>Adj. T. wear</t>
  </si>
  <si>
    <t>Setup Adjustments</t>
  </si>
  <si>
    <t>TIME LOSS PER LITRE PER KM</t>
  </si>
  <si>
    <t>^req. setup adjustments based on weather inputted in B2 - B7</t>
  </si>
  <si>
    <t>Sat. Setting (High Side)</t>
  </si>
  <si>
    <t>Sat. Setting (Low Side)</t>
  </si>
  <si>
    <t xml:space="preserve">                                 FUEL &amp; TYRE STRATEGY</t>
  </si>
  <si>
    <t>Fuel @100%</t>
  </si>
  <si>
    <t>Fuel @85%</t>
  </si>
  <si>
    <r>
      <rPr>
        <b/>
        <sz val="9"/>
        <color theme="1"/>
        <rFont val="Calibri"/>
        <family val="2"/>
        <scheme val="minor"/>
      </rPr>
      <t>&gt; Note:</t>
    </r>
    <r>
      <rPr>
        <sz val="9"/>
        <color theme="1"/>
        <rFont val="Calibri"/>
        <family val="2"/>
        <scheme val="minor"/>
      </rPr>
      <t xml:space="preserve"> Fuel for Wet is @ 85% of dry</t>
    </r>
  </si>
  <si>
    <r>
      <rPr>
        <b/>
        <sz val="9"/>
        <color theme="1"/>
        <rFont val="Calibri"/>
        <family val="2"/>
        <scheme val="minor"/>
      </rPr>
      <t xml:space="preserve">^ Note: </t>
    </r>
    <r>
      <rPr>
        <sz val="9"/>
        <color theme="1"/>
        <rFont val="Calibri"/>
        <family val="2"/>
        <scheme val="minor"/>
      </rPr>
      <t>Only use settings in K3-8, L3-8 &amp; M3-8 once two of the columns are filled in for either low or high side in E3-H8.  K3-8, L3-8, M3-8 already include the Setup adjustments.</t>
    </r>
  </si>
  <si>
    <r>
      <t xml:space="preserve">&lt; Note: </t>
    </r>
    <r>
      <rPr>
        <sz val="9"/>
        <color theme="1"/>
        <rFont val="Calibri"/>
        <family val="2"/>
        <scheme val="minor"/>
      </rPr>
      <t>Do not include the in/out</t>
    </r>
  </si>
  <si>
    <t>Wear % with adj. tyre wear</t>
  </si>
  <si>
    <r>
      <rPr>
        <b/>
        <sz val="9"/>
        <color theme="1"/>
        <rFont val="Calibri"/>
        <family val="2"/>
        <scheme val="minor"/>
      </rPr>
      <t>&lt; Note:</t>
    </r>
    <r>
      <rPr>
        <sz val="9"/>
        <color theme="1"/>
        <rFont val="Calibri"/>
        <family val="2"/>
        <scheme val="minor"/>
      </rPr>
      <t xml:space="preserve"> This is the tyre wear once you fill in the yellow fields of D31,F31,C34,E34,I34 and I36 with the same info for tyre/risk. </t>
    </r>
  </si>
  <si>
    <t>ON THIS TOOL YOU ONLY FILL IN THE YELLOW SHADED FIELDS</t>
  </si>
  <si>
    <t>Setup for Q1</t>
  </si>
  <si>
    <t>Setup from low side</t>
  </si>
  <si>
    <t>Setup from high side</t>
  </si>
  <si>
    <r>
      <rPr>
        <b/>
        <sz val="9"/>
        <color theme="1"/>
        <rFont val="Calibri"/>
        <family val="2"/>
        <scheme val="minor"/>
      </rPr>
      <t>&lt; Note:</t>
    </r>
    <r>
      <rPr>
        <sz val="9"/>
        <color theme="1"/>
        <rFont val="Calibri"/>
        <family val="2"/>
        <scheme val="minor"/>
      </rPr>
      <t xml:space="preserve"> enter </t>
    </r>
    <r>
      <rPr>
        <u/>
        <sz val="9"/>
        <color theme="1"/>
        <rFont val="Calibri"/>
        <family val="2"/>
        <scheme val="minor"/>
      </rPr>
      <t>total</t>
    </r>
    <r>
      <rPr>
        <sz val="9"/>
        <color theme="1"/>
        <rFont val="Calibri"/>
        <family val="2"/>
        <scheme val="minor"/>
      </rPr>
      <t xml:space="preserve"> wing diff from the FW to RW from best net practice run.</t>
    </r>
  </si>
  <si>
    <t>^ Note 1: Erase settings in the four columns before you start a new track.</t>
  </si>
  <si>
    <t>^ Note 2: Only find one or the other of the low side or high side, not both</t>
  </si>
  <si>
    <t>Q to Race</t>
  </si>
  <si>
    <t>Best setup (excl. W/S)</t>
  </si>
  <si>
    <t>Setup Adjustments                     Q1 to Q2        Q to Race</t>
  </si>
  <si>
    <t>Rear Wing Bias</t>
  </si>
  <si>
    <t>Lap time in seconds</t>
  </si>
  <si>
    <t>Lap8 Split</t>
  </si>
  <si>
    <t>Lap7 Split</t>
  </si>
  <si>
    <t>Lap6 Split</t>
  </si>
  <si>
    <t>Lap time in secs.</t>
  </si>
  <si>
    <t>Split Value</t>
  </si>
  <si>
    <t>Fitness class:</t>
  </si>
  <si>
    <t>Yoga:</t>
  </si>
  <si>
    <t>PR Training:</t>
  </si>
  <si>
    <t>Technical training:</t>
  </si>
  <si>
    <t>Sports psychologist:</t>
  </si>
  <si>
    <t>Ninja class:</t>
  </si>
  <si>
    <t>Spa resort:</t>
  </si>
  <si>
    <t>8 P laps</t>
  </si>
  <si>
    <t>Q1</t>
  </si>
  <si>
    <t>All</t>
  </si>
  <si>
    <t>Bremgarten</t>
  </si>
  <si>
    <t>Post-race expenditure</t>
  </si>
  <si>
    <t>F Wing</t>
  </si>
  <si>
    <t>R Wing</t>
  </si>
  <si>
    <t>42</t>
  </si>
  <si>
    <t>Grobnik</t>
  </si>
  <si>
    <t>Medum</t>
  </si>
  <si>
    <t>74</t>
  </si>
  <si>
    <t>Jyllands-Ringen</t>
  </si>
  <si>
    <t>136</t>
  </si>
  <si>
    <t>Sochi</t>
  </si>
  <si>
    <t>53</t>
  </si>
  <si>
    <t>Baku City</t>
  </si>
  <si>
    <t>51</t>
  </si>
  <si>
    <t>D3 TYRES</t>
  </si>
  <si>
    <t>Serres</t>
  </si>
  <si>
    <t>80</t>
  </si>
  <si>
    <t>64</t>
  </si>
  <si>
    <t>Slovakiaring</t>
  </si>
  <si>
    <t>Rafaela Oval</t>
  </si>
  <si>
    <t>67</t>
  </si>
  <si>
    <t>D7</t>
  </si>
  <si>
    <t>D2-D1</t>
  </si>
  <si>
    <t>D3-D2</t>
  </si>
  <si>
    <t>D4-D3</t>
  </si>
  <si>
    <t>D5-D4</t>
  </si>
  <si>
    <t>D6-D5</t>
  </si>
  <si>
    <t>Avonn</t>
  </si>
  <si>
    <t>Hancock</t>
  </si>
  <si>
    <t>D8</t>
  </si>
  <si>
    <t>CHANGE H9 AND H11 1&amp;2 DURABILITIES TOWARDS THE BACK OF</t>
  </si>
  <si>
    <t>THE CODE WHEN USING 1 OR 2 DURABILITY TYRES.</t>
  </si>
  <si>
    <t>Test Track</t>
  </si>
  <si>
    <t>Facilities</t>
  </si>
  <si>
    <t>Car Cost</t>
  </si>
  <si>
    <t>P+Q laps</t>
  </si>
  <si>
    <t>Qualy</t>
  </si>
  <si>
    <t>Total Car cost</t>
  </si>
  <si>
    <t>Total Expenditure</t>
  </si>
  <si>
    <t>Total Income</t>
  </si>
  <si>
    <t>Sports Psychologist</t>
  </si>
  <si>
    <t>Jeddah</t>
  </si>
  <si>
    <t>Avus</t>
  </si>
  <si>
    <t>50</t>
  </si>
  <si>
    <t>Miami</t>
  </si>
  <si>
    <t>57</t>
  </si>
  <si>
    <t>Bremgarten S88R9</t>
  </si>
  <si>
    <t>Underbody =</t>
  </si>
  <si>
    <t>Tech Dir Salary</t>
  </si>
  <si>
    <t>Losail</t>
  </si>
  <si>
    <t>Las Vegas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</si>
</sst>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64" formatCode="0.000"/>
    <numFmt numFmtId="165" formatCode="0.0"/>
    <numFmt numFmtId="166" formatCode="0.0000"/>
    <numFmt numFmtId="167" formatCode="&quot;£&quot;#,##0"/>
    <numFmt numFmtId="168" formatCode="0.000000000"/>
    <numFmt numFmtId="169" formatCode="_-* #,##0\ _l_e_i_-;\-* #,##0\ _l_e_i_-;_-* &quot;- &quot;_l_e_i_-;_-@_-"/>
    <numFmt numFmtId="170" formatCode="#,##0.0"/>
    <numFmt numFmtId="171" formatCode="\£#,##0"/>
    <numFmt numFmtId="172" formatCode="\$#,##0"/>
    <numFmt numFmtId="173" formatCode="\£#,##0;[Red]&quot;-£&quot;#,##0"/>
    <numFmt numFmtId="174" formatCode="\$#,##0;[Red]&quot;-$&quot;#,##0"/>
    <numFmt numFmtId="175" formatCode="\£#,##0;[Red]\£#,##0"/>
    <numFmt numFmtId="176" formatCode="0.###############"/>
    <numFmt numFmtId="177" formatCode="[$$-409]#,##0"/>
  </numFmts>
  <fonts count="106" x14ac:knownFonts="1">
    <font>
      <sz val="11"/>
      <color theme="1"/>
      <name val="Calibri"/>
      <family val="2"/>
      <scheme val="minor"/>
    </font>
    <font>
      <sz val="11"/>
      <color indexed="8"/>
      <name val="Calibri"/>
      <family val="2"/>
    </font>
    <font>
      <sz val="10"/>
      <name val="Arial"/>
      <family val="2"/>
    </font>
    <font>
      <sz val="11"/>
      <color indexed="9"/>
      <name val="Calibri"/>
      <family val="2"/>
    </font>
    <font>
      <sz val="20"/>
      <color indexed="8"/>
      <name val="Calibri"/>
      <family val="2"/>
    </font>
    <font>
      <sz val="14"/>
      <color indexed="8"/>
      <name val="Calibri"/>
      <family val="2"/>
    </font>
    <font>
      <sz val="8"/>
      <color indexed="8"/>
      <name val="Calibri"/>
      <family val="2"/>
    </font>
    <font>
      <sz val="10"/>
      <color indexed="8"/>
      <name val="Calibri"/>
      <family val="2"/>
    </font>
    <font>
      <sz val="11"/>
      <color indexed="8"/>
      <name val="Calibri"/>
      <family val="2"/>
      <charset val="1"/>
    </font>
    <font>
      <sz val="11"/>
      <name val="Calibri"/>
      <family val="2"/>
      <charset val="1"/>
    </font>
    <font>
      <sz val="10"/>
      <name val="Arial"/>
      <family val="2"/>
      <charset val="1"/>
    </font>
    <font>
      <b/>
      <sz val="11"/>
      <color indexed="8"/>
      <name val="Calibri"/>
      <family val="2"/>
      <charset val="1"/>
    </font>
    <font>
      <sz val="11"/>
      <color theme="1"/>
      <name val="Calibri"/>
      <family val="2"/>
      <scheme val="minor"/>
    </font>
    <font>
      <sz val="11"/>
      <name val="Calibri"/>
      <family val="2"/>
    </font>
    <font>
      <b/>
      <sz val="11"/>
      <name val="Calibri"/>
      <family val="2"/>
    </font>
    <font>
      <b/>
      <sz val="11"/>
      <color indexed="8"/>
      <name val="Calibri"/>
      <family val="2"/>
    </font>
    <font>
      <b/>
      <sz val="11.5"/>
      <name val="Calibri"/>
      <family val="2"/>
      <charset val="1"/>
    </font>
    <font>
      <sz val="11"/>
      <color indexed="8"/>
      <name val="Calibri"/>
      <family val="2"/>
      <scheme val="minor"/>
    </font>
    <font>
      <u/>
      <sz val="11"/>
      <color indexed="12"/>
      <name val="Calibri"/>
      <family val="2"/>
      <charset val="1"/>
    </font>
    <font>
      <sz val="11"/>
      <name val="Calibri"/>
      <family val="2"/>
      <scheme val="minor"/>
    </font>
    <font>
      <b/>
      <sz val="11"/>
      <color indexed="8"/>
      <name val="Calibri"/>
      <family val="2"/>
      <scheme val="minor"/>
    </font>
    <font>
      <b/>
      <sz val="11"/>
      <name val="Calibri"/>
      <family val="2"/>
      <scheme val="minor"/>
    </font>
    <font>
      <b/>
      <sz val="9"/>
      <color indexed="8"/>
      <name val="Verdana"/>
      <family val="2"/>
    </font>
    <font>
      <sz val="9"/>
      <color theme="1"/>
      <name val="Calibri"/>
      <family val="2"/>
      <scheme val="minor"/>
    </font>
    <font>
      <sz val="8"/>
      <color theme="1"/>
      <name val="Tahoma"/>
      <family val="2"/>
    </font>
    <font>
      <sz val="11"/>
      <color theme="1"/>
      <name val="Calibri"/>
      <family val="2"/>
    </font>
    <font>
      <b/>
      <sz val="11"/>
      <color theme="1"/>
      <name val="Calibri"/>
      <family val="2"/>
    </font>
    <font>
      <sz val="9"/>
      <color indexed="8"/>
      <name val="Tahoma"/>
      <family val="2"/>
    </font>
    <font>
      <sz val="8"/>
      <name val="Arial"/>
      <family val="2"/>
      <charset val="1"/>
    </font>
    <font>
      <sz val="8"/>
      <name val="Arial"/>
      <family val="2"/>
      <charset val="238"/>
    </font>
    <font>
      <sz val="8"/>
      <name val="Arial"/>
      <family val="2"/>
    </font>
    <font>
      <sz val="8"/>
      <color indexed="8"/>
      <name val="Arial"/>
      <family val="2"/>
      <charset val="1"/>
    </font>
    <font>
      <b/>
      <sz val="10"/>
      <name val="Arial"/>
      <family val="2"/>
      <charset val="238"/>
    </font>
    <font>
      <sz val="8"/>
      <color indexed="8"/>
      <name val="Arial"/>
      <family val="2"/>
    </font>
    <font>
      <b/>
      <sz val="8"/>
      <color indexed="8"/>
      <name val="Arial"/>
      <family val="2"/>
      <charset val="238"/>
    </font>
    <font>
      <b/>
      <sz val="8"/>
      <name val="Arial"/>
      <family val="2"/>
      <charset val="1"/>
    </font>
    <font>
      <b/>
      <sz val="8"/>
      <name val="Arial"/>
      <family val="2"/>
      <charset val="238"/>
    </font>
    <font>
      <b/>
      <sz val="9"/>
      <name val="Calibri"/>
      <family val="2"/>
    </font>
    <font>
      <sz val="11"/>
      <color rgb="FF969696"/>
      <name val="Calibri"/>
      <family val="2"/>
    </font>
    <font>
      <sz val="20"/>
      <color rgb="FF969696"/>
      <name val="Calibri"/>
      <family val="2"/>
    </font>
    <font>
      <b/>
      <sz val="10"/>
      <name val="Calibri"/>
      <family val="2"/>
    </font>
    <font>
      <sz val="11"/>
      <color rgb="FFC0C0C0"/>
      <name val="Calibri"/>
      <family val="2"/>
      <scheme val="minor"/>
    </font>
    <font>
      <sz val="14"/>
      <color theme="1"/>
      <name val="Calibri"/>
      <family val="2"/>
      <scheme val="minor"/>
    </font>
    <font>
      <b/>
      <sz val="14"/>
      <color indexed="8"/>
      <name val="Calibri"/>
      <family val="2"/>
    </font>
    <font>
      <b/>
      <sz val="8"/>
      <color indexed="8"/>
      <name val="Tahoma"/>
      <family val="2"/>
    </font>
    <font>
      <sz val="8"/>
      <color indexed="8"/>
      <name val="Tahoma"/>
      <family val="2"/>
    </font>
    <font>
      <b/>
      <sz val="9"/>
      <color indexed="8"/>
      <name val="Tahoma"/>
      <family val="2"/>
    </font>
    <font>
      <b/>
      <sz val="8"/>
      <color indexed="8"/>
      <name val="Tahoma"/>
      <family val="2"/>
      <charset val="238"/>
    </font>
    <font>
      <sz val="8"/>
      <color indexed="8"/>
      <name val="Tahoma"/>
      <family val="2"/>
      <charset val="238"/>
    </font>
    <font>
      <sz val="11"/>
      <color indexed="8"/>
      <name val="Cambria"/>
      <family val="1"/>
      <charset val="238"/>
    </font>
    <font>
      <sz val="11"/>
      <color indexed="8"/>
      <name val="Calibri"/>
      <family val="2"/>
      <charset val="238"/>
    </font>
    <font>
      <b/>
      <sz val="12"/>
      <color indexed="8"/>
      <name val="Calibri"/>
      <family val="2"/>
    </font>
    <font>
      <sz val="10"/>
      <name val="Arial"/>
      <family val="2"/>
      <charset val="238"/>
    </font>
    <font>
      <b/>
      <sz val="10"/>
      <name val="Arial"/>
      <family val="2"/>
    </font>
    <font>
      <sz val="9"/>
      <color indexed="10"/>
      <name val="Calibri"/>
      <family val="2"/>
    </font>
    <font>
      <b/>
      <sz val="9"/>
      <color indexed="8"/>
      <name val="Calibri"/>
      <family val="2"/>
    </font>
    <font>
      <b/>
      <sz val="10"/>
      <color indexed="10"/>
      <name val="Arial"/>
      <family val="2"/>
      <charset val="238"/>
    </font>
    <font>
      <b/>
      <i/>
      <sz val="10"/>
      <name val="Arial"/>
      <family val="2"/>
      <charset val="238"/>
    </font>
    <font>
      <b/>
      <sz val="14"/>
      <name val="Calibri"/>
      <family val="2"/>
      <charset val="238"/>
    </font>
    <font>
      <b/>
      <sz val="9"/>
      <name val="Calibri"/>
      <family val="2"/>
      <scheme val="minor"/>
    </font>
    <font>
      <sz val="9"/>
      <color indexed="8"/>
      <name val="Calibri"/>
      <family val="2"/>
      <scheme val="minor"/>
    </font>
    <font>
      <sz val="9"/>
      <name val="Calibri"/>
      <family val="2"/>
      <scheme val="minor"/>
    </font>
    <font>
      <sz val="9"/>
      <color indexed="23"/>
      <name val="Calibri"/>
      <family val="2"/>
      <scheme val="minor"/>
    </font>
    <font>
      <sz val="9"/>
      <color indexed="23"/>
      <name val="Calibri"/>
      <family val="2"/>
    </font>
    <font>
      <b/>
      <sz val="9"/>
      <color indexed="8"/>
      <name val="Calibri"/>
      <family val="2"/>
      <charset val="238"/>
    </font>
    <font>
      <b/>
      <i/>
      <sz val="9"/>
      <color indexed="23"/>
      <name val="Arial"/>
      <family val="2"/>
      <charset val="238"/>
    </font>
    <font>
      <sz val="9"/>
      <color indexed="23"/>
      <name val="Arial"/>
      <family val="2"/>
      <charset val="238"/>
    </font>
    <font>
      <b/>
      <sz val="9"/>
      <color indexed="23"/>
      <name val="Arial"/>
      <family val="2"/>
      <charset val="238"/>
    </font>
    <font>
      <sz val="10"/>
      <color theme="1"/>
      <name val="Calibri"/>
      <family val="2"/>
      <scheme val="minor"/>
    </font>
    <font>
      <sz val="10"/>
      <name val="Calibri"/>
      <family val="2"/>
      <scheme val="minor"/>
    </font>
    <font>
      <b/>
      <sz val="10"/>
      <color theme="1"/>
      <name val="Calibri"/>
      <family val="2"/>
      <scheme val="minor"/>
    </font>
    <font>
      <sz val="9"/>
      <color theme="1"/>
      <name val="Calibri"/>
      <family val="2"/>
    </font>
    <font>
      <sz val="9"/>
      <color theme="1" tint="0.499984740745262"/>
      <name val="Calibri"/>
      <family val="2"/>
    </font>
    <font>
      <sz val="9"/>
      <color theme="1" tint="0.249977111117893"/>
      <name val="Calibri"/>
      <family val="2"/>
    </font>
    <font>
      <b/>
      <sz val="11"/>
      <color theme="1"/>
      <name val="Calibri"/>
      <family val="2"/>
      <scheme val="minor"/>
    </font>
    <font>
      <sz val="9"/>
      <color rgb="FF808080"/>
      <name val="Calibri"/>
      <family val="2"/>
      <scheme val="minor"/>
    </font>
    <font>
      <sz val="11"/>
      <color theme="0"/>
      <name val="Calibri"/>
      <family val="2"/>
      <charset val="1"/>
    </font>
    <font>
      <sz val="11"/>
      <color rgb="FF808080"/>
      <name val="Calibri"/>
      <family val="2"/>
      <charset val="1"/>
    </font>
    <font>
      <b/>
      <sz val="11"/>
      <color theme="0"/>
      <name val="Calibri"/>
      <family val="2"/>
    </font>
    <font>
      <b/>
      <i/>
      <u/>
      <sz val="11"/>
      <color theme="1"/>
      <name val="Calibri"/>
      <family val="2"/>
      <scheme val="minor"/>
    </font>
    <font>
      <b/>
      <sz val="10"/>
      <color theme="0"/>
      <name val="Calibri"/>
      <family val="2"/>
    </font>
    <font>
      <sz val="11"/>
      <color theme="0" tint="-0.249977111117893"/>
      <name val="Calibri"/>
      <family val="2"/>
      <charset val="1"/>
    </font>
    <font>
      <sz val="11"/>
      <color theme="0" tint="-0.249977111117893"/>
      <name val="Calibri"/>
      <family val="2"/>
    </font>
    <font>
      <sz val="9"/>
      <color rgb="FF808080"/>
      <name val="Calibri"/>
      <family val="2"/>
    </font>
    <font>
      <b/>
      <sz val="9"/>
      <color theme="1"/>
      <name val="Calibri"/>
      <family val="2"/>
      <scheme val="minor"/>
    </font>
    <font>
      <b/>
      <sz val="12"/>
      <color theme="1"/>
      <name val="Calibri"/>
      <family val="2"/>
      <scheme val="minor"/>
    </font>
    <font>
      <u/>
      <sz val="9"/>
      <color theme="1"/>
      <name val="Calibri"/>
      <family val="2"/>
      <scheme val="minor"/>
    </font>
    <font>
      <b/>
      <sz val="28"/>
      <color theme="1"/>
      <name val="Calibri"/>
      <family val="2"/>
      <scheme val="minor"/>
    </font>
    <font>
      <sz val="11"/>
      <color indexed="8"/>
      <name val="Calibri"/>
      <family val="2"/>
      <charset val="204"/>
    </font>
    <font>
      <sz val="6"/>
      <name val="Arial"/>
      <family val="2"/>
      <charset val="238"/>
    </font>
    <font>
      <sz val="6"/>
      <name val="Arial"/>
      <family val="2"/>
      <charset val="1"/>
    </font>
    <font>
      <sz val="11"/>
      <color rgb="FF969696"/>
      <name val="Calibri"/>
      <family val="2"/>
      <scheme val="minor"/>
    </font>
    <font>
      <sz val="16"/>
      <color theme="1"/>
      <name val="Calibri"/>
      <family val="2"/>
      <scheme val="minor"/>
    </font>
    <font>
      <b/>
      <sz val="16"/>
      <name val="Calibri"/>
      <family val="2"/>
      <scheme val="minor"/>
    </font>
    <font>
      <i/>
      <sz val="11"/>
      <name val="Calibri"/>
      <family val="2"/>
      <scheme val="minor"/>
    </font>
    <font>
      <sz val="8"/>
      <color theme="1"/>
      <name val="Arial"/>
      <family val="2"/>
    </font>
    <font>
      <b/>
      <sz val="8"/>
      <color indexed="8"/>
      <name val="Calibri"/>
      <family val="2"/>
      <scheme val="minor"/>
    </font>
    <font>
      <b/>
      <sz val="8"/>
      <color theme="1"/>
      <name val="Calibri"/>
      <family val="2"/>
      <scheme val="minor"/>
    </font>
    <font>
      <sz val="8"/>
      <color theme="1"/>
      <name val="Calibri"/>
      <family val="2"/>
      <scheme val="minor"/>
    </font>
    <font>
      <sz val="8"/>
      <name val="Calibri"/>
      <family val="2"/>
      <scheme val="minor"/>
    </font>
    <font>
      <b/>
      <sz val="8"/>
      <name val="Calibri"/>
      <family val="2"/>
      <scheme val="minor"/>
    </font>
    <font>
      <b/>
      <sz val="8"/>
      <color rgb="FFFF0000"/>
      <name val="Calibri"/>
      <family val="2"/>
      <scheme val="minor"/>
    </font>
    <font>
      <b/>
      <sz val="8"/>
      <color rgb="FF00B050"/>
      <name val="Calibri"/>
      <family val="2"/>
      <scheme val="minor"/>
    </font>
    <font>
      <sz val="8"/>
      <color rgb="FF00B050"/>
      <name val="Calibri"/>
      <family val="2"/>
      <scheme val="minor"/>
    </font>
    <font>
      <sz val="11"/>
      <color rgb="FF000000"/>
      <name val="Calibri"/>
      <family val="2"/>
    </font>
    <font>
      <sz val="10"/>
      <color rgb="FF000000"/>
      <name val="Calibri"/>
      <family val="2"/>
    </font>
  </fonts>
  <fills count="76">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bgColor indexed="64"/>
      </patternFill>
    </fill>
    <fill>
      <patternFill patternType="solid">
        <fgColor theme="3" tint="0.79998168889431442"/>
        <bgColor indexed="27"/>
      </patternFill>
    </fill>
    <fill>
      <patternFill patternType="solid">
        <fgColor theme="9" tint="0.39997558519241921"/>
        <bgColor indexed="27"/>
      </patternFill>
    </fill>
    <fill>
      <patternFill patternType="solid">
        <fgColor indexed="43"/>
        <bgColor indexed="26"/>
      </patternFill>
    </fill>
    <fill>
      <patternFill patternType="solid">
        <fgColor indexed="44"/>
        <bgColor indexed="22"/>
      </patternFill>
    </fill>
    <fill>
      <patternFill patternType="solid">
        <fgColor indexed="22"/>
        <bgColor indexed="31"/>
      </patternFill>
    </fill>
    <fill>
      <patternFill patternType="solid">
        <fgColor rgb="FFCCFFCC"/>
        <bgColor indexed="64"/>
      </patternFill>
    </fill>
    <fill>
      <patternFill patternType="solid">
        <fgColor rgb="FFFFFF00"/>
        <bgColor indexed="64"/>
      </patternFill>
    </fill>
    <fill>
      <patternFill patternType="solid">
        <fgColor indexed="13"/>
        <bgColor indexed="34"/>
      </patternFill>
    </fill>
    <fill>
      <patternFill patternType="solid">
        <fgColor rgb="FFFFFF99"/>
        <bgColor indexed="64"/>
      </patternFill>
    </fill>
    <fill>
      <patternFill patternType="solid">
        <fgColor theme="0"/>
        <bgColor indexed="58"/>
      </patternFill>
    </fill>
    <fill>
      <patternFill patternType="solid">
        <fgColor rgb="FFCCFFCC"/>
        <bgColor indexed="58"/>
      </patternFill>
    </fill>
    <fill>
      <patternFill patternType="solid">
        <fgColor rgb="FFFF9966"/>
        <bgColor indexed="58"/>
      </patternFill>
    </fill>
    <fill>
      <patternFill patternType="solid">
        <fgColor rgb="FFFFFF99"/>
        <bgColor indexed="58"/>
      </patternFill>
    </fill>
    <fill>
      <patternFill patternType="solid">
        <fgColor theme="0" tint="-4.9989318521683403E-2"/>
        <bgColor indexed="58"/>
      </patternFill>
    </fill>
    <fill>
      <patternFill patternType="solid">
        <fgColor rgb="FFCCFFFF"/>
        <bgColor indexed="64"/>
      </patternFill>
    </fill>
    <fill>
      <patternFill patternType="solid">
        <fgColor indexed="27"/>
        <bgColor indexed="41"/>
      </patternFill>
    </fill>
    <fill>
      <patternFill patternType="solid">
        <fgColor theme="9" tint="-0.249977111117893"/>
        <bgColor indexed="64"/>
      </patternFill>
    </fill>
    <fill>
      <patternFill patternType="solid">
        <fgColor indexed="53"/>
        <bgColor indexed="29"/>
      </patternFill>
    </fill>
    <fill>
      <patternFill patternType="solid">
        <fgColor indexed="11"/>
        <bgColor indexed="49"/>
      </patternFill>
    </fill>
    <fill>
      <patternFill patternType="solid">
        <fgColor indexed="31"/>
        <bgColor indexed="22"/>
      </patternFill>
    </fill>
    <fill>
      <patternFill patternType="solid">
        <fgColor indexed="47"/>
        <bgColor indexed="31"/>
      </patternFill>
    </fill>
    <fill>
      <patternFill patternType="solid">
        <fgColor rgb="FFFFFF66"/>
        <bgColor indexed="26"/>
      </patternFill>
    </fill>
    <fill>
      <patternFill patternType="solid">
        <fgColor indexed="51"/>
        <bgColor indexed="13"/>
      </patternFill>
    </fill>
    <fill>
      <patternFill patternType="solid">
        <fgColor theme="9" tint="-0.249977111117893"/>
        <bgColor indexed="29"/>
      </patternFill>
    </fill>
    <fill>
      <patternFill patternType="solid">
        <fgColor indexed="9"/>
        <bgColor indexed="26"/>
      </patternFill>
    </fill>
    <fill>
      <patternFill patternType="solid">
        <fgColor theme="0"/>
        <bgColor indexed="22"/>
      </patternFill>
    </fill>
    <fill>
      <patternFill patternType="solid">
        <fgColor rgb="FF969696"/>
        <bgColor indexed="64"/>
      </patternFill>
    </fill>
    <fill>
      <patternFill patternType="solid">
        <fgColor theme="8" tint="0.59999389629810485"/>
        <bgColor indexed="64"/>
      </patternFill>
    </fill>
    <fill>
      <patternFill patternType="solid">
        <fgColor rgb="FFC0C0C0"/>
        <bgColor indexed="64"/>
      </patternFill>
    </fill>
    <fill>
      <patternFill patternType="solid">
        <fgColor indexed="23"/>
        <bgColor indexed="55"/>
      </patternFill>
    </fill>
    <fill>
      <patternFill patternType="solid">
        <fgColor indexed="50"/>
        <bgColor indexed="51"/>
      </patternFill>
    </fill>
    <fill>
      <patternFill patternType="solid">
        <fgColor indexed="40"/>
        <bgColor indexed="49"/>
      </patternFill>
    </fill>
    <fill>
      <patternFill patternType="solid">
        <fgColor indexed="29"/>
        <bgColor indexed="45"/>
      </patternFill>
    </fill>
    <fill>
      <patternFill patternType="solid">
        <fgColor indexed="26"/>
        <bgColor indexed="9"/>
      </patternFill>
    </fill>
    <fill>
      <patternFill patternType="solid">
        <fgColor indexed="46"/>
        <bgColor indexed="24"/>
      </patternFill>
    </fill>
    <fill>
      <patternFill patternType="solid">
        <fgColor indexed="8"/>
        <bgColor indexed="58"/>
      </patternFill>
    </fill>
    <fill>
      <patternFill patternType="solid">
        <fgColor indexed="47"/>
        <bgColor indexed="22"/>
      </patternFill>
    </fill>
    <fill>
      <patternFill patternType="solid">
        <fgColor rgb="FFCCFFCC"/>
        <bgColor indexed="36"/>
      </patternFill>
    </fill>
    <fill>
      <patternFill patternType="solid">
        <fgColor theme="3" tint="0.79998168889431442"/>
        <bgColor indexed="13"/>
      </patternFill>
    </fill>
    <fill>
      <patternFill patternType="solid">
        <fgColor rgb="FFFFFF99"/>
        <bgColor indexed="49"/>
      </patternFill>
    </fill>
    <fill>
      <patternFill patternType="solid">
        <fgColor theme="9" tint="0.39997558519241921"/>
        <bgColor indexed="21"/>
      </patternFill>
    </fill>
    <fill>
      <patternFill patternType="solid">
        <fgColor theme="9" tint="0.39997558519241921"/>
        <bgColor indexed="31"/>
      </patternFill>
    </fill>
    <fill>
      <patternFill patternType="solid">
        <fgColor theme="3" tint="0.79998168889431442"/>
        <bgColor indexed="24"/>
      </patternFill>
    </fill>
    <fill>
      <patternFill patternType="solid">
        <fgColor theme="9" tint="0.39997558519241921"/>
        <bgColor indexed="45"/>
      </patternFill>
    </fill>
    <fill>
      <patternFill patternType="solid">
        <fgColor theme="9" tint="0.39997558519241921"/>
        <bgColor indexed="13"/>
      </patternFill>
    </fill>
    <fill>
      <patternFill patternType="solid">
        <fgColor rgb="FFCCFF99"/>
        <bgColor indexed="49"/>
      </patternFill>
    </fill>
    <fill>
      <patternFill patternType="solid">
        <fgColor rgb="FFCCFF99"/>
        <bgColor indexed="13"/>
      </patternFill>
    </fill>
    <fill>
      <patternFill patternType="solid">
        <fgColor rgb="FFCCFF99"/>
        <bgColor indexed="51"/>
      </patternFill>
    </fill>
    <fill>
      <patternFill patternType="solid">
        <fgColor rgb="FFCCFF99"/>
        <bgColor indexed="21"/>
      </patternFill>
    </fill>
    <fill>
      <patternFill patternType="solid">
        <fgColor theme="3" tint="0.79998168889431442"/>
        <bgColor indexed="51"/>
      </patternFill>
    </fill>
    <fill>
      <patternFill patternType="solid">
        <fgColor rgb="FF808080"/>
        <bgColor indexed="64"/>
      </patternFill>
    </fill>
    <fill>
      <patternFill patternType="solid">
        <fgColor theme="3" tint="0.79998168889431442"/>
        <bgColor indexed="64"/>
      </patternFill>
    </fill>
    <fill>
      <patternFill patternType="solid">
        <fgColor theme="3" tint="0.79998168889431442"/>
        <bgColor indexed="31"/>
      </patternFill>
    </fill>
    <fill>
      <patternFill patternType="solid">
        <fgColor theme="3" tint="0.79998168889431442"/>
        <bgColor indexed="22"/>
      </patternFill>
    </fill>
    <fill>
      <patternFill patternType="solid">
        <fgColor rgb="FFCCFF99"/>
        <bgColor indexed="27"/>
      </patternFill>
    </fill>
    <fill>
      <patternFill patternType="solid">
        <fgColor rgb="FFCCFF99"/>
        <bgColor indexed="64"/>
      </patternFill>
    </fill>
    <fill>
      <patternFill patternType="solid">
        <fgColor theme="9" tint="0.39997558519241921"/>
        <bgColor indexed="29"/>
      </patternFill>
    </fill>
    <fill>
      <patternFill patternType="solid">
        <fgColor rgb="FF808080"/>
        <bgColor indexed="22"/>
      </patternFill>
    </fill>
    <fill>
      <patternFill patternType="solid">
        <fgColor theme="7" tint="0.59999389629810485"/>
        <bgColor indexed="27"/>
      </patternFill>
    </fill>
    <fill>
      <patternFill patternType="solid">
        <fgColor rgb="FF969696"/>
        <bgColor indexed="27"/>
      </patternFill>
    </fill>
    <fill>
      <patternFill patternType="solid">
        <fgColor rgb="FF969696"/>
        <bgColor indexed="22"/>
      </patternFill>
    </fill>
    <fill>
      <patternFill patternType="solid">
        <fgColor theme="0"/>
        <bgColor indexed="41"/>
      </patternFill>
    </fill>
    <fill>
      <patternFill patternType="solid">
        <fgColor theme="0"/>
        <bgColor indexed="26"/>
      </patternFill>
    </fill>
    <fill>
      <patternFill patternType="solid">
        <fgColor theme="3" tint="0.79998168889431442"/>
        <bgColor indexed="55"/>
      </patternFill>
    </fill>
    <fill>
      <patternFill patternType="solid">
        <fgColor rgb="FF808080"/>
        <bgColor indexed="55"/>
      </patternFill>
    </fill>
    <fill>
      <patternFill patternType="solid">
        <fgColor rgb="FF808080"/>
        <bgColor indexed="13"/>
      </patternFill>
    </fill>
    <fill>
      <patternFill patternType="solid">
        <fgColor theme="9" tint="0.39997558519241921"/>
        <bgColor indexed="64"/>
      </patternFill>
    </fill>
    <fill>
      <patternFill patternType="solid">
        <fgColor theme="9" tint="0.39997558519241921"/>
        <bgColor indexed="55"/>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s>
  <borders count="158">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style="medium">
        <color indexed="23"/>
      </right>
      <top/>
      <bottom style="medium">
        <color indexed="23"/>
      </bottom>
      <diagonal/>
    </border>
    <border>
      <left style="medium">
        <color indexed="23"/>
      </left>
      <right/>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8"/>
      </left>
      <right style="medium">
        <color indexed="8"/>
      </right>
      <top style="medium">
        <color indexed="8"/>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8"/>
      </top>
      <bottom style="thin">
        <color indexed="64"/>
      </bottom>
      <diagonal/>
    </border>
    <border>
      <left style="medium">
        <color indexed="8"/>
      </left>
      <right/>
      <top style="thin">
        <color indexed="8"/>
      </top>
      <bottom/>
      <diagonal/>
    </border>
    <border>
      <left style="medium">
        <color indexed="64"/>
      </left>
      <right style="medium">
        <color indexed="64"/>
      </right>
      <top style="medium">
        <color indexed="64"/>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thin">
        <color indexed="8"/>
      </left>
      <right style="thin">
        <color indexed="8"/>
      </right>
      <top style="thin">
        <color indexed="8"/>
      </top>
      <bottom style="medium">
        <color indexed="8"/>
      </bottom>
      <diagonal/>
    </border>
    <border>
      <left/>
      <right style="thin">
        <color indexed="8"/>
      </right>
      <top style="thin">
        <color indexed="8"/>
      </top>
      <bottom style="medium">
        <color indexed="8"/>
      </bottom>
      <diagonal/>
    </border>
    <border>
      <left style="thin">
        <color indexed="64"/>
      </left>
      <right style="thin">
        <color indexed="64"/>
      </right>
      <top style="thin">
        <color indexed="64"/>
      </top>
      <bottom style="medium">
        <color indexed="64"/>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style="thin">
        <color indexed="8"/>
      </left>
      <right style="thin">
        <color indexed="64"/>
      </right>
      <top style="medium">
        <color indexed="64"/>
      </top>
      <bottom/>
      <diagonal/>
    </border>
    <border>
      <left style="thin">
        <color indexed="8"/>
      </left>
      <right style="thin">
        <color indexed="8"/>
      </right>
      <top style="medium">
        <color indexed="64"/>
      </top>
      <bottom/>
      <diagonal/>
    </border>
    <border>
      <left style="medium">
        <color indexed="64"/>
      </left>
      <right style="thin">
        <color indexed="8"/>
      </right>
      <top style="medium">
        <color indexed="64"/>
      </top>
      <bottom/>
      <diagonal/>
    </border>
    <border>
      <left style="medium">
        <color indexed="64"/>
      </left>
      <right style="medium">
        <color indexed="64"/>
      </right>
      <top style="thin">
        <color indexed="8"/>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thin">
        <color indexed="8"/>
      </top>
      <bottom style="medium">
        <color indexed="8"/>
      </bottom>
      <diagonal/>
    </border>
    <border>
      <left style="medium">
        <color indexed="8"/>
      </left>
      <right style="medium">
        <color indexed="8"/>
      </right>
      <top style="medium">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23"/>
      </top>
      <bottom style="medium">
        <color indexed="64"/>
      </bottom>
      <diagonal/>
    </border>
    <border>
      <left/>
      <right/>
      <top style="medium">
        <color indexed="23"/>
      </top>
      <bottom/>
      <diagonal/>
    </border>
    <border>
      <left style="medium">
        <color indexed="23"/>
      </left>
      <right style="medium">
        <color indexed="23"/>
      </right>
      <top style="medium">
        <color indexed="23"/>
      </top>
      <bottom/>
      <diagonal/>
    </border>
    <border>
      <left style="medium">
        <color indexed="23"/>
      </left>
      <right/>
      <top style="medium">
        <color indexed="23"/>
      </top>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thin">
        <color indexed="11"/>
      </left>
      <right style="thin">
        <color indexed="11"/>
      </right>
      <top style="thin">
        <color indexed="11"/>
      </top>
      <bottom style="thin">
        <color indexed="1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right style="thin">
        <color theme="1"/>
      </right>
      <top style="thin">
        <color theme="1"/>
      </top>
      <bottom/>
      <diagonal/>
    </border>
    <border>
      <left/>
      <right style="thin">
        <color theme="1"/>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bottom style="thin">
        <color indexed="8"/>
      </bottom>
      <diagonal/>
    </border>
    <border>
      <left style="thin">
        <color indexed="8"/>
      </left>
      <right style="medium">
        <color indexed="8"/>
      </right>
      <top/>
      <bottom style="thin">
        <color indexed="8"/>
      </bottom>
      <diagonal/>
    </border>
    <border>
      <left style="thin">
        <color indexed="8"/>
      </left>
      <right style="thin">
        <color indexed="8"/>
      </right>
      <top/>
      <bottom style="thin">
        <color indexed="8"/>
      </bottom>
      <diagonal/>
    </border>
    <border>
      <left style="medium">
        <color indexed="8"/>
      </left>
      <right style="thin">
        <color indexed="8"/>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medium">
        <color indexed="8"/>
      </left>
      <right style="thin">
        <color indexed="8"/>
      </right>
      <top style="medium">
        <color indexed="8"/>
      </top>
      <bottom style="medium">
        <color indexed="8"/>
      </bottom>
      <diagonal/>
    </border>
    <border>
      <left style="medium">
        <color indexed="8"/>
      </left>
      <right/>
      <top style="medium">
        <color indexed="8"/>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8"/>
      </left>
      <right style="medium">
        <color indexed="8"/>
      </right>
      <top/>
      <bottom style="medium">
        <color indexed="8"/>
      </bottom>
      <diagonal/>
    </border>
    <border>
      <left style="thin">
        <color indexed="8"/>
      </left>
      <right/>
      <top/>
      <bottom style="thin">
        <color indexed="8"/>
      </bottom>
      <diagonal/>
    </border>
    <border>
      <left/>
      <right style="medium">
        <color indexed="8"/>
      </right>
      <top style="medium">
        <color indexed="8"/>
      </top>
      <bottom style="medium">
        <color indexed="8"/>
      </bottom>
      <diagonal/>
    </border>
    <border>
      <left style="medium">
        <color indexed="8"/>
      </left>
      <right style="medium">
        <color indexed="8"/>
      </right>
      <top/>
      <bottom/>
      <diagonal/>
    </border>
    <border>
      <left style="thin">
        <color indexed="22"/>
      </left>
      <right style="thin">
        <color indexed="22"/>
      </right>
      <top style="thin">
        <color indexed="22"/>
      </top>
      <bottom style="thin">
        <color indexed="22"/>
      </bottom>
      <diagonal/>
    </border>
    <border>
      <left style="medium">
        <color indexed="8"/>
      </left>
      <right style="medium">
        <color indexed="8"/>
      </right>
      <top style="thin">
        <color indexed="8"/>
      </top>
      <bottom/>
      <diagonal/>
    </border>
    <border>
      <left style="thin">
        <color indexed="8"/>
      </left>
      <right style="thin">
        <color indexed="8"/>
      </right>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right/>
      <top style="thin">
        <color indexed="8"/>
      </top>
      <bottom style="thin">
        <color indexed="8"/>
      </bottom>
      <diagonal/>
    </border>
    <border>
      <left/>
      <right/>
      <top style="thin">
        <color indexed="8"/>
      </top>
      <bottom/>
      <diagonal/>
    </border>
    <border>
      <left style="medium">
        <color indexed="8"/>
      </left>
      <right/>
      <top/>
      <bottom/>
      <diagonal/>
    </border>
    <border>
      <left style="medium">
        <color indexed="8"/>
      </left>
      <right style="thin">
        <color indexed="8"/>
      </right>
      <top style="thin">
        <color indexed="8"/>
      </top>
      <bottom/>
      <diagonal/>
    </border>
    <border>
      <left/>
      <right/>
      <top style="hair">
        <color indexed="8"/>
      </top>
      <bottom/>
      <diagonal/>
    </border>
    <border>
      <left style="hair">
        <color indexed="8"/>
      </left>
      <right/>
      <top/>
      <bottom/>
      <diagonal/>
    </border>
    <border>
      <left style="hair">
        <color indexed="8"/>
      </left>
      <right style="hair">
        <color indexed="8"/>
      </right>
      <top style="hair">
        <color indexed="8"/>
      </top>
      <bottom style="hair">
        <color indexed="8"/>
      </bottom>
      <diagonal/>
    </border>
    <border>
      <left style="hair">
        <color indexed="8"/>
      </left>
      <right style="hair">
        <color indexed="8"/>
      </right>
      <top/>
      <bottom/>
      <diagonal/>
    </border>
    <border>
      <left/>
      <right style="hair">
        <color indexed="8"/>
      </right>
      <top style="hair">
        <color indexed="8"/>
      </top>
      <bottom/>
      <diagonal/>
    </border>
    <border>
      <left/>
      <right style="hair">
        <color indexed="8"/>
      </right>
      <top/>
      <bottom/>
      <diagonal/>
    </border>
    <border>
      <left style="hair">
        <color indexed="8"/>
      </left>
      <right style="hair">
        <color indexed="8"/>
      </right>
      <top style="hair">
        <color indexed="8"/>
      </top>
      <bottom/>
      <diagonal/>
    </border>
    <border>
      <left/>
      <right style="hair">
        <color indexed="8"/>
      </right>
      <top/>
      <bottom style="hair">
        <color indexed="8"/>
      </bottom>
      <diagonal/>
    </border>
    <border>
      <left/>
      <right/>
      <top/>
      <bottom style="hair">
        <color indexed="8"/>
      </bottom>
      <diagonal/>
    </border>
    <border>
      <left/>
      <right/>
      <top style="hair">
        <color indexed="8"/>
      </top>
      <bottom style="hair">
        <color indexed="8"/>
      </bottom>
      <diagonal/>
    </border>
    <border>
      <left style="hair">
        <color indexed="8"/>
      </left>
      <right/>
      <top style="hair">
        <color indexed="8"/>
      </top>
      <bottom/>
      <diagonal/>
    </border>
    <border>
      <left/>
      <right style="hair">
        <color indexed="8"/>
      </right>
      <top style="hair">
        <color indexed="8"/>
      </top>
      <bottom style="hair">
        <color indexed="8"/>
      </bottom>
      <diagonal/>
    </border>
    <border>
      <left style="hair">
        <color indexed="8"/>
      </left>
      <right/>
      <top/>
      <bottom style="hair">
        <color indexed="8"/>
      </bottom>
      <diagonal/>
    </border>
    <border>
      <left/>
      <right style="thick">
        <color indexed="8"/>
      </right>
      <top/>
      <bottom/>
      <diagonal/>
    </border>
    <border>
      <left style="thick">
        <color indexed="8"/>
      </left>
      <right/>
      <top/>
      <bottom/>
      <diagonal/>
    </border>
    <border>
      <left style="thin">
        <color indexed="8"/>
      </left>
      <right/>
      <top style="thin">
        <color indexed="8"/>
      </top>
      <bottom/>
      <diagonal/>
    </border>
    <border>
      <left style="thin">
        <color theme="1"/>
      </left>
      <right style="thin">
        <color theme="1"/>
      </right>
      <top style="thin">
        <color theme="1"/>
      </top>
      <bottom style="thin">
        <color indexed="64"/>
      </bottom>
      <diagonal/>
    </border>
    <border>
      <left style="medium">
        <color indexed="64"/>
      </left>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64"/>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medium">
        <color indexed="8"/>
      </left>
      <right/>
      <top style="thin">
        <color indexed="8"/>
      </top>
      <bottom style="thin">
        <color indexed="8"/>
      </bottom>
      <diagonal/>
    </border>
    <border>
      <left/>
      <right style="medium">
        <color indexed="8"/>
      </right>
      <top style="thin">
        <color indexed="8"/>
      </top>
      <bottom style="thin">
        <color indexed="8"/>
      </bottom>
      <diagonal/>
    </border>
    <border>
      <left style="thin">
        <color indexed="8"/>
      </left>
      <right style="medium">
        <color indexed="8"/>
      </right>
      <top style="thin">
        <color indexed="8"/>
      </top>
      <bottom/>
      <diagonal/>
    </border>
    <border>
      <left/>
      <right/>
      <top/>
      <bottom style="thin">
        <color indexed="8"/>
      </bottom>
      <diagonal/>
    </border>
    <border>
      <left/>
      <right style="medium">
        <color indexed="8"/>
      </right>
      <top style="thin">
        <color indexed="8"/>
      </top>
      <bottom/>
      <diagonal/>
    </border>
    <border>
      <left/>
      <right style="thin">
        <color indexed="8"/>
      </right>
      <top style="thin">
        <color indexed="64"/>
      </top>
      <bottom style="thin">
        <color indexed="8"/>
      </bottom>
      <diagonal/>
    </border>
    <border>
      <left style="thin">
        <color indexed="64"/>
      </left>
      <right style="thin">
        <color indexed="64"/>
      </right>
      <top/>
      <bottom/>
      <diagonal/>
    </border>
    <border>
      <left style="thin">
        <color theme="1"/>
      </left>
      <right/>
      <top style="thin">
        <color theme="1"/>
      </top>
      <bottom style="thin">
        <color indexed="64"/>
      </bottom>
      <diagonal/>
    </border>
    <border>
      <left/>
      <right style="thin">
        <color theme="1"/>
      </right>
      <top style="thin">
        <color theme="1"/>
      </top>
      <bottom style="thin">
        <color indexed="64"/>
      </bottom>
      <diagonal/>
    </border>
    <border>
      <left style="thin">
        <color theme="1"/>
      </left>
      <right/>
      <top style="thin">
        <color theme="1"/>
      </top>
      <bottom style="thin">
        <color theme="1"/>
      </bottom>
      <diagonal/>
    </border>
    <border>
      <left style="thin">
        <color auto="1"/>
      </left>
      <right/>
      <top/>
      <bottom/>
      <diagonal/>
    </border>
    <border>
      <left style="thin">
        <color indexed="8"/>
      </left>
      <right style="thin">
        <color indexed="8"/>
      </right>
      <top style="thin">
        <color indexed="8"/>
      </top>
      <bottom style="medium">
        <color indexed="64"/>
      </bottom>
      <diagonal/>
    </border>
    <border>
      <left style="thin">
        <color indexed="8"/>
      </left>
      <right style="thin">
        <color indexed="64"/>
      </right>
      <top style="thin">
        <color indexed="8"/>
      </top>
      <bottom style="thin">
        <color indexed="8"/>
      </bottom>
      <diagonal/>
    </border>
  </borders>
  <cellStyleXfs count="11">
    <xf numFmtId="0" fontId="0" fillId="0" borderId="0"/>
    <xf numFmtId="0" fontId="2" fillId="0" borderId="0"/>
    <xf numFmtId="0" fontId="8"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0" fontId="10" fillId="0" borderId="0"/>
    <xf numFmtId="0" fontId="18" fillId="0" borderId="0"/>
    <xf numFmtId="0" fontId="1" fillId="0" borderId="0"/>
    <xf numFmtId="0" fontId="1" fillId="38" borderId="106" applyNumberFormat="0" applyAlignment="0" applyProtection="0"/>
    <xf numFmtId="0" fontId="1" fillId="39" borderId="0" applyNumberFormat="0" applyBorder="0" applyAlignment="0" applyProtection="0"/>
  </cellStyleXfs>
  <cellXfs count="827">
    <xf numFmtId="0" fontId="0" fillId="0" borderId="0" xfId="0"/>
    <xf numFmtId="0" fontId="0" fillId="2" borderId="0" xfId="0" applyFill="1"/>
    <xf numFmtId="0" fontId="0" fillId="2" borderId="0" xfId="0" applyFill="1" applyAlignment="1">
      <alignment horizontal="center"/>
    </xf>
    <xf numFmtId="0" fontId="3" fillId="2" borderId="0" xfId="0" applyFont="1" applyFill="1"/>
    <xf numFmtId="0" fontId="0" fillId="3" borderId="0" xfId="0" applyFill="1"/>
    <xf numFmtId="0" fontId="0" fillId="3" borderId="0" xfId="0" applyFill="1" applyAlignment="1">
      <alignment horizontal="center"/>
    </xf>
    <xf numFmtId="0" fontId="0" fillId="3" borderId="0" xfId="0" applyFill="1" applyAlignment="1">
      <alignment horizontal="left"/>
    </xf>
    <xf numFmtId="1" fontId="0" fillId="3" borderId="0" xfId="0" applyNumberFormat="1" applyFill="1"/>
    <xf numFmtId="0" fontId="3" fillId="2" borderId="0" xfId="0" applyFont="1" applyFill="1" applyProtection="1">
      <protection locked="0" hidden="1"/>
    </xf>
    <xf numFmtId="0" fontId="3" fillId="0" borderId="0" xfId="0" applyFont="1"/>
    <xf numFmtId="0" fontId="8" fillId="0" borderId="0" xfId="2"/>
    <xf numFmtId="0" fontId="8" fillId="0" borderId="0" xfId="2" applyAlignment="1">
      <alignment horizontal="center"/>
    </xf>
    <xf numFmtId="0" fontId="9" fillId="0" borderId="0" xfId="2" applyFont="1" applyAlignment="1" applyProtection="1">
      <alignment horizontal="center" vertical="center"/>
      <protection hidden="1"/>
    </xf>
    <xf numFmtId="0" fontId="10" fillId="0" borderId="3" xfId="3" applyBorder="1"/>
    <xf numFmtId="0" fontId="10" fillId="0" borderId="0" xfId="3"/>
    <xf numFmtId="0" fontId="10" fillId="0" borderId="4" xfId="3" applyBorder="1"/>
    <xf numFmtId="0" fontId="9" fillId="0" borderId="0" xfId="0" applyFont="1" applyAlignment="1">
      <alignment horizontal="left"/>
    </xf>
    <xf numFmtId="0" fontId="1" fillId="0" borderId="0" xfId="2" applyFont="1"/>
    <xf numFmtId="0" fontId="8" fillId="0" borderId="0" xfId="2" applyAlignment="1">
      <alignment horizontal="left"/>
    </xf>
    <xf numFmtId="0" fontId="9" fillId="0" borderId="0" xfId="0" applyFont="1"/>
    <xf numFmtId="0" fontId="11" fillId="0" borderId="0" xfId="2" applyFont="1"/>
    <xf numFmtId="0" fontId="8" fillId="0" borderId="0" xfId="2" applyAlignment="1">
      <alignment wrapText="1"/>
    </xf>
    <xf numFmtId="0" fontId="8" fillId="0" borderId="0" xfId="2" applyAlignment="1">
      <alignment vertical="center"/>
    </xf>
    <xf numFmtId="0" fontId="9" fillId="0" borderId="0" xfId="0" applyFont="1" applyAlignment="1">
      <alignment horizontal="center"/>
    </xf>
    <xf numFmtId="0" fontId="8" fillId="5" borderId="7" xfId="2" applyFill="1" applyBorder="1" applyAlignment="1">
      <alignment horizontal="center" vertical="center"/>
    </xf>
    <xf numFmtId="1" fontId="9" fillId="6" borderId="7" xfId="6" applyNumberFormat="1" applyFont="1" applyFill="1" applyBorder="1" applyAlignment="1">
      <alignment horizontal="center"/>
    </xf>
    <xf numFmtId="0" fontId="8" fillId="5" borderId="13" xfId="2" applyFill="1" applyBorder="1" applyAlignment="1">
      <alignment horizontal="center" vertical="center"/>
    </xf>
    <xf numFmtId="1" fontId="9" fillId="6" borderId="13" xfId="6" applyNumberFormat="1" applyFont="1" applyFill="1" applyBorder="1" applyAlignment="1">
      <alignment horizontal="center"/>
    </xf>
    <xf numFmtId="0" fontId="9" fillId="7" borderId="15" xfId="6" applyFont="1" applyFill="1" applyBorder="1" applyAlignment="1" applyProtection="1">
      <alignment horizontal="center"/>
      <protection locked="0"/>
    </xf>
    <xf numFmtId="0" fontId="9" fillId="7" borderId="17" xfId="6" applyFont="1" applyFill="1" applyBorder="1" applyAlignment="1" applyProtection="1">
      <alignment horizontal="center"/>
      <protection locked="0"/>
    </xf>
    <xf numFmtId="0" fontId="9" fillId="7" borderId="9" xfId="6" applyFont="1" applyFill="1" applyBorder="1" applyAlignment="1" applyProtection="1">
      <alignment horizontal="center"/>
      <protection locked="0"/>
    </xf>
    <xf numFmtId="0" fontId="8" fillId="7" borderId="11" xfId="2" applyFill="1" applyBorder="1" applyAlignment="1" applyProtection="1">
      <alignment horizontal="center" vertical="center"/>
      <protection locked="0"/>
    </xf>
    <xf numFmtId="0" fontId="8" fillId="7" borderId="38" xfId="2" applyFill="1" applyBorder="1" applyAlignment="1" applyProtection="1">
      <alignment horizontal="center" vertical="center"/>
      <protection locked="0"/>
    </xf>
    <xf numFmtId="0" fontId="8" fillId="7" borderId="40" xfId="2" applyFill="1" applyBorder="1" applyAlignment="1" applyProtection="1">
      <alignment horizontal="center" vertical="center"/>
      <protection locked="0"/>
    </xf>
    <xf numFmtId="0" fontId="8" fillId="7" borderId="37" xfId="2" applyFill="1" applyBorder="1" applyAlignment="1" applyProtection="1">
      <alignment horizontal="center" vertical="center"/>
      <protection locked="0"/>
    </xf>
    <xf numFmtId="0" fontId="8" fillId="7" borderId="15" xfId="2" applyFill="1" applyBorder="1" applyAlignment="1" applyProtection="1">
      <alignment horizontal="center" vertical="center"/>
      <protection locked="0"/>
    </xf>
    <xf numFmtId="0" fontId="8" fillId="7" borderId="1" xfId="2" applyFill="1" applyBorder="1" applyAlignment="1" applyProtection="1">
      <alignment horizontal="center" vertical="center"/>
      <protection locked="0"/>
    </xf>
    <xf numFmtId="0" fontId="8" fillId="7" borderId="13" xfId="2" applyFill="1" applyBorder="1" applyAlignment="1" applyProtection="1">
      <alignment horizontal="center" vertical="center"/>
      <protection locked="0"/>
    </xf>
    <xf numFmtId="0" fontId="9" fillId="7" borderId="17" xfId="7" applyFont="1" applyFill="1" applyBorder="1" applyAlignment="1" applyProtection="1">
      <alignment horizontal="center" vertical="center"/>
      <protection locked="0"/>
    </xf>
    <xf numFmtId="166" fontId="9" fillId="0" borderId="0" xfId="2" applyNumberFormat="1" applyFont="1" applyAlignment="1" applyProtection="1">
      <alignment horizontal="center" vertical="center"/>
      <protection hidden="1"/>
    </xf>
    <xf numFmtId="166" fontId="8" fillId="0" borderId="0" xfId="2" applyNumberFormat="1"/>
    <xf numFmtId="0" fontId="9" fillId="0" borderId="0" xfId="2" applyFont="1" applyAlignment="1" applyProtection="1">
      <alignment vertical="center"/>
      <protection hidden="1"/>
    </xf>
    <xf numFmtId="164" fontId="9" fillId="0" borderId="0" xfId="2" applyNumberFormat="1" applyFont="1" applyAlignment="1" applyProtection="1">
      <alignment horizontal="center" vertical="center"/>
      <protection hidden="1"/>
    </xf>
    <xf numFmtId="164" fontId="8" fillId="0" borderId="0" xfId="2" applyNumberFormat="1" applyAlignment="1">
      <alignment horizontal="center"/>
    </xf>
    <xf numFmtId="0" fontId="0" fillId="0" borderId="0" xfId="0" applyAlignment="1">
      <alignment horizontal="center"/>
    </xf>
    <xf numFmtId="0" fontId="11" fillId="0" borderId="0" xfId="2" applyFont="1" applyAlignment="1">
      <alignment horizontal="center"/>
    </xf>
    <xf numFmtId="0" fontId="17" fillId="0" borderId="0" xfId="2" applyFont="1"/>
    <xf numFmtId="0" fontId="17" fillId="0" borderId="0" xfId="2" applyFont="1" applyAlignment="1">
      <alignment horizontal="center"/>
    </xf>
    <xf numFmtId="0" fontId="17" fillId="0" borderId="28" xfId="2" applyFont="1" applyBorder="1" applyAlignment="1">
      <alignment horizontal="center"/>
    </xf>
    <xf numFmtId="0" fontId="19" fillId="0" borderId="41" xfId="3" applyFont="1" applyBorder="1" applyAlignment="1">
      <alignment horizontal="center"/>
    </xf>
    <xf numFmtId="0" fontId="19" fillId="0" borderId="8" xfId="3" applyFont="1" applyBorder="1" applyAlignment="1">
      <alignment horizontal="center"/>
    </xf>
    <xf numFmtId="0" fontId="19" fillId="0" borderId="41" xfId="3" applyFont="1" applyBorder="1"/>
    <xf numFmtId="0" fontId="19" fillId="0" borderId="7" xfId="3" applyFont="1" applyBorder="1"/>
    <xf numFmtId="0" fontId="17" fillId="0" borderId="11" xfId="2" applyFont="1" applyBorder="1" applyAlignment="1">
      <alignment horizontal="center"/>
    </xf>
    <xf numFmtId="0" fontId="19" fillId="0" borderId="52" xfId="3" applyFont="1" applyBorder="1" applyAlignment="1">
      <alignment horizontal="center"/>
    </xf>
    <xf numFmtId="0" fontId="19" fillId="0" borderId="14" xfId="3" applyFont="1" applyBorder="1" applyAlignment="1">
      <alignment horizontal="center"/>
    </xf>
    <xf numFmtId="0" fontId="19" fillId="0" borderId="1" xfId="3" applyFont="1" applyBorder="1" applyAlignment="1">
      <alignment horizontal="center"/>
    </xf>
    <xf numFmtId="0" fontId="19" fillId="0" borderId="1" xfId="3" applyFont="1" applyBorder="1"/>
    <xf numFmtId="0" fontId="19" fillId="0" borderId="13" xfId="3" applyFont="1" applyBorder="1"/>
    <xf numFmtId="0" fontId="17" fillId="0" borderId="1" xfId="2" applyFont="1" applyBorder="1" applyAlignment="1">
      <alignment horizontal="center"/>
    </xf>
    <xf numFmtId="0" fontId="17" fillId="0" borderId="14" xfId="2" applyFont="1" applyBorder="1" applyAlignment="1">
      <alignment horizontal="center"/>
    </xf>
    <xf numFmtId="0" fontId="17" fillId="0" borderId="1" xfId="2" applyFont="1" applyBorder="1"/>
    <xf numFmtId="0" fontId="17" fillId="0" borderId="13" xfId="2" applyFont="1" applyBorder="1"/>
    <xf numFmtId="0" fontId="17" fillId="0" borderId="0" xfId="2" applyFont="1" applyAlignment="1">
      <alignment horizontal="right"/>
    </xf>
    <xf numFmtId="0" fontId="19" fillId="0" borderId="1" xfId="3" applyFont="1" applyBorder="1" applyAlignment="1">
      <alignment horizontal="right"/>
    </xf>
    <xf numFmtId="0" fontId="19" fillId="0" borderId="13" xfId="3" applyFont="1" applyBorder="1" applyAlignment="1">
      <alignment horizontal="left"/>
    </xf>
    <xf numFmtId="0" fontId="17" fillId="0" borderId="19" xfId="2" applyFont="1" applyBorder="1" applyAlignment="1">
      <alignment horizontal="center"/>
    </xf>
    <xf numFmtId="0" fontId="19" fillId="0" borderId="53" xfId="3" applyFont="1" applyBorder="1" applyAlignment="1">
      <alignment horizontal="center"/>
    </xf>
    <xf numFmtId="0" fontId="19" fillId="0" borderId="54" xfId="3" applyFont="1" applyBorder="1" applyAlignment="1">
      <alignment horizontal="center"/>
    </xf>
    <xf numFmtId="0" fontId="19" fillId="0" borderId="23" xfId="3" applyFont="1" applyBorder="1" applyAlignment="1">
      <alignment horizontal="center"/>
    </xf>
    <xf numFmtId="0" fontId="19" fillId="0" borderId="23" xfId="3" applyFont="1" applyBorder="1"/>
    <xf numFmtId="0" fontId="19" fillId="0" borderId="21" xfId="3" applyFont="1" applyBorder="1"/>
    <xf numFmtId="0" fontId="20" fillId="11" borderId="24" xfId="2" applyFont="1" applyFill="1" applyBorder="1" applyAlignment="1">
      <alignment horizontal="center"/>
    </xf>
    <xf numFmtId="0" fontId="21" fillId="12" borderId="25" xfId="3" applyFont="1" applyFill="1" applyBorder="1" applyAlignment="1">
      <alignment horizontal="center"/>
    </xf>
    <xf numFmtId="0" fontId="21" fillId="12" borderId="55" xfId="3" applyFont="1" applyFill="1" applyBorder="1" applyAlignment="1">
      <alignment horizontal="center"/>
    </xf>
    <xf numFmtId="0" fontId="21" fillId="12" borderId="56" xfId="3" applyFont="1" applyFill="1" applyBorder="1" applyAlignment="1">
      <alignment horizontal="center"/>
    </xf>
    <xf numFmtId="0" fontId="21" fillId="12" borderId="57" xfId="3" applyFont="1" applyFill="1" applyBorder="1" applyAlignment="1">
      <alignment horizontal="right"/>
    </xf>
    <xf numFmtId="0" fontId="21" fillId="12" borderId="56" xfId="3" applyFont="1" applyFill="1" applyBorder="1" applyAlignment="1">
      <alignment horizontal="right"/>
    </xf>
    <xf numFmtId="0" fontId="21" fillId="12" borderId="58" xfId="3" applyFont="1" applyFill="1" applyBorder="1" applyAlignment="1">
      <alignment horizontal="right"/>
    </xf>
    <xf numFmtId="0" fontId="22" fillId="0" borderId="0" xfId="0" applyFont="1"/>
    <xf numFmtId="0" fontId="0" fillId="10" borderId="1" xfId="0" applyFill="1" applyBorder="1"/>
    <xf numFmtId="0" fontId="0" fillId="4" borderId="1" xfId="0" applyFill="1" applyBorder="1"/>
    <xf numFmtId="1" fontId="0" fillId="10" borderId="1" xfId="0" applyNumberFormat="1" applyFill="1" applyBorder="1"/>
    <xf numFmtId="167" fontId="0" fillId="0" borderId="0" xfId="0" applyNumberFormat="1"/>
    <xf numFmtId="167" fontId="0" fillId="10" borderId="59" xfId="0" applyNumberFormat="1" applyFill="1" applyBorder="1"/>
    <xf numFmtId="0" fontId="15" fillId="10" borderId="59" xfId="0" applyFont="1" applyFill="1" applyBorder="1" applyAlignment="1">
      <alignment horizontal="right"/>
    </xf>
    <xf numFmtId="0" fontId="0" fillId="0" borderId="60" xfId="0" applyBorder="1"/>
    <xf numFmtId="167" fontId="0" fillId="10" borderId="1" xfId="0" applyNumberFormat="1" applyFill="1" applyBorder="1"/>
    <xf numFmtId="0" fontId="0" fillId="10" borderId="52" xfId="0" applyFill="1" applyBorder="1"/>
    <xf numFmtId="0" fontId="0" fillId="4" borderId="12" xfId="0" applyFill="1" applyBorder="1"/>
    <xf numFmtId="0" fontId="0" fillId="4" borderId="14" xfId="0" applyFill="1" applyBorder="1"/>
    <xf numFmtId="0" fontId="0" fillId="10" borderId="14" xfId="0" applyFill="1" applyBorder="1"/>
    <xf numFmtId="167" fontId="0" fillId="0" borderId="0" xfId="0" applyNumberFormat="1" applyAlignment="1">
      <alignment horizontal="center"/>
    </xf>
    <xf numFmtId="0" fontId="15" fillId="0" borderId="0" xfId="0" applyFont="1" applyAlignment="1">
      <alignment horizontal="center"/>
    </xf>
    <xf numFmtId="0" fontId="25" fillId="14" borderId="0" xfId="0" applyFont="1" applyFill="1"/>
    <xf numFmtId="9" fontId="25" fillId="14" borderId="62" xfId="0" applyNumberFormat="1" applyFont="1" applyFill="1" applyBorder="1"/>
    <xf numFmtId="1" fontId="25" fillId="14" borderId="0" xfId="0" applyNumberFormat="1" applyFont="1" applyFill="1"/>
    <xf numFmtId="1" fontId="25" fillId="14" borderId="63" xfId="0" applyNumberFormat="1" applyFont="1" applyFill="1" applyBorder="1"/>
    <xf numFmtId="0" fontId="25" fillId="17" borderId="63" xfId="0" applyFont="1" applyFill="1" applyBorder="1" applyProtection="1">
      <protection locked="0"/>
    </xf>
    <xf numFmtId="0" fontId="25" fillId="15" borderId="63" xfId="0" applyFont="1" applyFill="1" applyBorder="1"/>
    <xf numFmtId="1" fontId="25" fillId="15" borderId="63" xfId="0" applyNumberFormat="1" applyFont="1" applyFill="1" applyBorder="1"/>
    <xf numFmtId="1" fontId="25" fillId="16" borderId="63" xfId="0" applyNumberFormat="1" applyFont="1" applyFill="1" applyBorder="1"/>
    <xf numFmtId="0" fontId="25" fillId="14" borderId="63" xfId="0" applyFont="1" applyFill="1" applyBorder="1"/>
    <xf numFmtId="0" fontId="25" fillId="17" borderId="63" xfId="0" applyFont="1" applyFill="1" applyBorder="1"/>
    <xf numFmtId="0" fontId="25" fillId="14" borderId="64" xfId="0" applyFont="1" applyFill="1" applyBorder="1"/>
    <xf numFmtId="0" fontId="25" fillId="14" borderId="65" xfId="0" applyFont="1" applyFill="1" applyBorder="1"/>
    <xf numFmtId="0" fontId="26" fillId="18" borderId="63" xfId="1" applyFont="1" applyFill="1" applyBorder="1" applyAlignment="1">
      <alignment horizontal="center"/>
    </xf>
    <xf numFmtId="0" fontId="26" fillId="18" borderId="63" xfId="0" applyFont="1" applyFill="1" applyBorder="1" applyAlignment="1">
      <alignment horizontal="center"/>
    </xf>
    <xf numFmtId="0" fontId="26" fillId="18" borderId="66" xfId="0" applyFont="1" applyFill="1" applyBorder="1" applyAlignment="1">
      <alignment horizontal="center"/>
    </xf>
    <xf numFmtId="0" fontId="8" fillId="12" borderId="69" xfId="2" applyFill="1" applyBorder="1" applyAlignment="1">
      <alignment horizontal="center" vertical="center"/>
    </xf>
    <xf numFmtId="169" fontId="29" fillId="0" borderId="0" xfId="4" applyNumberFormat="1" applyFont="1" applyFill="1" applyBorder="1" applyAlignment="1" applyProtection="1">
      <alignment horizontal="center"/>
    </xf>
    <xf numFmtId="168" fontId="31" fillId="0" borderId="1" xfId="2" applyNumberFormat="1" applyFont="1" applyBorder="1" applyAlignment="1">
      <alignment horizontal="center" vertical="center"/>
    </xf>
    <xf numFmtId="169" fontId="29" fillId="0" borderId="9" xfId="4" applyNumberFormat="1" applyFont="1" applyFill="1" applyBorder="1" applyAlignment="1" applyProtection="1">
      <alignment horizontal="center"/>
    </xf>
    <xf numFmtId="169" fontId="29" fillId="0" borderId="39" xfId="4" applyNumberFormat="1" applyFont="1" applyFill="1" applyBorder="1" applyAlignment="1" applyProtection="1">
      <alignment horizontal="center"/>
    </xf>
    <xf numFmtId="169" fontId="29" fillId="0" borderId="40" xfId="4" applyNumberFormat="1" applyFont="1" applyFill="1" applyBorder="1" applyAlignment="1" applyProtection="1">
      <alignment horizontal="center"/>
    </xf>
    <xf numFmtId="169" fontId="29" fillId="0" borderId="15" xfId="4" applyNumberFormat="1" applyFont="1" applyFill="1" applyBorder="1" applyAlignment="1" applyProtection="1">
      <alignment horizontal="center"/>
    </xf>
    <xf numFmtId="169" fontId="29" fillId="0" borderId="2" xfId="4" applyNumberFormat="1" applyFont="1" applyFill="1" applyBorder="1" applyAlignment="1" applyProtection="1">
      <alignment horizontal="center"/>
    </xf>
    <xf numFmtId="169" fontId="29" fillId="0" borderId="77" xfId="4" applyNumberFormat="1" applyFont="1" applyFill="1" applyBorder="1" applyAlignment="1" applyProtection="1">
      <alignment horizontal="center"/>
    </xf>
    <xf numFmtId="169" fontId="29" fillId="0" borderId="72" xfId="4" applyNumberFormat="1" applyFont="1" applyFill="1" applyBorder="1" applyAlignment="1" applyProtection="1">
      <alignment horizontal="center"/>
    </xf>
    <xf numFmtId="169" fontId="29" fillId="0" borderId="73" xfId="4" applyNumberFormat="1" applyFont="1" applyFill="1" applyBorder="1" applyAlignment="1" applyProtection="1">
      <alignment horizontal="center"/>
    </xf>
    <xf numFmtId="169" fontId="29" fillId="0" borderId="78" xfId="4" applyNumberFormat="1" applyFont="1" applyFill="1" applyBorder="1" applyAlignment="1" applyProtection="1">
      <alignment horizontal="center"/>
    </xf>
    <xf numFmtId="0" fontId="0" fillId="31" borderId="0" xfId="0" applyFill="1"/>
    <xf numFmtId="0" fontId="3" fillId="31" borderId="0" xfId="0" applyFont="1" applyFill="1"/>
    <xf numFmtId="0" fontId="38" fillId="31" borderId="0" xfId="0" applyFont="1" applyFill="1"/>
    <xf numFmtId="0" fontId="39" fillId="31" borderId="0" xfId="0" applyFont="1" applyFill="1" applyAlignment="1">
      <alignment horizontal="right"/>
    </xf>
    <xf numFmtId="0" fontId="38" fillId="31" borderId="0" xfId="0" applyFont="1" applyFill="1" applyAlignment="1">
      <alignment horizontal="right"/>
    </xf>
    <xf numFmtId="1" fontId="0" fillId="13" borderId="1" xfId="0" applyNumberFormat="1" applyFill="1" applyBorder="1" applyAlignment="1" applyProtection="1">
      <alignment horizontal="center"/>
      <protection locked="0"/>
    </xf>
    <xf numFmtId="0" fontId="0" fillId="31" borderId="0" xfId="0" applyFill="1" applyProtection="1">
      <protection locked="0"/>
    </xf>
    <xf numFmtId="0" fontId="5" fillId="31" borderId="0" xfId="0" applyFont="1" applyFill="1"/>
    <xf numFmtId="0" fontId="0" fillId="31" borderId="0" xfId="0" applyFill="1" applyAlignment="1">
      <alignment horizontal="center"/>
    </xf>
    <xf numFmtId="1" fontId="0" fillId="33" borderId="61" xfId="0" applyNumberFormat="1" applyFill="1" applyBorder="1" applyAlignment="1">
      <alignment horizontal="center"/>
    </xf>
    <xf numFmtId="0" fontId="0" fillId="33" borderId="61" xfId="0" applyFill="1" applyBorder="1" applyAlignment="1">
      <alignment horizontal="center"/>
    </xf>
    <xf numFmtId="0" fontId="0" fillId="33" borderId="61" xfId="0" applyFill="1" applyBorder="1" applyAlignment="1">
      <alignment horizontal="right"/>
    </xf>
    <xf numFmtId="0" fontId="0" fillId="33" borderId="87" xfId="0" applyFill="1" applyBorder="1" applyAlignment="1">
      <alignment horizontal="center"/>
    </xf>
    <xf numFmtId="0" fontId="0" fillId="33" borderId="87" xfId="0" applyFill="1" applyBorder="1"/>
    <xf numFmtId="0" fontId="5" fillId="33" borderId="88" xfId="0" applyFont="1" applyFill="1" applyBorder="1"/>
    <xf numFmtId="0" fontId="0" fillId="33" borderId="89" xfId="0" applyFill="1" applyBorder="1" applyAlignment="1">
      <alignment horizontal="center"/>
    </xf>
    <xf numFmtId="0" fontId="0" fillId="33" borderId="90" xfId="0" applyFill="1" applyBorder="1"/>
    <xf numFmtId="0" fontId="1" fillId="33" borderId="91" xfId="0" applyFont="1" applyFill="1" applyBorder="1"/>
    <xf numFmtId="0" fontId="0" fillId="33" borderId="92" xfId="0" applyFill="1" applyBorder="1"/>
    <xf numFmtId="0" fontId="0" fillId="3" borderId="93" xfId="0" applyFill="1" applyBorder="1"/>
    <xf numFmtId="0" fontId="0" fillId="3" borderId="94" xfId="0" applyFill="1" applyBorder="1"/>
    <xf numFmtId="0" fontId="5" fillId="33" borderId="89" xfId="0" applyFont="1" applyFill="1" applyBorder="1"/>
    <xf numFmtId="0" fontId="0" fillId="33" borderId="89" xfId="0" applyFill="1" applyBorder="1"/>
    <xf numFmtId="0" fontId="5" fillId="33" borderId="90" xfId="0" applyFont="1" applyFill="1" applyBorder="1"/>
    <xf numFmtId="0" fontId="0" fillId="33" borderId="91" xfId="0" applyFill="1" applyBorder="1"/>
    <xf numFmtId="0" fontId="0" fillId="33" borderId="95" xfId="0" applyFill="1" applyBorder="1" applyAlignment="1">
      <alignment horizontal="right"/>
    </xf>
    <xf numFmtId="0" fontId="0" fillId="33" borderId="30" xfId="0" applyFill="1" applyBorder="1" applyAlignment="1">
      <alignment horizontal="left"/>
    </xf>
    <xf numFmtId="0" fontId="0" fillId="33" borderId="96" xfId="0" applyFill="1" applyBorder="1" applyAlignment="1">
      <alignment horizontal="right"/>
    </xf>
    <xf numFmtId="1" fontId="0" fillId="33" borderId="97" xfId="0" applyNumberFormat="1" applyFill="1" applyBorder="1" applyAlignment="1">
      <alignment horizontal="center"/>
    </xf>
    <xf numFmtId="0" fontId="0" fillId="33" borderId="97" xfId="0" applyFill="1" applyBorder="1" applyAlignment="1">
      <alignment horizontal="center"/>
    </xf>
    <xf numFmtId="0" fontId="0" fillId="33" borderId="97" xfId="0" applyFill="1" applyBorder="1" applyAlignment="1">
      <alignment horizontal="right"/>
    </xf>
    <xf numFmtId="0" fontId="0" fillId="33" borderId="28" xfId="0" applyFill="1" applyBorder="1" applyAlignment="1">
      <alignment horizontal="left"/>
    </xf>
    <xf numFmtId="0" fontId="0" fillId="33" borderId="84" xfId="0" applyFill="1" applyBorder="1"/>
    <xf numFmtId="0" fontId="5" fillId="33" borderId="49" xfId="0" applyFont="1" applyFill="1" applyBorder="1" applyAlignment="1">
      <alignment horizontal="left"/>
    </xf>
    <xf numFmtId="0" fontId="41" fillId="31" borderId="91" xfId="0" applyFont="1" applyFill="1" applyBorder="1"/>
    <xf numFmtId="0" fontId="41" fillId="31" borderId="87" xfId="0" applyFont="1" applyFill="1" applyBorder="1"/>
    <xf numFmtId="0" fontId="41" fillId="31" borderId="92" xfId="0" applyFont="1" applyFill="1" applyBorder="1"/>
    <xf numFmtId="0" fontId="0" fillId="31" borderId="93" xfId="0" applyFill="1" applyBorder="1"/>
    <xf numFmtId="0" fontId="0" fillId="31" borderId="94" xfId="0" applyFill="1" applyBorder="1"/>
    <xf numFmtId="0" fontId="0" fillId="31" borderId="98" xfId="0" applyFill="1" applyBorder="1"/>
    <xf numFmtId="0" fontId="0" fillId="33" borderId="86" xfId="0" applyFill="1" applyBorder="1"/>
    <xf numFmtId="0" fontId="0" fillId="31" borderId="93" xfId="0" applyFill="1" applyBorder="1" applyAlignment="1">
      <alignment horizontal="left"/>
    </xf>
    <xf numFmtId="0" fontId="0" fillId="31" borderId="0" xfId="0" applyFill="1" applyAlignment="1">
      <alignment horizontal="right"/>
    </xf>
    <xf numFmtId="0" fontId="0" fillId="13" borderId="11" xfId="0" applyFill="1" applyBorder="1" applyProtection="1">
      <protection locked="0"/>
    </xf>
    <xf numFmtId="0" fontId="0" fillId="31" borderId="94" xfId="0" applyFill="1" applyBorder="1" applyProtection="1">
      <protection locked="0"/>
    </xf>
    <xf numFmtId="0" fontId="42" fillId="33" borderId="99" xfId="0" applyFont="1" applyFill="1" applyBorder="1" applyAlignment="1">
      <alignment horizontal="left"/>
    </xf>
    <xf numFmtId="0" fontId="0" fillId="33" borderId="100" xfId="0" applyFill="1" applyBorder="1" applyAlignment="1">
      <alignment horizontal="right"/>
    </xf>
    <xf numFmtId="0" fontId="0" fillId="33" borderId="32" xfId="0" applyFill="1" applyBorder="1"/>
    <xf numFmtId="0" fontId="4" fillId="33" borderId="26" xfId="0" applyFont="1" applyFill="1" applyBorder="1"/>
    <xf numFmtId="0" fontId="0" fillId="33" borderId="101" xfId="0" applyFill="1" applyBorder="1" applyAlignment="1">
      <alignment horizontal="center"/>
    </xf>
    <xf numFmtId="0" fontId="0" fillId="33" borderId="101" xfId="0" applyFill="1" applyBorder="1"/>
    <xf numFmtId="0" fontId="0" fillId="33" borderId="24" xfId="0" applyFill="1" applyBorder="1" applyAlignment="1">
      <alignment horizontal="center"/>
    </xf>
    <xf numFmtId="0" fontId="0" fillId="32" borderId="89" xfId="0" applyFill="1" applyBorder="1" applyAlignment="1">
      <alignment horizontal="center"/>
    </xf>
    <xf numFmtId="0" fontId="0" fillId="32" borderId="0" xfId="0" applyFill="1" applyAlignment="1">
      <alignment horizontal="center"/>
    </xf>
    <xf numFmtId="0" fontId="0" fillId="32" borderId="83" xfId="0" applyFill="1" applyBorder="1" applyAlignment="1">
      <alignment horizontal="center"/>
    </xf>
    <xf numFmtId="1" fontId="0" fillId="13" borderId="23" xfId="0" applyNumberFormat="1" applyFill="1" applyBorder="1" applyAlignment="1" applyProtection="1">
      <alignment horizontal="center"/>
      <protection locked="0"/>
    </xf>
    <xf numFmtId="1" fontId="0" fillId="13" borderId="41" xfId="0" applyNumberFormat="1" applyFill="1" applyBorder="1" applyAlignment="1" applyProtection="1">
      <alignment horizontal="center"/>
      <protection locked="0"/>
    </xf>
    <xf numFmtId="0" fontId="0" fillId="32" borderId="101" xfId="0" applyFill="1" applyBorder="1" applyAlignment="1">
      <alignment horizontal="center"/>
    </xf>
    <xf numFmtId="0" fontId="9" fillId="7" borderId="11" xfId="6" applyFont="1" applyFill="1" applyBorder="1" applyAlignment="1" applyProtection="1">
      <alignment horizontal="center"/>
      <protection locked="0"/>
    </xf>
    <xf numFmtId="0" fontId="9" fillId="7" borderId="5" xfId="6" applyFont="1" applyFill="1" applyBorder="1" applyAlignment="1" applyProtection="1">
      <alignment horizontal="center"/>
      <protection locked="0"/>
    </xf>
    <xf numFmtId="0" fontId="42" fillId="33" borderId="99" xfId="0" applyFont="1" applyFill="1" applyBorder="1"/>
    <xf numFmtId="0" fontId="0" fillId="33" borderId="100" xfId="0" applyFill="1" applyBorder="1"/>
    <xf numFmtId="0" fontId="8" fillId="7" borderId="14" xfId="2" applyFill="1" applyBorder="1" applyAlignment="1" applyProtection="1">
      <alignment horizontal="center"/>
      <protection locked="0"/>
    </xf>
    <xf numFmtId="0" fontId="8" fillId="7" borderId="8" xfId="2" applyFill="1" applyBorder="1" applyAlignment="1" applyProtection="1">
      <alignment horizontal="center"/>
      <protection locked="0"/>
    </xf>
    <xf numFmtId="0" fontId="9" fillId="7" borderId="24" xfId="0" applyFont="1" applyFill="1" applyBorder="1" applyAlignment="1" applyProtection="1">
      <alignment horizontal="center"/>
      <protection locked="0"/>
    </xf>
    <xf numFmtId="0" fontId="0" fillId="13" borderId="1" xfId="0" applyFill="1" applyBorder="1" applyProtection="1">
      <protection locked="0"/>
    </xf>
    <xf numFmtId="0" fontId="24" fillId="13" borderId="1" xfId="0" applyFont="1" applyFill="1" applyBorder="1" applyAlignment="1" applyProtection="1">
      <alignment horizontal="right"/>
      <protection locked="0"/>
    </xf>
    <xf numFmtId="167" fontId="0" fillId="13" borderId="1" xfId="0" applyNumberFormat="1" applyFill="1" applyBorder="1" applyProtection="1">
      <protection locked="0"/>
    </xf>
    <xf numFmtId="1" fontId="0" fillId="13" borderId="1" xfId="0" applyNumberFormat="1" applyFill="1" applyBorder="1" applyProtection="1">
      <protection locked="0"/>
    </xf>
    <xf numFmtId="0" fontId="23" fillId="13" borderId="1" xfId="0" applyFont="1" applyFill="1" applyBorder="1" applyAlignment="1" applyProtection="1">
      <alignment horizontal="center"/>
      <protection locked="0"/>
    </xf>
    <xf numFmtId="0" fontId="23" fillId="13" borderId="52" xfId="0" applyFont="1" applyFill="1" applyBorder="1" applyAlignment="1" applyProtection="1">
      <alignment horizontal="center"/>
      <protection locked="0"/>
    </xf>
    <xf numFmtId="0" fontId="25" fillId="17" borderId="66" xfId="0" applyFont="1" applyFill="1" applyBorder="1" applyProtection="1">
      <protection locked="0"/>
    </xf>
    <xf numFmtId="0" fontId="26" fillId="18" borderId="63" xfId="0" applyFont="1" applyFill="1" applyBorder="1"/>
    <xf numFmtId="0" fontId="49" fillId="0" borderId="0" xfId="8" applyFont="1"/>
    <xf numFmtId="0" fontId="49" fillId="0" borderId="0" xfId="8" applyFont="1" applyAlignment="1">
      <alignment horizontal="center"/>
    </xf>
    <xf numFmtId="0" fontId="49" fillId="0" borderId="0" xfId="0" applyFont="1" applyAlignment="1">
      <alignment horizontal="center"/>
    </xf>
    <xf numFmtId="0" fontId="50" fillId="0" borderId="0" xfId="0" applyFont="1" applyAlignment="1">
      <alignment horizontal="center"/>
    </xf>
    <xf numFmtId="9" fontId="49" fillId="0" borderId="0" xfId="8" applyNumberFormat="1" applyFont="1" applyAlignment="1">
      <alignment horizontal="center"/>
    </xf>
    <xf numFmtId="0" fontId="49" fillId="20" borderId="37" xfId="8" applyFont="1" applyFill="1" applyBorder="1"/>
    <xf numFmtId="0" fontId="49" fillId="20" borderId="111" xfId="8" applyFont="1" applyFill="1" applyBorder="1"/>
    <xf numFmtId="9" fontId="49" fillId="20" borderId="111" xfId="8" applyNumberFormat="1" applyFont="1" applyFill="1" applyBorder="1" applyAlignment="1">
      <alignment horizontal="center"/>
    </xf>
    <xf numFmtId="0" fontId="49" fillId="20" borderId="77" xfId="0" applyFont="1" applyFill="1" applyBorder="1" applyAlignment="1">
      <alignment horizontal="center"/>
    </xf>
    <xf numFmtId="0" fontId="49" fillId="24" borderId="37" xfId="8" applyFont="1" applyFill="1" applyBorder="1"/>
    <xf numFmtId="0" fontId="49" fillId="24" borderId="111" xfId="8" applyFont="1" applyFill="1" applyBorder="1"/>
    <xf numFmtId="9" fontId="49" fillId="24" borderId="111" xfId="8" applyNumberFormat="1" applyFont="1" applyFill="1" applyBorder="1" applyAlignment="1">
      <alignment horizontal="center"/>
    </xf>
    <xf numFmtId="0" fontId="49" fillId="24" borderId="77" xfId="0" applyFont="1" applyFill="1" applyBorder="1" applyAlignment="1">
      <alignment horizontal="center"/>
    </xf>
    <xf numFmtId="0" fontId="50" fillId="0" borderId="0" xfId="0" applyFont="1"/>
    <xf numFmtId="0" fontId="49" fillId="20" borderId="77" xfId="8" applyFont="1" applyFill="1" applyBorder="1" applyAlignment="1">
      <alignment horizontal="center"/>
    </xf>
    <xf numFmtId="0" fontId="49" fillId="24" borderId="77" xfId="8" applyFont="1" applyFill="1" applyBorder="1" applyAlignment="1">
      <alignment horizontal="center"/>
    </xf>
    <xf numFmtId="0" fontId="49" fillId="24" borderId="111" xfId="0" applyFont="1" applyFill="1" applyBorder="1"/>
    <xf numFmtId="0" fontId="49" fillId="0" borderId="0" xfId="0" applyFont="1"/>
    <xf numFmtId="1" fontId="0" fillId="0" borderId="0" xfId="0" applyNumberFormat="1"/>
    <xf numFmtId="171" fontId="0" fillId="0" borderId="0" xfId="0" applyNumberFormat="1"/>
    <xf numFmtId="172" fontId="0" fillId="0" borderId="0" xfId="0" applyNumberFormat="1"/>
    <xf numFmtId="0" fontId="0" fillId="0" borderId="74" xfId="0" applyBorder="1"/>
    <xf numFmtId="0" fontId="0" fillId="0" borderId="73" xfId="0" applyBorder="1"/>
    <xf numFmtId="0" fontId="0" fillId="0" borderId="16" xfId="0" applyBorder="1"/>
    <xf numFmtId="0" fontId="0" fillId="0" borderId="2" xfId="0" applyBorder="1"/>
    <xf numFmtId="0" fontId="0" fillId="0" borderId="114" xfId="0" applyBorder="1"/>
    <xf numFmtId="0" fontId="15" fillId="0" borderId="79" xfId="0" applyFont="1" applyBorder="1"/>
    <xf numFmtId="173" fontId="15" fillId="0" borderId="75" xfId="0" applyNumberFormat="1" applyFont="1" applyBorder="1"/>
    <xf numFmtId="0" fontId="0" fillId="0" borderId="40" xfId="0" applyBorder="1"/>
    <xf numFmtId="0" fontId="0" fillId="0" borderId="9" xfId="0" applyBorder="1"/>
    <xf numFmtId="0" fontId="15" fillId="0" borderId="0" xfId="0" applyFont="1"/>
    <xf numFmtId="174" fontId="15" fillId="0" borderId="0" xfId="0" applyNumberFormat="1" applyFont="1"/>
    <xf numFmtId="0" fontId="3" fillId="0" borderId="0" xfId="0" applyFont="1" applyProtection="1">
      <protection hidden="1"/>
    </xf>
    <xf numFmtId="0" fontId="0" fillId="0" borderId="72" xfId="0" applyBorder="1"/>
    <xf numFmtId="173" fontId="0" fillId="0" borderId="0" xfId="0" applyNumberFormat="1"/>
    <xf numFmtId="0" fontId="23" fillId="0" borderId="0" xfId="0" applyFont="1"/>
    <xf numFmtId="164" fontId="0" fillId="0" borderId="0" xfId="0" applyNumberFormat="1" applyAlignment="1">
      <alignment horizontal="center" vertical="center"/>
    </xf>
    <xf numFmtId="0" fontId="53" fillId="0" borderId="0" xfId="0" applyFont="1" applyAlignment="1">
      <alignment wrapText="1"/>
    </xf>
    <xf numFmtId="0" fontId="0" fillId="0" borderId="0" xfId="0" applyProtection="1">
      <protection hidden="1"/>
    </xf>
    <xf numFmtId="0" fontId="0" fillId="0" borderId="37" xfId="0" applyBorder="1" applyAlignment="1" applyProtection="1">
      <alignment horizontal="center"/>
      <protection hidden="1"/>
    </xf>
    <xf numFmtId="0" fontId="32" fillId="0" borderId="37" xfId="0" applyFont="1" applyBorder="1" applyAlignment="1" applyProtection="1">
      <alignment horizontal="center"/>
      <protection hidden="1"/>
    </xf>
    <xf numFmtId="0" fontId="52" fillId="0" borderId="37" xfId="0" applyFont="1" applyBorder="1" applyAlignment="1" applyProtection="1">
      <alignment horizontal="center"/>
      <protection hidden="1"/>
    </xf>
    <xf numFmtId="0" fontId="56" fillId="0" borderId="37" xfId="0" applyFont="1" applyBorder="1" applyAlignment="1" applyProtection="1">
      <alignment horizontal="center"/>
      <protection hidden="1"/>
    </xf>
    <xf numFmtId="164" fontId="52" fillId="0" borderId="2" xfId="0" applyNumberFormat="1" applyFont="1" applyBorder="1" applyProtection="1">
      <protection hidden="1"/>
    </xf>
    <xf numFmtId="0" fontId="52" fillId="0" borderId="2" xfId="0" applyFont="1" applyBorder="1" applyProtection="1">
      <protection hidden="1"/>
    </xf>
    <xf numFmtId="164" fontId="56" fillId="0" borderId="2" xfId="0" applyNumberFormat="1" applyFont="1" applyBorder="1" applyProtection="1">
      <protection hidden="1"/>
    </xf>
    <xf numFmtId="0" fontId="56" fillId="0" borderId="2" xfId="0" applyFont="1" applyBorder="1" applyProtection="1">
      <protection hidden="1"/>
    </xf>
    <xf numFmtId="0" fontId="0" fillId="0" borderId="2" xfId="0" applyBorder="1" applyProtection="1">
      <protection hidden="1"/>
    </xf>
    <xf numFmtId="9" fontId="0" fillId="0" borderId="0" xfId="0" applyNumberFormat="1" applyProtection="1">
      <protection hidden="1"/>
    </xf>
    <xf numFmtId="10" fontId="0" fillId="0" borderId="2" xfId="0" applyNumberFormat="1" applyBorder="1" applyProtection="1">
      <protection hidden="1"/>
    </xf>
    <xf numFmtId="0" fontId="57" fillId="0" borderId="37" xfId="0" applyFont="1" applyBorder="1" applyAlignment="1" applyProtection="1">
      <alignment horizontal="center"/>
      <protection hidden="1"/>
    </xf>
    <xf numFmtId="0" fontId="0" fillId="0" borderId="110" xfId="0" applyBorder="1" applyProtection="1">
      <protection hidden="1"/>
    </xf>
    <xf numFmtId="0" fontId="0" fillId="39" borderId="110" xfId="0" applyFill="1" applyBorder="1" applyProtection="1">
      <protection hidden="1"/>
    </xf>
    <xf numFmtId="0" fontId="0" fillId="12" borderId="2" xfId="0" applyFill="1" applyBorder="1" applyProtection="1">
      <protection hidden="1"/>
    </xf>
    <xf numFmtId="0" fontId="0" fillId="40" borderId="0" xfId="0" applyFill="1" applyProtection="1">
      <protection hidden="1"/>
    </xf>
    <xf numFmtId="0" fontId="0" fillId="12" borderId="2" xfId="0" applyFill="1" applyBorder="1" applyAlignment="1" applyProtection="1">
      <alignment horizontal="center"/>
      <protection hidden="1"/>
    </xf>
    <xf numFmtId="0" fontId="0" fillId="37" borderId="2" xfId="0" applyFill="1" applyBorder="1" applyAlignment="1" applyProtection="1">
      <alignment horizontal="center"/>
      <protection hidden="1"/>
    </xf>
    <xf numFmtId="0" fontId="0" fillId="41" borderId="2" xfId="0" applyFill="1" applyBorder="1" applyAlignment="1" applyProtection="1">
      <alignment horizontal="center"/>
      <protection hidden="1"/>
    </xf>
    <xf numFmtId="0" fontId="0" fillId="34" borderId="2" xfId="0" applyFill="1" applyBorder="1" applyAlignment="1" applyProtection="1">
      <alignment horizontal="center"/>
      <protection hidden="1"/>
    </xf>
    <xf numFmtId="0" fontId="0" fillId="23" borderId="2" xfId="0" applyFill="1" applyBorder="1" applyAlignment="1" applyProtection="1">
      <alignment horizontal="center"/>
      <protection hidden="1"/>
    </xf>
    <xf numFmtId="0" fontId="0" fillId="20" borderId="2" xfId="0" applyFill="1" applyBorder="1" applyAlignment="1" applyProtection="1">
      <alignment horizontal="center"/>
      <protection hidden="1"/>
    </xf>
    <xf numFmtId="0" fontId="0" fillId="39" borderId="2" xfId="0" applyFill="1" applyBorder="1" applyAlignment="1" applyProtection="1">
      <alignment horizontal="center"/>
      <protection hidden="1"/>
    </xf>
    <xf numFmtId="0" fontId="2" fillId="34" borderId="0" xfId="1" applyFill="1" applyAlignment="1">
      <alignment wrapText="1"/>
    </xf>
    <xf numFmtId="0" fontId="2" fillId="34" borderId="115" xfId="1" applyFill="1" applyBorder="1" applyAlignment="1">
      <alignment wrapText="1"/>
    </xf>
    <xf numFmtId="0" fontId="52" fillId="27" borderId="0" xfId="1" applyFont="1" applyFill="1" applyAlignment="1">
      <alignment horizontal="left" wrapText="1"/>
    </xf>
    <xf numFmtId="2" fontId="2" fillId="35" borderId="116" xfId="1" applyNumberFormat="1" applyFill="1" applyBorder="1" applyAlignment="1">
      <alignment horizontal="right" wrapText="1"/>
    </xf>
    <xf numFmtId="4" fontId="32" fillId="34" borderId="117" xfId="1" applyNumberFormat="1" applyFont="1" applyFill="1" applyBorder="1" applyAlignment="1">
      <alignment wrapText="1"/>
    </xf>
    <xf numFmtId="0" fontId="2" fillId="34" borderId="118" xfId="1" applyFill="1" applyBorder="1" applyAlignment="1">
      <alignment wrapText="1"/>
    </xf>
    <xf numFmtId="176" fontId="32" fillId="35" borderId="117" xfId="1" applyNumberFormat="1" applyFont="1" applyFill="1" applyBorder="1" applyAlignment="1">
      <alignment wrapText="1"/>
    </xf>
    <xf numFmtId="0" fontId="32" fillId="34" borderId="119" xfId="1" applyFont="1" applyFill="1" applyBorder="1" applyAlignment="1">
      <alignment wrapText="1"/>
    </xf>
    <xf numFmtId="0" fontId="32" fillId="34" borderId="115" xfId="1" applyFont="1" applyFill="1" applyBorder="1" applyAlignment="1">
      <alignment wrapText="1"/>
    </xf>
    <xf numFmtId="1" fontId="32" fillId="35" borderId="117" xfId="1" applyNumberFormat="1" applyFont="1" applyFill="1" applyBorder="1" applyAlignment="1">
      <alignment wrapText="1"/>
    </xf>
    <xf numFmtId="0" fontId="2" fillId="34" borderId="120" xfId="1" applyFill="1" applyBorder="1" applyAlignment="1">
      <alignment wrapText="1"/>
    </xf>
    <xf numFmtId="0" fontId="2" fillId="34" borderId="121" xfId="1" applyFill="1" applyBorder="1" applyAlignment="1">
      <alignment wrapText="1"/>
    </xf>
    <xf numFmtId="0" fontId="2" fillId="34" borderId="122" xfId="1" applyFill="1" applyBorder="1" applyAlignment="1">
      <alignment wrapText="1"/>
    </xf>
    <xf numFmtId="0" fontId="2" fillId="34" borderId="123" xfId="1" applyFill="1" applyBorder="1" applyAlignment="1">
      <alignment wrapText="1"/>
    </xf>
    <xf numFmtId="0" fontId="2" fillId="34" borderId="124" xfId="1" applyFill="1" applyBorder="1" applyAlignment="1">
      <alignment wrapText="1"/>
    </xf>
    <xf numFmtId="0" fontId="2" fillId="34" borderId="116" xfId="1" applyFill="1" applyBorder="1" applyAlignment="1">
      <alignment wrapText="1"/>
    </xf>
    <xf numFmtId="0" fontId="2" fillId="34" borderId="125" xfId="1" applyFill="1" applyBorder="1" applyAlignment="1">
      <alignment wrapText="1"/>
    </xf>
    <xf numFmtId="0" fontId="2" fillId="34" borderId="126" xfId="1" applyFill="1" applyBorder="1" applyAlignment="1">
      <alignment wrapText="1"/>
    </xf>
    <xf numFmtId="0" fontId="2" fillId="34" borderId="127" xfId="1" applyFill="1" applyBorder="1" applyAlignment="1">
      <alignment wrapText="1"/>
    </xf>
    <xf numFmtId="0" fontId="59" fillId="27" borderId="39" xfId="0" applyFont="1" applyFill="1" applyBorder="1"/>
    <xf numFmtId="0" fontId="59" fillId="34" borderId="0" xfId="0" applyFont="1" applyFill="1"/>
    <xf numFmtId="0" fontId="59" fillId="35" borderId="0" xfId="0" applyFont="1" applyFill="1" applyAlignment="1">
      <alignment horizontal="right"/>
    </xf>
    <xf numFmtId="0" fontId="60" fillId="34" borderId="0" xfId="0" applyFont="1" applyFill="1"/>
    <xf numFmtId="0" fontId="61" fillId="27" borderId="108" xfId="0" applyFont="1" applyFill="1" applyBorder="1"/>
    <xf numFmtId="0" fontId="60" fillId="35" borderId="0" xfId="0" applyFont="1" applyFill="1" applyAlignment="1">
      <alignment horizontal="right"/>
    </xf>
    <xf numFmtId="0" fontId="60" fillId="27" borderId="108" xfId="0" applyFont="1" applyFill="1" applyBorder="1"/>
    <xf numFmtId="0" fontId="59" fillId="27" borderId="0" xfId="0" applyFont="1" applyFill="1"/>
    <xf numFmtId="0" fontId="60" fillId="27" borderId="0" xfId="0" applyFont="1" applyFill="1"/>
    <xf numFmtId="0" fontId="60" fillId="35" borderId="0" xfId="0" applyFont="1" applyFill="1"/>
    <xf numFmtId="164" fontId="60" fillId="35" borderId="0" xfId="0" applyNumberFormat="1" applyFont="1" applyFill="1" applyAlignment="1">
      <alignment horizontal="right"/>
    </xf>
    <xf numFmtId="0" fontId="62" fillId="34" borderId="0" xfId="0" applyFont="1" applyFill="1"/>
    <xf numFmtId="0" fontId="60" fillId="27" borderId="73" xfId="0" applyFont="1" applyFill="1" applyBorder="1"/>
    <xf numFmtId="0" fontId="60" fillId="27" borderId="110" xfId="0" applyFont="1" applyFill="1" applyBorder="1"/>
    <xf numFmtId="0" fontId="61" fillId="34" borderId="0" xfId="0" applyFont="1" applyFill="1"/>
    <xf numFmtId="0" fontId="60" fillId="35" borderId="110" xfId="0" applyFont="1" applyFill="1" applyBorder="1"/>
    <xf numFmtId="0" fontId="60" fillId="35" borderId="108" xfId="0" applyFont="1" applyFill="1" applyBorder="1"/>
    <xf numFmtId="0" fontId="60" fillId="27" borderId="79" xfId="0" applyFont="1" applyFill="1" applyBorder="1" applyAlignment="1">
      <alignment horizontal="right"/>
    </xf>
    <xf numFmtId="0" fontId="60" fillId="27" borderId="76" xfId="0" applyFont="1" applyFill="1" applyBorder="1" applyAlignment="1">
      <alignment horizontal="center" vertical="center"/>
    </xf>
    <xf numFmtId="0" fontId="60" fillId="27" borderId="76" xfId="0" applyFont="1" applyFill="1" applyBorder="1" applyAlignment="1">
      <alignment horizontal="center"/>
    </xf>
    <xf numFmtId="0" fontId="61" fillId="27" borderId="76" xfId="0" applyFont="1" applyFill="1" applyBorder="1" applyAlignment="1">
      <alignment horizontal="center"/>
    </xf>
    <xf numFmtId="0" fontId="60" fillId="27" borderId="75" xfId="0" applyFont="1" applyFill="1" applyBorder="1" applyAlignment="1">
      <alignment horizontal="center"/>
    </xf>
    <xf numFmtId="0" fontId="60" fillId="34" borderId="0" xfId="0" applyFont="1" applyFill="1" applyAlignment="1">
      <alignment horizontal="center"/>
    </xf>
    <xf numFmtId="0" fontId="60" fillId="35" borderId="0" xfId="0" applyFont="1" applyFill="1" applyAlignment="1">
      <alignment horizontal="center" vertical="center"/>
    </xf>
    <xf numFmtId="0" fontId="60" fillId="35" borderId="128" xfId="0" applyFont="1" applyFill="1" applyBorder="1" applyAlignment="1">
      <alignment horizontal="center" vertical="center"/>
    </xf>
    <xf numFmtId="0" fontId="60" fillId="35" borderId="129" xfId="0" applyFont="1" applyFill="1" applyBorder="1" applyAlignment="1">
      <alignment horizontal="center"/>
    </xf>
    <xf numFmtId="0" fontId="60" fillId="35" borderId="0" xfId="0" applyFont="1" applyFill="1" applyAlignment="1">
      <alignment horizontal="center"/>
    </xf>
    <xf numFmtId="0" fontId="60" fillId="35" borderId="128" xfId="0" applyFont="1" applyFill="1" applyBorder="1" applyAlignment="1">
      <alignment horizontal="center"/>
    </xf>
    <xf numFmtId="0" fontId="61" fillId="35" borderId="0" xfId="0" applyFont="1" applyFill="1" applyAlignment="1">
      <alignment horizontal="center"/>
    </xf>
    <xf numFmtId="0" fontId="23" fillId="34" borderId="0" xfId="0" applyFont="1" applyFill="1"/>
    <xf numFmtId="0" fontId="63" fillId="34" borderId="0" xfId="0" applyFont="1" applyFill="1"/>
    <xf numFmtId="0" fontId="63" fillId="34" borderId="0" xfId="0" applyFont="1" applyFill="1" applyAlignment="1">
      <alignment horizontal="center"/>
    </xf>
    <xf numFmtId="0" fontId="32" fillId="27" borderId="117" xfId="1" applyFont="1" applyFill="1" applyBorder="1" applyAlignment="1">
      <alignment wrapText="1"/>
    </xf>
    <xf numFmtId="0" fontId="0" fillId="10" borderId="0" xfId="0" applyFill="1"/>
    <xf numFmtId="0" fontId="0" fillId="10" borderId="1" xfId="0" applyFill="1" applyBorder="1" applyAlignment="1">
      <alignment horizontal="center"/>
    </xf>
    <xf numFmtId="9" fontId="0" fillId="10" borderId="1" xfId="0" applyNumberFormat="1" applyFill="1" applyBorder="1" applyAlignment="1">
      <alignment horizontal="center"/>
    </xf>
    <xf numFmtId="0" fontId="25" fillId="15" borderId="1" xfId="0" applyFont="1" applyFill="1" applyBorder="1" applyAlignment="1">
      <alignment horizontal="center"/>
    </xf>
    <xf numFmtId="9" fontId="25" fillId="15" borderId="1" xfId="0" applyNumberFormat="1" applyFont="1" applyFill="1" applyBorder="1" applyAlignment="1">
      <alignment horizontal="center"/>
    </xf>
    <xf numFmtId="1" fontId="25" fillId="15" borderId="1" xfId="0" applyNumberFormat="1" applyFont="1" applyFill="1" applyBorder="1" applyAlignment="1">
      <alignment horizontal="center"/>
    </xf>
    <xf numFmtId="9" fontId="25" fillId="15" borderId="63" xfId="0" applyNumberFormat="1" applyFont="1" applyFill="1" applyBorder="1" applyAlignment="1">
      <alignment horizontal="center"/>
    </xf>
    <xf numFmtId="0" fontId="68" fillId="0" borderId="0" xfId="0" applyFont="1"/>
    <xf numFmtId="164" fontId="0" fillId="0" borderId="77" xfId="0" applyNumberFormat="1" applyBorder="1" applyAlignment="1" applyProtection="1">
      <alignment horizontal="center"/>
      <protection hidden="1"/>
    </xf>
    <xf numFmtId="164" fontId="56" fillId="0" borderId="77" xfId="0" applyNumberFormat="1" applyFont="1" applyBorder="1" applyAlignment="1" applyProtection="1">
      <alignment horizontal="center"/>
      <protection hidden="1"/>
    </xf>
    <xf numFmtId="164" fontId="52" fillId="0" borderId="77" xfId="0" applyNumberFormat="1" applyFont="1" applyBorder="1" applyAlignment="1" applyProtection="1">
      <alignment horizontal="center"/>
      <protection hidden="1"/>
    </xf>
    <xf numFmtId="164" fontId="32" fillId="0" borderId="77" xfId="0" applyNumberFormat="1" applyFont="1" applyBorder="1" applyAlignment="1" applyProtection="1">
      <alignment horizontal="center"/>
      <protection hidden="1"/>
    </xf>
    <xf numFmtId="0" fontId="57" fillId="0" borderId="110" xfId="0" applyFont="1" applyBorder="1" applyAlignment="1" applyProtection="1">
      <alignment horizontal="center"/>
      <protection hidden="1"/>
    </xf>
    <xf numFmtId="0" fontId="8" fillId="0" borderId="1" xfId="2" applyBorder="1" applyAlignment="1">
      <alignment horizontal="center"/>
    </xf>
    <xf numFmtId="0" fontId="0" fillId="0" borderId="77" xfId="0" applyBorder="1" applyAlignment="1" applyProtection="1">
      <alignment horizontal="center"/>
      <protection hidden="1"/>
    </xf>
    <xf numFmtId="164" fontId="9" fillId="0" borderId="1" xfId="2" applyNumberFormat="1" applyFont="1" applyBorder="1" applyAlignment="1" applyProtection="1">
      <alignment horizontal="center" vertical="center"/>
      <protection hidden="1"/>
    </xf>
    <xf numFmtId="0" fontId="9" fillId="0" borderId="1" xfId="2" applyFont="1" applyBorder="1" applyAlignment="1" applyProtection="1">
      <alignment horizontal="center" vertical="center"/>
      <protection hidden="1"/>
    </xf>
    <xf numFmtId="0" fontId="0" fillId="0" borderId="130" xfId="0" applyBorder="1" applyAlignment="1" applyProtection="1">
      <alignment horizontal="center"/>
      <protection hidden="1"/>
    </xf>
    <xf numFmtId="0" fontId="9" fillId="0" borderId="52" xfId="2" applyFont="1" applyBorder="1" applyAlignment="1" applyProtection="1">
      <alignment horizontal="center" vertical="center"/>
      <protection hidden="1"/>
    </xf>
    <xf numFmtId="164" fontId="0" fillId="0" borderId="109" xfId="0" applyNumberFormat="1" applyBorder="1" applyAlignment="1" applyProtection="1">
      <alignment horizontal="center"/>
      <protection hidden="1"/>
    </xf>
    <xf numFmtId="0" fontId="0" fillId="0" borderId="1" xfId="0" applyBorder="1" applyAlignment="1" applyProtection="1">
      <alignment horizontal="center"/>
      <protection hidden="1"/>
    </xf>
    <xf numFmtId="0" fontId="60" fillId="36" borderId="0" xfId="0" applyFont="1" applyFill="1" applyAlignment="1" applyProtection="1">
      <alignment horizontal="right"/>
      <protection locked="0"/>
    </xf>
    <xf numFmtId="0" fontId="61" fillId="36" borderId="0" xfId="0" applyFont="1" applyFill="1" applyProtection="1">
      <protection locked="0"/>
    </xf>
    <xf numFmtId="0" fontId="0" fillId="0" borderId="0" xfId="0" applyProtection="1">
      <protection locked="0" hidden="1"/>
    </xf>
    <xf numFmtId="49" fontId="36" fillId="9" borderId="1" xfId="6" applyNumberFormat="1" applyFont="1" applyFill="1" applyBorder="1" applyAlignment="1">
      <alignment horizontal="center"/>
    </xf>
    <xf numFmtId="168" fontId="36" fillId="9" borderId="1" xfId="6" applyNumberFormat="1" applyFont="1" applyFill="1" applyBorder="1" applyAlignment="1">
      <alignment horizontal="center"/>
    </xf>
    <xf numFmtId="0" fontId="35" fillId="9" borderId="1" xfId="6" applyFont="1" applyFill="1" applyBorder="1" applyAlignment="1">
      <alignment horizontal="center"/>
    </xf>
    <xf numFmtId="0" fontId="10" fillId="0" borderId="0" xfId="6" applyAlignment="1">
      <alignment horizontal="center"/>
    </xf>
    <xf numFmtId="0" fontId="34" fillId="9" borderId="80" xfId="6" applyFont="1" applyFill="1" applyBorder="1" applyAlignment="1">
      <alignment horizontal="center"/>
    </xf>
    <xf numFmtId="0" fontId="34" fillId="9" borderId="69" xfId="6" applyFont="1" applyFill="1" applyBorder="1" applyAlignment="1">
      <alignment horizontal="center"/>
    </xf>
    <xf numFmtId="0" fontId="34" fillId="9" borderId="79" xfId="6" applyFont="1" applyFill="1" applyBorder="1" applyAlignment="1">
      <alignment horizontal="center"/>
    </xf>
    <xf numFmtId="0" fontId="10" fillId="0" borderId="0" xfId="6"/>
    <xf numFmtId="0" fontId="28" fillId="0" borderId="1" xfId="6" applyFont="1" applyBorder="1" applyAlignment="1">
      <alignment horizontal="center"/>
    </xf>
    <xf numFmtId="49" fontId="28" fillId="0" borderId="1" xfId="6" applyNumberFormat="1" applyFont="1" applyBorder="1" applyAlignment="1">
      <alignment horizontal="center"/>
    </xf>
    <xf numFmtId="0" fontId="30" fillId="0" borderId="1" xfId="0" applyFont="1" applyBorder="1" applyAlignment="1">
      <alignment horizontal="center"/>
    </xf>
    <xf numFmtId="0" fontId="30" fillId="7" borderId="1" xfId="0" applyFont="1" applyFill="1" applyBorder="1" applyAlignment="1">
      <alignment horizontal="center"/>
    </xf>
    <xf numFmtId="0" fontId="30" fillId="20" borderId="1" xfId="0" applyFont="1" applyFill="1" applyBorder="1" applyAlignment="1">
      <alignment horizontal="center"/>
    </xf>
    <xf numFmtId="0" fontId="29" fillId="29" borderId="51" xfId="6" applyFont="1" applyFill="1" applyBorder="1" applyAlignment="1">
      <alignment horizontal="center"/>
    </xf>
    <xf numFmtId="168" fontId="28" fillId="0" borderId="1" xfId="6" applyNumberFormat="1" applyFont="1" applyBorder="1" applyAlignment="1">
      <alignment horizontal="center"/>
    </xf>
    <xf numFmtId="0" fontId="29" fillId="29" borderId="70" xfId="6" applyFont="1" applyFill="1" applyBorder="1" applyAlignment="1">
      <alignment horizontal="center"/>
    </xf>
    <xf numFmtId="0" fontId="30" fillId="25" borderId="1" xfId="0" applyFont="1" applyFill="1" applyBorder="1" applyAlignment="1">
      <alignment horizontal="center"/>
    </xf>
    <xf numFmtId="0" fontId="33" fillId="7" borderId="1" xfId="0" applyFont="1" applyFill="1" applyBorder="1" applyAlignment="1">
      <alignment horizontal="center"/>
    </xf>
    <xf numFmtId="0" fontId="30" fillId="24" borderId="1" xfId="0" applyFont="1" applyFill="1" applyBorder="1" applyAlignment="1">
      <alignment horizontal="center"/>
    </xf>
    <xf numFmtId="0" fontId="30" fillId="8" borderId="1" xfId="0" applyFont="1" applyFill="1" applyBorder="1" applyAlignment="1">
      <alignment horizontal="center"/>
    </xf>
    <xf numFmtId="0" fontId="30" fillId="23" borderId="1" xfId="0" applyFont="1" applyFill="1" applyBorder="1" applyAlignment="1">
      <alignment horizontal="center"/>
    </xf>
    <xf numFmtId="0" fontId="30" fillId="30" borderId="1" xfId="0" applyFont="1" applyFill="1" applyBorder="1" applyAlignment="1">
      <alignment horizontal="center"/>
    </xf>
    <xf numFmtId="0" fontId="29" fillId="29" borderId="50" xfId="6" applyFont="1" applyFill="1" applyBorder="1" applyAlignment="1">
      <alignment horizontal="center"/>
    </xf>
    <xf numFmtId="0" fontId="30" fillId="28" borderId="1" xfId="0" applyFont="1" applyFill="1" applyBorder="1" applyAlignment="1">
      <alignment horizontal="center"/>
    </xf>
    <xf numFmtId="169" fontId="0" fillId="0" borderId="0" xfId="0" applyNumberFormat="1"/>
    <xf numFmtId="0" fontId="28" fillId="7" borderId="1" xfId="6" applyFont="1" applyFill="1" applyBorder="1" applyAlignment="1">
      <alignment horizontal="center"/>
    </xf>
    <xf numFmtId="0" fontId="28" fillId="19" borderId="1" xfId="6" applyFont="1" applyFill="1" applyBorder="1" applyAlignment="1">
      <alignment horizontal="center"/>
    </xf>
    <xf numFmtId="0" fontId="28" fillId="13" borderId="1" xfId="6" applyFont="1" applyFill="1" applyBorder="1" applyAlignment="1">
      <alignment horizontal="center"/>
    </xf>
    <xf numFmtId="0" fontId="28" fillId="4" borderId="1" xfId="6" applyFont="1" applyFill="1" applyBorder="1" applyAlignment="1">
      <alignment horizontal="center"/>
    </xf>
    <xf numFmtId="0" fontId="28" fillId="24" borderId="1" xfId="6" applyFont="1" applyFill="1" applyBorder="1" applyAlignment="1">
      <alignment horizontal="center"/>
    </xf>
    <xf numFmtId="0" fontId="8" fillId="0" borderId="69" xfId="2" applyBorder="1" applyAlignment="1">
      <alignment horizontal="center"/>
    </xf>
    <xf numFmtId="0" fontId="10" fillId="26" borderId="0" xfId="6" applyFill="1" applyAlignment="1">
      <alignment horizontal="center"/>
    </xf>
    <xf numFmtId="0" fontId="8" fillId="12" borderId="69" xfId="2" applyFill="1" applyBorder="1" applyAlignment="1">
      <alignment horizontal="center"/>
    </xf>
    <xf numFmtId="0" fontId="10" fillId="20" borderId="0" xfId="6" applyFill="1" applyAlignment="1">
      <alignment horizontal="center"/>
    </xf>
    <xf numFmtId="0" fontId="10" fillId="25" borderId="0" xfId="6" applyFill="1" applyAlignment="1">
      <alignment horizontal="center"/>
    </xf>
    <xf numFmtId="0" fontId="10" fillId="24" borderId="0" xfId="6" applyFill="1" applyAlignment="1">
      <alignment horizontal="center"/>
    </xf>
    <xf numFmtId="0" fontId="0" fillId="23" borderId="0" xfId="0" applyFill="1" applyAlignment="1">
      <alignment horizontal="center"/>
    </xf>
    <xf numFmtId="0" fontId="9" fillId="0" borderId="69" xfId="6" applyFont="1" applyBorder="1" applyAlignment="1">
      <alignment horizontal="center"/>
    </xf>
    <xf numFmtId="0" fontId="0" fillId="8" borderId="0" xfId="0" applyFill="1" applyAlignment="1">
      <alignment horizontal="center"/>
    </xf>
    <xf numFmtId="0" fontId="9" fillId="12" borderId="69" xfId="6" applyFont="1" applyFill="1" applyBorder="1" applyAlignment="1">
      <alignment horizontal="center"/>
    </xf>
    <xf numFmtId="0" fontId="0" fillId="22" borderId="0" xfId="0" applyFill="1" applyAlignment="1">
      <alignment horizontal="center"/>
    </xf>
    <xf numFmtId="169" fontId="10" fillId="0" borderId="0" xfId="6" applyNumberFormat="1"/>
    <xf numFmtId="0" fontId="28" fillId="21" borderId="1" xfId="6" applyFont="1" applyFill="1" applyBorder="1" applyAlignment="1">
      <alignment horizontal="center"/>
    </xf>
    <xf numFmtId="0" fontId="28" fillId="20" borderId="1" xfId="6" applyFont="1" applyFill="1" applyBorder="1" applyAlignment="1">
      <alignment horizontal="center"/>
    </xf>
    <xf numFmtId="168" fontId="10" fillId="0" borderId="0" xfId="6" applyNumberFormat="1"/>
    <xf numFmtId="0" fontId="28" fillId="0" borderId="0" xfId="6" applyFont="1" applyAlignment="1">
      <alignment horizontal="center"/>
    </xf>
    <xf numFmtId="49" fontId="29" fillId="0" borderId="0" xfId="6" applyNumberFormat="1" applyFont="1" applyAlignment="1">
      <alignment horizontal="center" wrapText="1"/>
    </xf>
    <xf numFmtId="173" fontId="0" fillId="0" borderId="73" xfId="0" applyNumberFormat="1" applyBorder="1" applyProtection="1">
      <protection locked="0"/>
    </xf>
    <xf numFmtId="173" fontId="0" fillId="0" borderId="72" xfId="0" applyNumberFormat="1" applyBorder="1" applyProtection="1">
      <protection locked="0"/>
    </xf>
    <xf numFmtId="173" fontId="0" fillId="0" borderId="2" xfId="0" applyNumberFormat="1" applyBorder="1" applyProtection="1">
      <protection locked="0"/>
    </xf>
    <xf numFmtId="173" fontId="0" fillId="0" borderId="110" xfId="0" applyNumberFormat="1" applyBorder="1" applyProtection="1">
      <protection locked="0"/>
    </xf>
    <xf numFmtId="173" fontId="0" fillId="0" borderId="15" xfId="0" applyNumberFormat="1" applyBorder="1" applyProtection="1">
      <protection locked="0"/>
    </xf>
    <xf numFmtId="0" fontId="0" fillId="0" borderId="2" xfId="0" applyBorder="1" applyProtection="1">
      <protection locked="0"/>
    </xf>
    <xf numFmtId="0" fontId="9" fillId="7" borderId="11" xfId="0" applyFont="1" applyFill="1" applyBorder="1" applyAlignment="1" applyProtection="1">
      <alignment horizontal="center"/>
      <protection locked="0"/>
    </xf>
    <xf numFmtId="0" fontId="9" fillId="7" borderId="5" xfId="0" applyFont="1" applyFill="1" applyBorder="1" applyAlignment="1" applyProtection="1">
      <alignment horizontal="center"/>
      <protection locked="0"/>
    </xf>
    <xf numFmtId="0" fontId="0" fillId="13" borderId="0" xfId="0" applyFill="1" applyProtection="1">
      <protection locked="0"/>
    </xf>
    <xf numFmtId="0" fontId="68" fillId="0" borderId="0" xfId="0" quotePrefix="1" applyFont="1"/>
    <xf numFmtId="0" fontId="69" fillId="0" borderId="0" xfId="0" applyFont="1"/>
    <xf numFmtId="0" fontId="25" fillId="15" borderId="131" xfId="0" applyFont="1" applyFill="1" applyBorder="1"/>
    <xf numFmtId="0" fontId="25" fillId="17" borderId="131" xfId="0" applyFont="1" applyFill="1" applyBorder="1" applyProtection="1">
      <protection locked="0"/>
    </xf>
    <xf numFmtId="1" fontId="25" fillId="14" borderId="131" xfId="0" applyNumberFormat="1" applyFont="1" applyFill="1" applyBorder="1"/>
    <xf numFmtId="2" fontId="0" fillId="0" borderId="0" xfId="0" applyNumberFormat="1"/>
    <xf numFmtId="0" fontId="23" fillId="43" borderId="0" xfId="0" applyFont="1" applyFill="1"/>
    <xf numFmtId="0" fontId="23" fillId="44" borderId="2" xfId="0" applyFont="1" applyFill="1" applyBorder="1" applyAlignment="1" applyProtection="1">
      <alignment horizontal="center" vertical="center"/>
      <protection locked="0"/>
    </xf>
    <xf numFmtId="0" fontId="23" fillId="44" borderId="2" xfId="0" applyFont="1" applyFill="1" applyBorder="1" applyAlignment="1" applyProtection="1">
      <alignment horizontal="center"/>
      <protection locked="0"/>
    </xf>
    <xf numFmtId="0" fontId="23" fillId="44" borderId="77" xfId="0" applyFont="1" applyFill="1" applyBorder="1" applyProtection="1">
      <protection locked="0"/>
    </xf>
    <xf numFmtId="0" fontId="23" fillId="44" borderId="111" xfId="0" applyFont="1" applyFill="1" applyBorder="1" applyProtection="1">
      <protection locked="0"/>
    </xf>
    <xf numFmtId="0" fontId="23" fillId="44" borderId="109" xfId="0" applyFont="1" applyFill="1" applyBorder="1" applyProtection="1">
      <protection locked="0"/>
    </xf>
    <xf numFmtId="0" fontId="23" fillId="44" borderId="112" xfId="0" applyFont="1" applyFill="1" applyBorder="1" applyProtection="1">
      <protection locked="0"/>
    </xf>
    <xf numFmtId="0" fontId="23" fillId="44" borderId="69" xfId="0" applyFont="1" applyFill="1" applyBorder="1" applyProtection="1">
      <protection locked="0"/>
    </xf>
    <xf numFmtId="1" fontId="73" fillId="45" borderId="2" xfId="0" applyNumberFormat="1" applyFont="1" applyFill="1" applyBorder="1" applyAlignment="1">
      <alignment horizontal="center"/>
    </xf>
    <xf numFmtId="0" fontId="23" fillId="43" borderId="0" xfId="0" applyFont="1" applyFill="1" applyAlignment="1">
      <alignment horizontal="center" wrapText="1"/>
    </xf>
    <xf numFmtId="0" fontId="23" fillId="43" borderId="0" xfId="0" applyFont="1" applyFill="1" applyAlignment="1">
      <alignment wrapText="1"/>
    </xf>
    <xf numFmtId="0" fontId="23" fillId="43" borderId="0" xfId="0" applyFont="1" applyFill="1" applyAlignment="1">
      <alignment horizontal="left" wrapText="1"/>
    </xf>
    <xf numFmtId="0" fontId="23" fillId="43" borderId="2" xfId="0" applyFont="1" applyFill="1" applyBorder="1" applyAlignment="1">
      <alignment horizontal="center"/>
    </xf>
    <xf numFmtId="0" fontId="23" fillId="43" borderId="37" xfId="0" applyFont="1" applyFill="1" applyBorder="1" applyAlignment="1">
      <alignment horizontal="center"/>
    </xf>
    <xf numFmtId="0" fontId="23" fillId="43" borderId="69" xfId="0" applyFont="1" applyFill="1" applyBorder="1" applyAlignment="1">
      <alignment horizontal="center"/>
    </xf>
    <xf numFmtId="0" fontId="23" fillId="43" borderId="0" xfId="0" applyFont="1" applyFill="1" applyAlignment="1">
      <alignment horizontal="center" vertical="center"/>
    </xf>
    <xf numFmtId="0" fontId="23" fillId="43" borderId="2" xfId="0" applyFont="1" applyFill="1" applyBorder="1"/>
    <xf numFmtId="0" fontId="23" fillId="43" borderId="73" xfId="0" applyFont="1" applyFill="1" applyBorder="1"/>
    <xf numFmtId="0" fontId="23" fillId="43" borderId="103" xfId="0" applyFont="1" applyFill="1" applyBorder="1"/>
    <xf numFmtId="0" fontId="23" fillId="47" borderId="51" xfId="10" applyNumberFormat="1" applyFont="1" applyFill="1" applyBorder="1" applyAlignment="1" applyProtection="1"/>
    <xf numFmtId="0" fontId="23" fillId="43" borderId="37" xfId="0" applyFont="1" applyFill="1" applyBorder="1"/>
    <xf numFmtId="0" fontId="23" fillId="43" borderId="0" xfId="0" applyFont="1" applyFill="1" applyAlignment="1">
      <alignment horizontal="right"/>
    </xf>
    <xf numFmtId="9" fontId="23" fillId="48" borderId="104" xfId="5" applyFont="1" applyFill="1" applyBorder="1" applyAlignment="1" applyProtection="1">
      <alignment horizontal="center"/>
    </xf>
    <xf numFmtId="9" fontId="23" fillId="48" borderId="69" xfId="5" applyFont="1" applyFill="1" applyBorder="1" applyAlignment="1" applyProtection="1">
      <alignment horizontal="center"/>
    </xf>
    <xf numFmtId="1" fontId="72" fillId="46" borderId="2" xfId="0" applyNumberFormat="1" applyFont="1" applyFill="1" applyBorder="1" applyAlignment="1">
      <alignment horizontal="center" vertical="center"/>
    </xf>
    <xf numFmtId="0" fontId="23" fillId="51" borderId="69" xfId="0" applyFont="1" applyFill="1" applyBorder="1"/>
    <xf numFmtId="0" fontId="23" fillId="50" borderId="27" xfId="0" applyFont="1" applyFill="1" applyBorder="1" applyAlignment="1">
      <alignment horizontal="center"/>
    </xf>
    <xf numFmtId="0" fontId="23" fillId="50" borderId="105" xfId="0" applyFont="1" applyFill="1" applyBorder="1" applyAlignment="1">
      <alignment horizontal="center"/>
    </xf>
    <xf numFmtId="0" fontId="23" fillId="50" borderId="102" xfId="0" applyFont="1" applyFill="1" applyBorder="1" applyAlignment="1">
      <alignment horizontal="center"/>
    </xf>
    <xf numFmtId="170" fontId="23" fillId="52" borderId="2" xfId="0" applyNumberFormat="1" applyFont="1" applyFill="1" applyBorder="1" applyAlignment="1">
      <alignment horizontal="center" vertical="center"/>
    </xf>
    <xf numFmtId="0" fontId="55" fillId="52" borderId="2" xfId="0" applyFont="1" applyFill="1" applyBorder="1" applyAlignment="1">
      <alignment horizontal="center" vertical="center"/>
    </xf>
    <xf numFmtId="4" fontId="23" fillId="52" borderId="2" xfId="0" applyNumberFormat="1" applyFont="1" applyFill="1" applyBorder="1"/>
    <xf numFmtId="0" fontId="23" fillId="52" borderId="2" xfId="0" applyFont="1" applyFill="1" applyBorder="1"/>
    <xf numFmtId="1" fontId="55" fillId="52" borderId="2" xfId="0" applyNumberFormat="1" applyFont="1" applyFill="1" applyBorder="1" applyAlignment="1">
      <alignment horizontal="center" vertical="center"/>
    </xf>
    <xf numFmtId="1" fontId="55" fillId="53" borderId="2" xfId="0" applyNumberFormat="1" applyFont="1" applyFill="1" applyBorder="1" applyAlignment="1">
      <alignment horizontal="center" vertical="center"/>
    </xf>
    <xf numFmtId="2" fontId="55" fillId="52" borderId="2" xfId="0" applyNumberFormat="1" applyFont="1" applyFill="1" applyBorder="1" applyAlignment="1">
      <alignment horizontal="center" vertical="center"/>
    </xf>
    <xf numFmtId="164" fontId="55" fillId="52" borderId="2" xfId="0" applyNumberFormat="1" applyFont="1" applyFill="1" applyBorder="1" applyAlignment="1">
      <alignment horizontal="center" vertical="center"/>
    </xf>
    <xf numFmtId="0" fontId="55" fillId="50" borderId="2" xfId="0" applyFont="1" applyFill="1" applyBorder="1" applyAlignment="1">
      <alignment horizontal="center" vertical="center"/>
    </xf>
    <xf numFmtId="0" fontId="23" fillId="52" borderId="2" xfId="0" applyFont="1" applyFill="1" applyBorder="1" applyAlignment="1">
      <alignment horizontal="center"/>
    </xf>
    <xf numFmtId="0" fontId="64" fillId="52" borderId="2" xfId="0" applyFont="1" applyFill="1" applyBorder="1" applyAlignment="1">
      <alignment horizontal="center"/>
    </xf>
    <xf numFmtId="0" fontId="64" fillId="52" borderId="73" xfId="0" applyFont="1" applyFill="1" applyBorder="1" applyAlignment="1">
      <alignment horizontal="center"/>
    </xf>
    <xf numFmtId="0" fontId="23" fillId="52" borderId="70" xfId="9" applyNumberFormat="1" applyFont="1" applyFill="1" applyBorder="1" applyAlignment="1" applyProtection="1">
      <alignment horizontal="center" vertical="center"/>
    </xf>
    <xf numFmtId="0" fontId="23" fillId="52" borderId="50" xfId="0" applyFont="1" applyFill="1" applyBorder="1" applyAlignment="1">
      <alignment horizontal="center" vertical="center"/>
    </xf>
    <xf numFmtId="1" fontId="23" fillId="52" borderId="50" xfId="9" applyNumberFormat="1" applyFont="1" applyFill="1" applyBorder="1" applyAlignment="1" applyProtection="1">
      <alignment horizontal="center" vertical="center"/>
    </xf>
    <xf numFmtId="0" fontId="23" fillId="52" borderId="105" xfId="0" applyFont="1" applyFill="1" applyBorder="1" applyAlignment="1">
      <alignment horizontal="center" vertical="center"/>
    </xf>
    <xf numFmtId="0" fontId="55" fillId="52" borderId="2" xfId="0" applyFont="1" applyFill="1" applyBorder="1"/>
    <xf numFmtId="0" fontId="23" fillId="50" borderId="2" xfId="0" applyFont="1" applyFill="1" applyBorder="1"/>
    <xf numFmtId="0" fontId="23" fillId="50" borderId="2" xfId="0" applyFont="1" applyFill="1" applyBorder="1" applyAlignment="1">
      <alignment horizontal="center"/>
    </xf>
    <xf numFmtId="2" fontId="23" fillId="52" borderId="108" xfId="0" applyNumberFormat="1" applyFont="1" applyFill="1" applyBorder="1"/>
    <xf numFmtId="2" fontId="23" fillId="52" borderId="73" xfId="0" applyNumberFormat="1" applyFont="1" applyFill="1" applyBorder="1"/>
    <xf numFmtId="0" fontId="23" fillId="54" borderId="73" xfId="0" applyFont="1" applyFill="1" applyBorder="1"/>
    <xf numFmtId="0" fontId="74" fillId="0" borderId="0" xfId="0" applyFont="1"/>
    <xf numFmtId="0" fontId="8" fillId="55" borderId="0" xfId="2" applyFill="1"/>
    <xf numFmtId="0" fontId="8" fillId="55" borderId="0" xfId="2" applyFill="1" applyAlignment="1">
      <alignment vertical="center"/>
    </xf>
    <xf numFmtId="0" fontId="8" fillId="55" borderId="0" xfId="2" applyFill="1" applyAlignment="1">
      <alignment horizontal="center"/>
    </xf>
    <xf numFmtId="0" fontId="8" fillId="55" borderId="0" xfId="2" applyFill="1" applyAlignment="1">
      <alignment horizontal="center" vertical="center"/>
    </xf>
    <xf numFmtId="2" fontId="8" fillId="55" borderId="0" xfId="2" applyNumberFormat="1" applyFill="1" applyAlignment="1">
      <alignment horizontal="center" vertical="center"/>
    </xf>
    <xf numFmtId="0" fontId="8" fillId="55" borderId="0" xfId="2" applyFill="1" applyAlignment="1">
      <alignment horizontal="right" vertical="center"/>
    </xf>
    <xf numFmtId="0" fontId="9" fillId="55" borderId="0" xfId="0" applyFont="1" applyFill="1"/>
    <xf numFmtId="16" fontId="8" fillId="55" borderId="0" xfId="2" applyNumberFormat="1" applyFill="1"/>
    <xf numFmtId="0" fontId="9" fillId="55" borderId="0" xfId="0" applyFont="1" applyFill="1" applyAlignment="1">
      <alignment horizontal="center"/>
    </xf>
    <xf numFmtId="0" fontId="76" fillId="55" borderId="0" xfId="2" applyFont="1" applyFill="1"/>
    <xf numFmtId="0" fontId="76" fillId="55" borderId="0" xfId="0" applyFont="1" applyFill="1"/>
    <xf numFmtId="0" fontId="9" fillId="55" borderId="0" xfId="2" applyFont="1" applyFill="1"/>
    <xf numFmtId="0" fontId="8" fillId="55" borderId="0" xfId="2" applyFill="1" applyAlignment="1">
      <alignment horizontal="right"/>
    </xf>
    <xf numFmtId="0" fontId="9" fillId="55" borderId="0" xfId="6" applyFont="1" applyFill="1"/>
    <xf numFmtId="0" fontId="77" fillId="55" borderId="0" xfId="2" applyFont="1" applyFill="1"/>
    <xf numFmtId="0" fontId="78" fillId="55" borderId="0" xfId="2" applyFont="1" applyFill="1" applyAlignment="1">
      <alignment horizontal="center"/>
    </xf>
    <xf numFmtId="0" fontId="78" fillId="55" borderId="0" xfId="0" applyFont="1" applyFill="1" applyAlignment="1">
      <alignment horizontal="center"/>
    </xf>
    <xf numFmtId="0" fontId="78" fillId="55" borderId="0" xfId="0" applyFont="1" applyFill="1"/>
    <xf numFmtId="0" fontId="15" fillId="57" borderId="21" xfId="2" applyFont="1" applyFill="1" applyBorder="1" applyAlignment="1">
      <alignment horizontal="center"/>
    </xf>
    <xf numFmtId="0" fontId="15" fillId="58" borderId="23" xfId="2" applyFont="1" applyFill="1" applyBorder="1" applyAlignment="1">
      <alignment horizontal="center"/>
    </xf>
    <xf numFmtId="0" fontId="13" fillId="56" borderId="13" xfId="6" applyFont="1" applyFill="1" applyBorder="1" applyAlignment="1">
      <alignment horizontal="center"/>
    </xf>
    <xf numFmtId="0" fontId="9" fillId="56" borderId="13" xfId="6" applyFont="1" applyFill="1" applyBorder="1" applyAlignment="1">
      <alignment horizontal="center"/>
    </xf>
    <xf numFmtId="0" fontId="9" fillId="56" borderId="7" xfId="6" applyFont="1" applyFill="1" applyBorder="1" applyAlignment="1">
      <alignment horizontal="center"/>
    </xf>
    <xf numFmtId="0" fontId="8" fillId="56" borderId="18" xfId="2" applyFill="1" applyBorder="1" applyAlignment="1">
      <alignment horizontal="center"/>
    </xf>
    <xf numFmtId="0" fontId="8" fillId="56" borderId="16" xfId="2" applyFill="1" applyBorder="1" applyAlignment="1">
      <alignment horizontal="center"/>
    </xf>
    <xf numFmtId="0" fontId="8" fillId="56" borderId="10" xfId="2" applyFill="1" applyBorder="1" applyAlignment="1">
      <alignment horizontal="center"/>
    </xf>
    <xf numFmtId="0" fontId="8" fillId="56" borderId="21" xfId="2" applyFill="1" applyBorder="1" applyAlignment="1">
      <alignment horizontal="center"/>
    </xf>
    <xf numFmtId="0" fontId="8" fillId="56" borderId="13" xfId="2" applyFill="1" applyBorder="1" applyAlignment="1">
      <alignment horizontal="center"/>
    </xf>
    <xf numFmtId="0" fontId="9" fillId="56" borderId="13" xfId="0" applyFont="1" applyFill="1" applyBorder="1" applyAlignment="1">
      <alignment horizontal="center"/>
    </xf>
    <xf numFmtId="0" fontId="8" fillId="56" borderId="7" xfId="2" applyFill="1" applyBorder="1" applyAlignment="1">
      <alignment horizontal="center"/>
    </xf>
    <xf numFmtId="0" fontId="8" fillId="56" borderId="21" xfId="2" applyFill="1" applyBorder="1" applyAlignment="1">
      <alignment horizontal="center" vertical="center"/>
    </xf>
    <xf numFmtId="0" fontId="9" fillId="56" borderId="7" xfId="0" applyFont="1" applyFill="1" applyBorder="1" applyAlignment="1">
      <alignment horizontal="center"/>
    </xf>
    <xf numFmtId="0" fontId="9" fillId="56" borderId="18" xfId="6" applyFont="1" applyFill="1" applyBorder="1" applyAlignment="1">
      <alignment horizontal="center"/>
    </xf>
    <xf numFmtId="0" fontId="9" fillId="56" borderId="10" xfId="6" applyFont="1" applyFill="1" applyBorder="1" applyAlignment="1">
      <alignment horizontal="center"/>
    </xf>
    <xf numFmtId="0" fontId="9" fillId="56" borderId="16" xfId="6" applyFont="1" applyFill="1" applyBorder="1" applyAlignment="1">
      <alignment horizontal="center"/>
    </xf>
    <xf numFmtId="0" fontId="8" fillId="56" borderId="51" xfId="2" applyFill="1" applyBorder="1" applyAlignment="1">
      <alignment horizontal="center" vertical="center"/>
    </xf>
    <xf numFmtId="0" fontId="8" fillId="56" borderId="49" xfId="2" applyFill="1" applyBorder="1" applyAlignment="1">
      <alignment horizontal="center" vertical="center"/>
    </xf>
    <xf numFmtId="0" fontId="8" fillId="56" borderId="23" xfId="2" applyFill="1" applyBorder="1" applyAlignment="1">
      <alignment horizontal="center" vertical="center"/>
    </xf>
    <xf numFmtId="0" fontId="8" fillId="56" borderId="20" xfId="2" applyFill="1" applyBorder="1" applyAlignment="1">
      <alignment horizontal="center" vertical="center"/>
    </xf>
    <xf numFmtId="0" fontId="8" fillId="56" borderId="47" xfId="2" applyFill="1" applyBorder="1" applyAlignment="1">
      <alignment horizontal="center" vertical="center"/>
    </xf>
    <xf numFmtId="0" fontId="8" fillId="56" borderId="46" xfId="2" applyFill="1" applyBorder="1" applyAlignment="1">
      <alignment horizontal="center" vertical="center"/>
    </xf>
    <xf numFmtId="0" fontId="8" fillId="56" borderId="45" xfId="2" applyFill="1" applyBorder="1" applyAlignment="1">
      <alignment horizontal="center" vertical="center"/>
    </xf>
    <xf numFmtId="0" fontId="8" fillId="56" borderId="44" xfId="2" applyFill="1" applyBorder="1" applyAlignment="1">
      <alignment horizontal="center" vertical="center"/>
    </xf>
    <xf numFmtId="0" fontId="8" fillId="56" borderId="43" xfId="2" applyFill="1" applyBorder="1" applyAlignment="1">
      <alignment horizontal="center" vertical="center"/>
    </xf>
    <xf numFmtId="0" fontId="8" fillId="56" borderId="42" xfId="2" applyFill="1" applyBorder="1" applyAlignment="1">
      <alignment horizontal="center" vertical="center"/>
    </xf>
    <xf numFmtId="0" fontId="8" fillId="56" borderId="11" xfId="2" applyFill="1" applyBorder="1" applyAlignment="1">
      <alignment horizontal="center"/>
    </xf>
    <xf numFmtId="0" fontId="9" fillId="56" borderId="11" xfId="0" applyFont="1" applyFill="1" applyBorder="1" applyAlignment="1">
      <alignment horizontal="center"/>
    </xf>
    <xf numFmtId="0" fontId="8" fillId="56" borderId="5" xfId="2" applyFill="1" applyBorder="1" applyAlignment="1">
      <alignment horizontal="center"/>
    </xf>
    <xf numFmtId="0" fontId="8" fillId="56" borderId="36" xfId="2" applyFill="1" applyBorder="1" applyAlignment="1">
      <alignment horizontal="center"/>
    </xf>
    <xf numFmtId="0" fontId="8" fillId="56" borderId="34" xfId="2" applyFill="1" applyBorder="1" applyAlignment="1">
      <alignment horizontal="center"/>
    </xf>
    <xf numFmtId="0" fontId="8" fillId="56" borderId="30" xfId="2" applyFill="1" applyBorder="1" applyAlignment="1">
      <alignment horizontal="center"/>
    </xf>
    <xf numFmtId="0" fontId="8" fillId="56" borderId="28" xfId="2" applyFill="1" applyBorder="1" applyAlignment="1">
      <alignment horizontal="center"/>
    </xf>
    <xf numFmtId="0" fontId="8" fillId="56" borderId="26" xfId="2" applyFill="1" applyBorder="1" applyAlignment="1">
      <alignment horizontal="center" vertical="center"/>
    </xf>
    <xf numFmtId="0" fontId="8" fillId="5" borderId="22" xfId="2" applyFill="1" applyBorder="1" applyAlignment="1">
      <alignment horizontal="center" vertical="center"/>
    </xf>
    <xf numFmtId="0" fontId="8" fillId="56" borderId="24" xfId="2" applyFill="1" applyBorder="1" applyAlignment="1">
      <alignment horizontal="center" vertical="center"/>
    </xf>
    <xf numFmtId="0" fontId="14" fillId="58" borderId="22" xfId="6" applyFont="1" applyFill="1" applyBorder="1" applyAlignment="1">
      <alignment horizontal="center"/>
    </xf>
    <xf numFmtId="0" fontId="14" fillId="58" borderId="19" xfId="6" applyFont="1" applyFill="1" applyBorder="1" applyAlignment="1">
      <alignment horizontal="center"/>
    </xf>
    <xf numFmtId="0" fontId="8" fillId="59" borderId="13" xfId="2" applyFill="1" applyBorder="1" applyAlignment="1">
      <alignment horizontal="center" vertical="center"/>
    </xf>
    <xf numFmtId="0" fontId="8" fillId="59" borderId="1" xfId="2" applyFill="1" applyBorder="1" applyAlignment="1">
      <alignment horizontal="center" vertical="center"/>
    </xf>
    <xf numFmtId="0" fontId="8" fillId="60" borderId="13" xfId="2" applyFill="1" applyBorder="1" applyAlignment="1">
      <alignment horizontal="center" vertical="center"/>
    </xf>
    <xf numFmtId="0" fontId="8" fillId="60" borderId="1" xfId="2" applyFill="1" applyBorder="1" applyAlignment="1">
      <alignment horizontal="center" vertical="center"/>
    </xf>
    <xf numFmtId="0" fontId="8" fillId="59" borderId="11" xfId="2" applyFill="1" applyBorder="1" applyAlignment="1">
      <alignment horizontal="center" vertical="center"/>
    </xf>
    <xf numFmtId="0" fontId="8" fillId="59" borderId="50" xfId="2" applyFill="1" applyBorder="1" applyAlignment="1">
      <alignment horizontal="center" vertical="center"/>
    </xf>
    <xf numFmtId="0" fontId="8" fillId="59" borderId="48" xfId="2" applyFill="1" applyBorder="1" applyAlignment="1">
      <alignment horizontal="center" vertical="center"/>
    </xf>
    <xf numFmtId="0" fontId="8" fillId="59" borderId="20" xfId="2" applyFill="1" applyBorder="1" applyAlignment="1">
      <alignment horizontal="center" vertical="center"/>
    </xf>
    <xf numFmtId="165" fontId="8" fillId="59" borderId="11" xfId="2" applyNumberFormat="1" applyFill="1" applyBorder="1" applyAlignment="1">
      <alignment horizontal="center" vertical="center"/>
    </xf>
    <xf numFmtId="1" fontId="8" fillId="59" borderId="11" xfId="2" applyNumberFormat="1" applyFill="1" applyBorder="1" applyAlignment="1">
      <alignment horizontal="center" vertical="center"/>
    </xf>
    <xf numFmtId="1" fontId="8" fillId="59" borderId="5" xfId="2" applyNumberFormat="1" applyFill="1" applyBorder="1" applyAlignment="1">
      <alignment horizontal="center" vertical="center"/>
    </xf>
    <xf numFmtId="164" fontId="8" fillId="59" borderId="7" xfId="2" applyNumberFormat="1" applyFill="1" applyBorder="1" applyAlignment="1">
      <alignment horizontal="center" vertical="center"/>
    </xf>
    <xf numFmtId="0" fontId="8" fillId="59" borderId="41" xfId="2" applyFill="1" applyBorder="1" applyAlignment="1">
      <alignment horizontal="center" vertical="center"/>
    </xf>
    <xf numFmtId="0" fontId="8" fillId="60" borderId="13" xfId="2" applyFill="1" applyBorder="1" applyAlignment="1">
      <alignment horizontal="center"/>
    </xf>
    <xf numFmtId="0" fontId="8" fillId="60" borderId="7" xfId="0" applyFont="1" applyFill="1" applyBorder="1" applyAlignment="1">
      <alignment horizontal="center"/>
    </xf>
    <xf numFmtId="164" fontId="8" fillId="59" borderId="19" xfId="2" applyNumberFormat="1" applyFill="1" applyBorder="1" applyAlignment="1">
      <alignment horizontal="center" vertical="center"/>
    </xf>
    <xf numFmtId="164" fontId="17" fillId="59" borderId="11" xfId="2" applyNumberFormat="1" applyFont="1" applyFill="1" applyBorder="1" applyAlignment="1">
      <alignment horizontal="center" vertical="center"/>
    </xf>
    <xf numFmtId="164" fontId="8" fillId="59" borderId="11" xfId="2" applyNumberFormat="1" applyFill="1" applyBorder="1" applyAlignment="1">
      <alignment horizontal="center" vertical="center"/>
    </xf>
    <xf numFmtId="164" fontId="8" fillId="59" borderId="5" xfId="2" applyNumberFormat="1" applyFill="1" applyBorder="1" applyAlignment="1">
      <alignment horizontal="center" vertical="center"/>
    </xf>
    <xf numFmtId="0" fontId="8" fillId="59" borderId="31" xfId="2" applyFill="1" applyBorder="1" applyAlignment="1">
      <alignment horizontal="center" vertical="center"/>
    </xf>
    <xf numFmtId="0" fontId="8" fillId="59" borderId="30" xfId="2" applyFill="1" applyBorder="1" applyAlignment="1">
      <alignment horizontal="center" vertical="center"/>
    </xf>
    <xf numFmtId="164" fontId="9" fillId="59" borderId="29" xfId="2" applyNumberFormat="1" applyFont="1" applyFill="1" applyBorder="1" applyAlignment="1">
      <alignment horizontal="center" vertical="center"/>
    </xf>
    <xf numFmtId="164" fontId="9" fillId="59" borderId="28" xfId="2" applyNumberFormat="1" applyFont="1" applyFill="1" applyBorder="1" applyAlignment="1">
      <alignment horizontal="center" vertical="center"/>
    </xf>
    <xf numFmtId="0" fontId="9" fillId="59" borderId="15" xfId="6" applyFont="1" applyFill="1" applyBorder="1" applyAlignment="1">
      <alignment horizontal="center"/>
    </xf>
    <xf numFmtId="1" fontId="9" fillId="59" borderId="13" xfId="6" applyNumberFormat="1" applyFont="1" applyFill="1" applyBorder="1" applyAlignment="1">
      <alignment horizontal="center"/>
    </xf>
    <xf numFmtId="1" fontId="9" fillId="59" borderId="11" xfId="6" applyNumberFormat="1" applyFont="1" applyFill="1" applyBorder="1" applyAlignment="1">
      <alignment horizontal="center"/>
    </xf>
    <xf numFmtId="1" fontId="9" fillId="59" borderId="7" xfId="6" applyNumberFormat="1" applyFont="1" applyFill="1" applyBorder="1" applyAlignment="1">
      <alignment horizontal="center"/>
    </xf>
    <xf numFmtId="1" fontId="9" fillId="59" borderId="5" xfId="6" applyNumberFormat="1" applyFont="1" applyFill="1" applyBorder="1" applyAlignment="1">
      <alignment horizontal="center"/>
    </xf>
    <xf numFmtId="9" fontId="8" fillId="61" borderId="7" xfId="5" applyFont="1" applyFill="1" applyBorder="1" applyAlignment="1" applyProtection="1">
      <alignment horizontal="center" vertical="center"/>
    </xf>
    <xf numFmtId="9" fontId="8" fillId="61" borderId="41" xfId="5" applyFont="1" applyFill="1" applyBorder="1" applyAlignment="1" applyProtection="1">
      <alignment horizontal="center" vertical="center"/>
    </xf>
    <xf numFmtId="2" fontId="8" fillId="61" borderId="37" xfId="2" applyNumberFormat="1" applyFill="1" applyBorder="1" applyAlignment="1">
      <alignment horizontal="center" vertical="center"/>
    </xf>
    <xf numFmtId="0" fontId="8" fillId="61" borderId="35" xfId="2" applyFill="1" applyBorder="1" applyAlignment="1">
      <alignment horizontal="center" vertical="center"/>
    </xf>
    <xf numFmtId="2" fontId="8" fillId="6" borderId="39" xfId="2" applyNumberFormat="1" applyFill="1" applyBorder="1" applyAlignment="1">
      <alignment horizontal="center" vertical="center"/>
    </xf>
    <xf numFmtId="0" fontId="8" fillId="5" borderId="26" xfId="2" applyFill="1" applyBorder="1" applyAlignment="1">
      <alignment horizontal="center" vertical="center"/>
    </xf>
    <xf numFmtId="0" fontId="8" fillId="56" borderId="33" xfId="2" applyFill="1" applyBorder="1" applyAlignment="1">
      <alignment horizontal="center"/>
    </xf>
    <xf numFmtId="0" fontId="8" fillId="56" borderId="32" xfId="2" applyFill="1" applyBorder="1" applyAlignment="1">
      <alignment horizontal="center"/>
    </xf>
    <xf numFmtId="0" fontId="9" fillId="59" borderId="9" xfId="6" applyFont="1" applyFill="1" applyBorder="1" applyAlignment="1">
      <alignment horizontal="center"/>
    </xf>
    <xf numFmtId="0" fontId="6" fillId="60" borderId="30" xfId="0" applyFont="1" applyFill="1" applyBorder="1" applyAlignment="1" applyProtection="1">
      <alignment horizontal="center"/>
      <protection locked="0"/>
    </xf>
    <xf numFmtId="0" fontId="6" fillId="60" borderId="28" xfId="0" applyFont="1" applyFill="1" applyBorder="1" applyAlignment="1" applyProtection="1">
      <alignment horizontal="center"/>
      <protection locked="0"/>
    </xf>
    <xf numFmtId="1" fontId="0" fillId="60" borderId="5" xfId="0" applyNumberFormat="1" applyFill="1" applyBorder="1"/>
    <xf numFmtId="1" fontId="0" fillId="60" borderId="11" xfId="0" applyNumberFormat="1" applyFill="1" applyBorder="1" applyAlignment="1">
      <alignment horizontal="center"/>
    </xf>
    <xf numFmtId="1" fontId="0" fillId="60" borderId="5" xfId="0" applyNumberFormat="1" applyFill="1" applyBorder="1" applyAlignment="1">
      <alignment horizontal="center"/>
    </xf>
    <xf numFmtId="1" fontId="8" fillId="59" borderId="92" xfId="2" applyNumberFormat="1" applyFill="1" applyBorder="1" applyAlignment="1">
      <alignment horizontal="center" vertical="center"/>
    </xf>
    <xf numFmtId="1" fontId="8" fillId="59" borderId="30" xfId="2" applyNumberFormat="1" applyFill="1" applyBorder="1" applyAlignment="1">
      <alignment horizontal="center" vertical="center"/>
    </xf>
    <xf numFmtId="1" fontId="8" fillId="59" borderId="28" xfId="2" applyNumberFormat="1" applyFill="1" applyBorder="1" applyAlignment="1">
      <alignment horizontal="center" vertical="center"/>
    </xf>
    <xf numFmtId="0" fontId="8" fillId="58" borderId="31" xfId="2" applyFill="1" applyBorder="1" applyAlignment="1" applyProtection="1">
      <alignment horizontal="right"/>
      <protection locked="0"/>
    </xf>
    <xf numFmtId="0" fontId="8" fillId="58" borderId="29" xfId="2" applyFill="1" applyBorder="1" applyAlignment="1" applyProtection="1">
      <alignment horizontal="right"/>
      <protection locked="0"/>
    </xf>
    <xf numFmtId="0" fontId="0" fillId="56" borderId="26" xfId="0" applyFill="1" applyBorder="1"/>
    <xf numFmtId="0" fontId="7" fillId="60" borderId="24" xfId="0" applyFont="1" applyFill="1" applyBorder="1" applyAlignment="1">
      <alignment horizontal="center"/>
    </xf>
    <xf numFmtId="0" fontId="0" fillId="56" borderId="33" xfId="0" applyFill="1" applyBorder="1" applyAlignment="1">
      <alignment horizontal="center"/>
    </xf>
    <xf numFmtId="0" fontId="0" fillId="56" borderId="88" xfId="0" applyFill="1" applyBorder="1"/>
    <xf numFmtId="0" fontId="0" fillId="56" borderId="93" xfId="0" applyFill="1" applyBorder="1"/>
    <xf numFmtId="0" fontId="0" fillId="56" borderId="85" xfId="0" applyFill="1" applyBorder="1"/>
    <xf numFmtId="0" fontId="0" fillId="56" borderId="95" xfId="0" applyFill="1" applyBorder="1"/>
    <xf numFmtId="0" fontId="0" fillId="56" borderId="12" xfId="0" applyFill="1" applyBorder="1" applyAlignment="1">
      <alignment horizontal="center"/>
    </xf>
    <xf numFmtId="0" fontId="0" fillId="56" borderId="96" xfId="0" applyFill="1" applyBorder="1"/>
    <xf numFmtId="0" fontId="0" fillId="56" borderId="6" xfId="0" applyFill="1" applyBorder="1" applyAlignment="1">
      <alignment horizontal="center"/>
    </xf>
    <xf numFmtId="0" fontId="0" fillId="56" borderId="13" xfId="0" applyFill="1" applyBorder="1" applyAlignment="1">
      <alignment horizontal="left"/>
    </xf>
    <xf numFmtId="0" fontId="0" fillId="56" borderId="1" xfId="0" applyFill="1" applyBorder="1" applyAlignment="1">
      <alignment horizontal="right"/>
    </xf>
    <xf numFmtId="0" fontId="0" fillId="56" borderId="7" xfId="0" applyFill="1" applyBorder="1" applyAlignment="1">
      <alignment horizontal="left"/>
    </xf>
    <xf numFmtId="0" fontId="0" fillId="56" borderId="41" xfId="0" applyFill="1" applyBorder="1" applyAlignment="1">
      <alignment horizontal="right"/>
    </xf>
    <xf numFmtId="0" fontId="15" fillId="58" borderId="92" xfId="2" applyFont="1" applyFill="1" applyBorder="1" applyAlignment="1" applyProtection="1">
      <alignment horizontal="center"/>
      <protection locked="0"/>
    </xf>
    <xf numFmtId="0" fontId="79" fillId="0" borderId="0" xfId="0" applyFont="1"/>
    <xf numFmtId="0" fontId="0" fillId="0" borderId="0" xfId="0" applyAlignment="1">
      <alignment wrapText="1"/>
    </xf>
    <xf numFmtId="0" fontId="32" fillId="9" borderId="132" xfId="6" applyFont="1" applyFill="1" applyBorder="1" applyAlignment="1">
      <alignment horizontal="center"/>
    </xf>
    <xf numFmtId="0" fontId="10" fillId="27" borderId="133" xfId="6" applyFill="1" applyBorder="1" applyAlignment="1">
      <alignment horizontal="center"/>
    </xf>
    <xf numFmtId="0" fontId="10" fillId="27" borderId="134" xfId="6" applyFill="1" applyBorder="1" applyAlignment="1">
      <alignment horizontal="center"/>
    </xf>
    <xf numFmtId="0" fontId="10" fillId="27" borderId="135" xfId="6" applyFill="1" applyBorder="1" applyAlignment="1">
      <alignment horizontal="center"/>
    </xf>
    <xf numFmtId="0" fontId="10" fillId="27" borderId="136" xfId="6" applyFill="1" applyBorder="1" applyAlignment="1">
      <alignment horizontal="center"/>
    </xf>
    <xf numFmtId="0" fontId="10" fillId="27" borderId="137" xfId="6" applyFill="1" applyBorder="1" applyAlignment="1">
      <alignment horizontal="center"/>
    </xf>
    <xf numFmtId="0" fontId="10" fillId="27" borderId="138" xfId="6" applyFill="1" applyBorder="1" applyAlignment="1">
      <alignment horizontal="center"/>
    </xf>
    <xf numFmtId="0" fontId="10" fillId="27" borderId="139" xfId="6" applyFill="1" applyBorder="1" applyAlignment="1">
      <alignment horizontal="center"/>
    </xf>
    <xf numFmtId="0" fontId="14" fillId="58" borderId="141" xfId="6" applyFont="1" applyFill="1" applyBorder="1" applyAlignment="1">
      <alignment horizontal="center"/>
    </xf>
    <xf numFmtId="1" fontId="9" fillId="59" borderId="14" xfId="6" applyNumberFormat="1" applyFont="1" applyFill="1" applyBorder="1" applyAlignment="1">
      <alignment horizontal="center"/>
    </xf>
    <xf numFmtId="1" fontId="9" fillId="59" borderId="8" xfId="6" applyNumberFormat="1" applyFont="1" applyFill="1" applyBorder="1" applyAlignment="1">
      <alignment horizontal="center"/>
    </xf>
    <xf numFmtId="0" fontId="8" fillId="55" borderId="0" xfId="2" applyFill="1" applyAlignment="1">
      <alignment horizontal="left"/>
    </xf>
    <xf numFmtId="0" fontId="78" fillId="55" borderId="0" xfId="2" applyFont="1" applyFill="1" applyAlignment="1">
      <alignment horizontal="center" vertical="center"/>
    </xf>
    <xf numFmtId="0" fontId="78" fillId="55" borderId="0" xfId="2" applyFont="1" applyFill="1"/>
    <xf numFmtId="0" fontId="80" fillId="55" borderId="0" xfId="2" applyFont="1" applyFill="1" applyAlignment="1">
      <alignment horizontal="left"/>
    </xf>
    <xf numFmtId="0" fontId="80" fillId="55" borderId="0" xfId="0" applyFont="1" applyFill="1"/>
    <xf numFmtId="1" fontId="9" fillId="6" borderId="14" xfId="6" applyNumberFormat="1" applyFont="1" applyFill="1" applyBorder="1" applyAlignment="1">
      <alignment horizontal="center"/>
    </xf>
    <xf numFmtId="1" fontId="9" fillId="6" borderId="8" xfId="6" applyNumberFormat="1" applyFont="1" applyFill="1" applyBorder="1" applyAlignment="1">
      <alignment horizontal="center"/>
    </xf>
    <xf numFmtId="1" fontId="9" fillId="63" borderId="13" xfId="6" applyNumberFormat="1" applyFont="1" applyFill="1" applyBorder="1" applyAlignment="1">
      <alignment horizontal="center"/>
    </xf>
    <xf numFmtId="1" fontId="9" fillId="63" borderId="11" xfId="6" applyNumberFormat="1" applyFont="1" applyFill="1" applyBorder="1" applyAlignment="1">
      <alignment horizontal="center"/>
    </xf>
    <xf numFmtId="1" fontId="9" fillId="63" borderId="7" xfId="6" applyNumberFormat="1" applyFont="1" applyFill="1" applyBorder="1" applyAlignment="1">
      <alignment horizontal="center"/>
    </xf>
    <xf numFmtId="1" fontId="9" fillId="63" borderId="5" xfId="6" applyNumberFormat="1" applyFont="1" applyFill="1" applyBorder="1" applyAlignment="1">
      <alignment horizontal="center"/>
    </xf>
    <xf numFmtId="0" fontId="81" fillId="55" borderId="0" xfId="2" applyFont="1" applyFill="1" applyAlignment="1">
      <alignment horizontal="right"/>
    </xf>
    <xf numFmtId="16" fontId="81" fillId="55" borderId="0" xfId="2" applyNumberFormat="1" applyFont="1" applyFill="1" applyAlignment="1">
      <alignment horizontal="right"/>
    </xf>
    <xf numFmtId="0" fontId="81" fillId="55" borderId="0" xfId="2" applyFont="1" applyFill="1"/>
    <xf numFmtId="0" fontId="81" fillId="55" borderId="0" xfId="2" applyFont="1" applyFill="1" applyAlignment="1">
      <alignment horizontal="left"/>
    </xf>
    <xf numFmtId="0" fontId="82" fillId="62" borderId="0" xfId="6" applyFont="1" applyFill="1" applyAlignment="1">
      <alignment horizontal="right"/>
    </xf>
    <xf numFmtId="0" fontId="14" fillId="65" borderId="0" xfId="6" applyFont="1" applyFill="1" applyAlignment="1">
      <alignment horizontal="center"/>
    </xf>
    <xf numFmtId="1" fontId="9" fillId="64" borderId="0" xfId="6" applyNumberFormat="1" applyFont="1" applyFill="1" applyAlignment="1">
      <alignment horizontal="center"/>
    </xf>
    <xf numFmtId="0" fontId="8" fillId="64" borderId="0" xfId="2" applyFill="1" applyAlignment="1">
      <alignment horizontal="center" vertical="center"/>
    </xf>
    <xf numFmtId="0" fontId="30" fillId="66" borderId="1" xfId="0" applyFont="1" applyFill="1" applyBorder="1" applyAlignment="1">
      <alignment horizontal="center"/>
    </xf>
    <xf numFmtId="0" fontId="30" fillId="67" borderId="1" xfId="0" applyFont="1" applyFill="1" applyBorder="1" applyAlignment="1">
      <alignment horizontal="center"/>
    </xf>
    <xf numFmtId="0" fontId="76" fillId="55" borderId="0" xfId="2" applyFont="1" applyFill="1" applyAlignment="1">
      <alignment horizontal="center"/>
    </xf>
    <xf numFmtId="0" fontId="23" fillId="49" borderId="0" xfId="0" applyFont="1" applyFill="1" applyAlignment="1">
      <alignment horizontal="left" vertical="center"/>
    </xf>
    <xf numFmtId="0" fontId="23" fillId="47" borderId="71" xfId="10" applyNumberFormat="1" applyFont="1" applyFill="1" applyBorder="1" applyAlignment="1" applyProtection="1">
      <alignment horizontal="center"/>
    </xf>
    <xf numFmtId="0" fontId="23" fillId="55" borderId="0" xfId="0" applyFont="1" applyFill="1"/>
    <xf numFmtId="0" fontId="83" fillId="34" borderId="0" xfId="0" applyFont="1" applyFill="1" applyAlignment="1">
      <alignment horizontal="center"/>
    </xf>
    <xf numFmtId="9" fontId="23" fillId="48" borderId="143" xfId="5" applyFont="1" applyFill="1" applyBorder="1" applyAlignment="1" applyProtection="1">
      <alignment horizontal="center"/>
    </xf>
    <xf numFmtId="9" fontId="23" fillId="48" borderId="142" xfId="5" applyFont="1" applyFill="1" applyBorder="1" applyAlignment="1" applyProtection="1">
      <alignment horizontal="center"/>
    </xf>
    <xf numFmtId="0" fontId="23" fillId="44" borderId="37" xfId="0" applyFont="1" applyFill="1" applyBorder="1" applyAlignment="1" applyProtection="1">
      <alignment horizontal="center"/>
      <protection locked="0"/>
    </xf>
    <xf numFmtId="0" fontId="64" fillId="52" borderId="1" xfId="0" applyFont="1" applyFill="1" applyBorder="1" applyAlignment="1">
      <alignment horizontal="center"/>
    </xf>
    <xf numFmtId="0" fontId="23" fillId="43" borderId="53" xfId="0" applyFont="1" applyFill="1" applyBorder="1"/>
    <xf numFmtId="0" fontId="23" fillId="69" borderId="0" xfId="0" applyFont="1" applyFill="1"/>
    <xf numFmtId="0" fontId="23" fillId="69" borderId="0" xfId="0" applyFont="1" applyFill="1" applyAlignment="1">
      <alignment horizontal="center" vertical="center"/>
    </xf>
    <xf numFmtId="0" fontId="23" fillId="70" borderId="0" xfId="0" applyFont="1" applyFill="1"/>
    <xf numFmtId="1" fontId="72" fillId="46" borderId="37" xfId="0" applyNumberFormat="1" applyFont="1" applyFill="1" applyBorder="1" applyAlignment="1">
      <alignment horizontal="center" vertical="center"/>
    </xf>
    <xf numFmtId="1" fontId="55" fillId="51" borderId="1" xfId="0" applyNumberFormat="1" applyFont="1" applyFill="1" applyBorder="1" applyAlignment="1">
      <alignment horizontal="center" vertical="center"/>
    </xf>
    <xf numFmtId="0" fontId="23" fillId="70" borderId="0" xfId="0" applyFont="1" applyFill="1" applyAlignment="1">
      <alignment horizontal="left" vertical="center"/>
    </xf>
    <xf numFmtId="0" fontId="84" fillId="43" borderId="87" xfId="0" applyFont="1" applyFill="1" applyBorder="1" applyAlignment="1">
      <alignment horizontal="center" wrapText="1"/>
    </xf>
    <xf numFmtId="0" fontId="23" fillId="43" borderId="148" xfId="0" applyFont="1" applyFill="1" applyBorder="1" applyAlignment="1">
      <alignment horizontal="center"/>
    </xf>
    <xf numFmtId="0" fontId="23" fillId="43" borderId="103" xfId="0" applyFont="1" applyFill="1" applyBorder="1" applyAlignment="1">
      <alignment horizontal="center"/>
    </xf>
    <xf numFmtId="1" fontId="55" fillId="53" borderId="37" xfId="0" applyNumberFormat="1" applyFont="1" applyFill="1" applyBorder="1" applyAlignment="1">
      <alignment horizontal="center" vertical="center"/>
    </xf>
    <xf numFmtId="1" fontId="23" fillId="52" borderId="1" xfId="0" applyNumberFormat="1" applyFont="1" applyFill="1" applyBorder="1"/>
    <xf numFmtId="1" fontId="55" fillId="51" borderId="14" xfId="0" applyNumberFormat="1" applyFont="1" applyFill="1" applyBorder="1" applyAlignment="1">
      <alignment horizontal="center" vertical="center"/>
    </xf>
    <xf numFmtId="1" fontId="55" fillId="52" borderId="103" xfId="0" applyNumberFormat="1" applyFont="1" applyFill="1" applyBorder="1" applyAlignment="1">
      <alignment horizontal="center" vertical="center"/>
    </xf>
    <xf numFmtId="1" fontId="55" fillId="52" borderId="37" xfId="0" applyNumberFormat="1" applyFont="1" applyFill="1" applyBorder="1" applyAlignment="1">
      <alignment horizontal="center" vertical="center"/>
    </xf>
    <xf numFmtId="0" fontId="23" fillId="44" borderId="77" xfId="0" applyFont="1" applyFill="1" applyBorder="1" applyAlignment="1" applyProtection="1">
      <alignment horizontal="center" vertical="center"/>
      <protection locked="0"/>
    </xf>
    <xf numFmtId="0" fontId="55" fillId="52" borderId="77" xfId="0" applyFont="1" applyFill="1" applyBorder="1" applyAlignment="1">
      <alignment horizontal="center" vertical="center"/>
    </xf>
    <xf numFmtId="0" fontId="23" fillId="44" borderId="1" xfId="0" applyFont="1" applyFill="1" applyBorder="1" applyAlignment="1" applyProtection="1">
      <alignment horizontal="center" vertical="center"/>
      <protection locked="0"/>
    </xf>
    <xf numFmtId="0" fontId="55" fillId="52" borderId="1" xfId="0" applyFont="1" applyFill="1" applyBorder="1" applyAlignment="1">
      <alignment horizontal="center" vertical="center"/>
    </xf>
    <xf numFmtId="0" fontId="55" fillId="70" borderId="0" xfId="0" applyFont="1" applyFill="1"/>
    <xf numFmtId="1" fontId="55" fillId="52" borderId="1" xfId="0" applyNumberFormat="1" applyFont="1" applyFill="1" applyBorder="1" applyAlignment="1">
      <alignment horizontal="center" vertical="center"/>
    </xf>
    <xf numFmtId="0" fontId="85" fillId="69" borderId="0" xfId="0" applyFont="1" applyFill="1"/>
    <xf numFmtId="0" fontId="23" fillId="55" borderId="0" xfId="0" applyFont="1" applyFill="1" applyAlignment="1">
      <alignment wrapText="1"/>
    </xf>
    <xf numFmtId="0" fontId="71" fillId="53" borderId="147" xfId="0" applyFont="1" applyFill="1" applyBorder="1"/>
    <xf numFmtId="1" fontId="73" fillId="45" borderId="37" xfId="0" applyNumberFormat="1" applyFont="1" applyFill="1" applyBorder="1" applyAlignment="1">
      <alignment horizontal="center"/>
    </xf>
    <xf numFmtId="0" fontId="71" fillId="45" borderId="1" xfId="0" applyFont="1" applyFill="1" applyBorder="1"/>
    <xf numFmtId="0" fontId="23" fillId="56" borderId="0" xfId="0" applyFont="1" applyFill="1"/>
    <xf numFmtId="0" fontId="23" fillId="43" borderId="150" xfId="0" applyFont="1" applyFill="1" applyBorder="1" applyAlignment="1">
      <alignment horizontal="center"/>
    </xf>
    <xf numFmtId="1" fontId="23" fillId="44" borderId="1" xfId="0" applyNumberFormat="1" applyFont="1" applyFill="1" applyBorder="1" applyAlignment="1" applyProtection="1">
      <alignment wrapText="1"/>
      <protection locked="0"/>
    </xf>
    <xf numFmtId="164" fontId="55" fillId="52" borderId="37" xfId="0" applyNumberFormat="1" applyFont="1" applyFill="1" applyBorder="1" applyAlignment="1">
      <alignment horizontal="center" vertical="center"/>
    </xf>
    <xf numFmtId="0" fontId="64" fillId="52" borderId="77" xfId="0" applyFont="1" applyFill="1" applyBorder="1" applyAlignment="1">
      <alignment horizontal="center"/>
    </xf>
    <xf numFmtId="0" fontId="23" fillId="43" borderId="73" xfId="0" applyFont="1" applyFill="1" applyBorder="1" applyAlignment="1">
      <alignment horizontal="center"/>
    </xf>
    <xf numFmtId="0" fontId="23" fillId="43" borderId="1" xfId="0" applyFont="1" applyFill="1" applyBorder="1"/>
    <xf numFmtId="0" fontId="70" fillId="43" borderId="77" xfId="0" applyFont="1" applyFill="1" applyBorder="1" applyAlignment="1">
      <alignment horizontal="center"/>
    </xf>
    <xf numFmtId="0" fontId="70" fillId="43" borderId="111" xfId="0" applyFont="1" applyFill="1" applyBorder="1" applyAlignment="1">
      <alignment horizontal="center"/>
    </xf>
    <xf numFmtId="0" fontId="88" fillId="0" borderId="0" xfId="1" applyFont="1"/>
    <xf numFmtId="0" fontId="88" fillId="73" borderId="12" xfId="1" applyFont="1" applyFill="1" applyBorder="1"/>
    <xf numFmtId="0" fontId="74" fillId="0" borderId="61" xfId="0" applyFont="1" applyBorder="1" applyAlignment="1">
      <alignment horizontal="left"/>
    </xf>
    <xf numFmtId="1" fontId="0" fillId="73" borderId="14" xfId="0" applyNumberFormat="1" applyFill="1" applyBorder="1" applyAlignment="1">
      <alignment horizontal="center"/>
    </xf>
    <xf numFmtId="0" fontId="0" fillId="0" borderId="0" xfId="0" applyAlignment="1">
      <alignment horizontal="left"/>
    </xf>
    <xf numFmtId="1" fontId="0" fillId="0" borderId="0" xfId="0" applyNumberFormat="1" applyAlignment="1">
      <alignment horizontal="center"/>
    </xf>
    <xf numFmtId="0" fontId="0" fillId="0" borderId="73" xfId="0" applyBorder="1" applyProtection="1">
      <protection locked="0"/>
    </xf>
    <xf numFmtId="3" fontId="10" fillId="0" borderId="0" xfId="6" applyNumberFormat="1"/>
    <xf numFmtId="0" fontId="90" fillId="0" borderId="0" xfId="6" applyFont="1" applyAlignment="1">
      <alignment horizontal="right"/>
    </xf>
    <xf numFmtId="169" fontId="89" fillId="0" borderId="0" xfId="4" applyNumberFormat="1" applyFont="1" applyFill="1" applyBorder="1" applyAlignment="1" applyProtection="1">
      <alignment horizontal="right"/>
    </xf>
    <xf numFmtId="169" fontId="52" fillId="0" borderId="0" xfId="4" applyNumberFormat="1" applyFont="1" applyFill="1" applyBorder="1" applyAlignment="1" applyProtection="1">
      <alignment horizontal="right"/>
    </xf>
    <xf numFmtId="0" fontId="10" fillId="0" borderId="0" xfId="6" applyAlignment="1">
      <alignment horizontal="right"/>
    </xf>
    <xf numFmtId="0" fontId="53" fillId="0" borderId="0" xfId="6" applyFont="1"/>
    <xf numFmtId="3" fontId="8" fillId="0" borderId="0" xfId="2" applyNumberFormat="1"/>
    <xf numFmtId="0" fontId="63" fillId="0" borderId="0" xfId="0" applyFont="1"/>
    <xf numFmtId="0" fontId="75" fillId="0" borderId="0" xfId="0" applyFont="1"/>
    <xf numFmtId="0" fontId="63" fillId="0" borderId="0" xfId="0" applyFont="1" applyAlignment="1">
      <alignment horizontal="center"/>
    </xf>
    <xf numFmtId="10" fontId="63" fillId="0" borderId="0" xfId="8" applyNumberFormat="1" applyFont="1" applyAlignment="1">
      <alignment horizontal="center"/>
    </xf>
    <xf numFmtId="0" fontId="54" fillId="0" borderId="0" xfId="0" applyFont="1"/>
    <xf numFmtId="0" fontId="65" fillId="0" borderId="0" xfId="0" applyFont="1" applyAlignment="1">
      <alignment horizontal="center"/>
    </xf>
    <xf numFmtId="9" fontId="63" fillId="0" borderId="0" xfId="0" applyNumberFormat="1" applyFont="1"/>
    <xf numFmtId="164" fontId="63" fillId="0" borderId="0" xfId="0" applyNumberFormat="1" applyFont="1" applyAlignment="1">
      <alignment horizontal="center"/>
    </xf>
    <xf numFmtId="0" fontId="66" fillId="0" borderId="0" xfId="0" applyFont="1"/>
    <xf numFmtId="164" fontId="66" fillId="0" borderId="0" xfId="0" applyNumberFormat="1" applyFont="1"/>
    <xf numFmtId="0" fontId="67" fillId="0" borderId="0" xfId="0" applyFont="1"/>
    <xf numFmtId="164" fontId="67" fillId="0" borderId="0" xfId="0" applyNumberFormat="1" applyFont="1"/>
    <xf numFmtId="0" fontId="67" fillId="0" borderId="0" xfId="0" applyFont="1" applyAlignment="1">
      <alignment horizontal="center"/>
    </xf>
    <xf numFmtId="164" fontId="67" fillId="0" borderId="0" xfId="0" applyNumberFormat="1" applyFont="1" applyAlignment="1">
      <alignment horizontal="center"/>
    </xf>
    <xf numFmtId="0" fontId="66" fillId="0" borderId="0" xfId="0" applyFont="1" applyAlignment="1">
      <alignment horizontal="center"/>
    </xf>
    <xf numFmtId="164" fontId="66" fillId="0" borderId="0" xfId="0" applyNumberFormat="1" applyFont="1" applyAlignment="1">
      <alignment horizontal="center"/>
    </xf>
    <xf numFmtId="0" fontId="25" fillId="17" borderId="152" xfId="0" applyFont="1" applyFill="1" applyBorder="1" applyProtection="1">
      <protection locked="0"/>
    </xf>
    <xf numFmtId="1" fontId="25" fillId="14" borderId="153" xfId="0" applyNumberFormat="1" applyFont="1" applyFill="1" applyBorder="1"/>
    <xf numFmtId="0" fontId="25" fillId="14" borderId="1" xfId="0" applyFont="1" applyFill="1" applyBorder="1" applyAlignment="1">
      <alignment horizontal="right"/>
    </xf>
    <xf numFmtId="49" fontId="10" fillId="0" borderId="0" xfId="6" applyNumberFormat="1" applyAlignment="1">
      <alignment horizontal="right"/>
    </xf>
    <xf numFmtId="1" fontId="10" fillId="0" borderId="0" xfId="6" applyNumberFormat="1" applyAlignment="1">
      <alignment horizontal="right"/>
    </xf>
    <xf numFmtId="1" fontId="10" fillId="0" borderId="0" xfId="6" applyNumberFormat="1"/>
    <xf numFmtId="0" fontId="1" fillId="39" borderId="0" xfId="10"/>
    <xf numFmtId="1" fontId="25" fillId="15" borderId="131" xfId="0" applyNumberFormat="1" applyFont="1" applyFill="1" applyBorder="1"/>
    <xf numFmtId="0" fontId="26" fillId="18" borderId="68" xfId="0" applyFont="1" applyFill="1" applyBorder="1"/>
    <xf numFmtId="0" fontId="26" fillId="18" borderId="67" xfId="0" applyFont="1" applyFill="1" applyBorder="1"/>
    <xf numFmtId="0" fontId="25" fillId="14" borderId="0" xfId="1" applyFont="1" applyFill="1" applyAlignment="1">
      <alignment horizontal="center"/>
    </xf>
    <xf numFmtId="0" fontId="8" fillId="0" borderId="88" xfId="2" applyBorder="1" applyAlignment="1">
      <alignment horizontal="center"/>
    </xf>
    <xf numFmtId="0" fontId="8" fillId="0" borderId="89" xfId="2" applyBorder="1" applyAlignment="1">
      <alignment horizontal="center"/>
    </xf>
    <xf numFmtId="0" fontId="8" fillId="0" borderId="90" xfId="2" applyBorder="1" applyAlignment="1">
      <alignment horizontal="center"/>
    </xf>
    <xf numFmtId="0" fontId="8" fillId="0" borderId="93" xfId="2" applyBorder="1" applyAlignment="1">
      <alignment horizontal="center"/>
    </xf>
    <xf numFmtId="0" fontId="8" fillId="0" borderId="94" xfId="2" applyBorder="1" applyAlignment="1">
      <alignment horizontal="center"/>
    </xf>
    <xf numFmtId="0" fontId="8" fillId="0" borderId="85" xfId="2" applyBorder="1" applyAlignment="1">
      <alignment horizontal="center"/>
    </xf>
    <xf numFmtId="0" fontId="8" fillId="0" borderId="83" xfId="2" applyBorder="1" applyAlignment="1">
      <alignment horizontal="center"/>
    </xf>
    <xf numFmtId="0" fontId="8" fillId="0" borderId="84" xfId="2" applyBorder="1" applyAlignment="1">
      <alignment horizontal="center"/>
    </xf>
    <xf numFmtId="0" fontId="0" fillId="74" borderId="0" xfId="0" applyFill="1" applyAlignment="1">
      <alignment vertical="center"/>
    </xf>
    <xf numFmtId="0" fontId="8" fillId="74" borderId="0" xfId="2" applyFill="1" applyAlignment="1">
      <alignment horizontal="right" vertical="center"/>
    </xf>
    <xf numFmtId="0" fontId="8" fillId="74" borderId="0" xfId="2" applyFill="1"/>
    <xf numFmtId="0" fontId="8" fillId="74" borderId="0" xfId="2" applyFill="1" applyAlignment="1">
      <alignment horizontal="left" vertical="center"/>
    </xf>
    <xf numFmtId="0" fontId="25" fillId="14" borderId="63" xfId="0" applyFont="1" applyFill="1" applyBorder="1" applyAlignment="1">
      <alignment horizontal="right"/>
    </xf>
    <xf numFmtId="1" fontId="25" fillId="14" borderId="1" xfId="0" applyNumberFormat="1" applyFont="1" applyFill="1" applyBorder="1"/>
    <xf numFmtId="0" fontId="25" fillId="17" borderId="1" xfId="0" applyFont="1" applyFill="1" applyBorder="1" applyProtection="1">
      <protection locked="0"/>
    </xf>
    <xf numFmtId="0" fontId="25" fillId="15" borderId="1" xfId="0" applyFont="1" applyFill="1" applyBorder="1"/>
    <xf numFmtId="0" fontId="26" fillId="18" borderId="154" xfId="1" applyFont="1" applyFill="1" applyBorder="1" applyAlignment="1">
      <alignment horizontal="center"/>
    </xf>
    <xf numFmtId="0" fontId="0" fillId="0" borderId="155" xfId="0" applyBorder="1"/>
    <xf numFmtId="0" fontId="91" fillId="31" borderId="0" xfId="0" applyFont="1" applyFill="1"/>
    <xf numFmtId="0" fontId="92" fillId="0" borderId="0" xfId="0" applyFont="1" applyAlignment="1">
      <alignment vertical="center"/>
    </xf>
    <xf numFmtId="0" fontId="92" fillId="0" borderId="83" xfId="0" applyFont="1" applyBorder="1" applyAlignment="1">
      <alignment vertical="center"/>
    </xf>
    <xf numFmtId="0" fontId="93" fillId="0" borderId="0" xfId="1" applyFont="1" applyAlignment="1">
      <alignment horizontal="center" vertical="center"/>
    </xf>
    <xf numFmtId="0" fontId="74" fillId="0" borderId="0" xfId="0" applyFont="1" applyAlignment="1">
      <alignment horizontal="center" vertical="center" wrapText="1"/>
    </xf>
    <xf numFmtId="0" fontId="8" fillId="13" borderId="53" xfId="2" applyFill="1" applyBorder="1" applyAlignment="1">
      <alignment horizontal="center" vertical="center"/>
    </xf>
    <xf numFmtId="0" fontId="8" fillId="56" borderId="1" xfId="2" applyFill="1" applyBorder="1" applyAlignment="1">
      <alignment horizontal="center" vertical="center"/>
    </xf>
    <xf numFmtId="0" fontId="21" fillId="0" borderId="110" xfId="1" applyFont="1" applyBorder="1" applyAlignment="1">
      <alignment horizontal="center" vertical="center"/>
    </xf>
    <xf numFmtId="0" fontId="21" fillId="0" borderId="110" xfId="1" applyFont="1" applyBorder="1" applyAlignment="1">
      <alignment horizontal="center" vertical="center" wrapText="1"/>
    </xf>
    <xf numFmtId="0" fontId="21" fillId="0" borderId="130" xfId="1" applyFont="1" applyBorder="1" applyAlignment="1">
      <alignment horizontal="center" vertical="center"/>
    </xf>
    <xf numFmtId="9" fontId="94" fillId="13" borderId="1" xfId="5" applyFont="1" applyFill="1" applyBorder="1" applyAlignment="1" applyProtection="1">
      <alignment horizontal="center" vertical="center"/>
      <protection locked="0"/>
    </xf>
    <xf numFmtId="9" fontId="94" fillId="0" borderId="0" xfId="5" applyFont="1" applyFill="1" applyBorder="1" applyAlignment="1" applyProtection="1">
      <alignment horizontal="center" vertical="center"/>
      <protection locked="0"/>
    </xf>
    <xf numFmtId="9" fontId="74" fillId="0" borderId="1" xfId="0" applyNumberFormat="1" applyFont="1" applyBorder="1" applyAlignment="1">
      <alignment horizontal="center" vertical="center"/>
    </xf>
    <xf numFmtId="9" fontId="12" fillId="42" borderId="73" xfId="0" applyNumberFormat="1" applyFont="1" applyFill="1" applyBorder="1" applyAlignment="1">
      <alignment horizontal="center" vertical="center"/>
    </xf>
    <xf numFmtId="9" fontId="74" fillId="0" borderId="156" xfId="5" applyFont="1" applyFill="1" applyBorder="1" applyAlignment="1" applyProtection="1">
      <alignment horizontal="center" vertical="center"/>
    </xf>
    <xf numFmtId="9" fontId="21" fillId="0" borderId="2" xfId="0" applyNumberFormat="1" applyFont="1" applyBorder="1" applyAlignment="1">
      <alignment horizontal="center" vertical="center"/>
    </xf>
    <xf numFmtId="1" fontId="19" fillId="13" borderId="110" xfId="0" applyNumberFormat="1" applyFont="1" applyFill="1" applyBorder="1" applyAlignment="1" applyProtection="1">
      <alignment horizontal="center" vertical="center"/>
      <protection locked="0"/>
    </xf>
    <xf numFmtId="175" fontId="19" fillId="0" borderId="1" xfId="0" applyNumberFormat="1" applyFont="1" applyBorder="1" applyAlignment="1">
      <alignment horizontal="center" vertical="center"/>
    </xf>
    <xf numFmtId="9" fontId="12" fillId="42" borderId="1" xfId="0" applyNumberFormat="1" applyFont="1" applyFill="1" applyBorder="1" applyAlignment="1">
      <alignment horizontal="center" vertical="center"/>
    </xf>
    <xf numFmtId="9" fontId="74" fillId="0" borderId="41" xfId="5" applyFont="1" applyFill="1" applyBorder="1" applyAlignment="1" applyProtection="1">
      <alignment horizontal="center" vertical="center"/>
    </xf>
    <xf numFmtId="9" fontId="21" fillId="0" borderId="1" xfId="0" applyNumberFormat="1" applyFont="1" applyBorder="1" applyAlignment="1">
      <alignment horizontal="center" vertical="center"/>
    </xf>
    <xf numFmtId="1" fontId="19" fillId="13" borderId="1" xfId="0" applyNumberFormat="1" applyFont="1" applyFill="1" applyBorder="1" applyAlignment="1" applyProtection="1">
      <alignment horizontal="center" vertical="center"/>
      <protection locked="0"/>
    </xf>
    <xf numFmtId="9" fontId="12" fillId="0" borderId="41" xfId="5" applyFont="1" applyFill="1" applyBorder="1" applyAlignment="1" applyProtection="1">
      <alignment horizontal="center" vertical="center"/>
    </xf>
    <xf numFmtId="9" fontId="12" fillId="0" borderId="0" xfId="0" applyNumberFormat="1" applyFont="1" applyAlignment="1">
      <alignment horizontal="center" vertical="center"/>
    </xf>
    <xf numFmtId="0" fontId="12" fillId="0" borderId="0" xfId="0" applyFont="1" applyAlignment="1">
      <alignment horizontal="center" vertical="center"/>
    </xf>
    <xf numFmtId="0" fontId="0" fillId="11" borderId="1" xfId="0" applyFill="1" applyBorder="1" applyAlignment="1">
      <alignment horizontal="center"/>
    </xf>
    <xf numFmtId="9" fontId="0" fillId="11" borderId="1" xfId="0" applyNumberFormat="1" applyFill="1" applyBorder="1" applyAlignment="1">
      <alignment horizontal="center"/>
    </xf>
    <xf numFmtId="0" fontId="95" fillId="0" borderId="0" xfId="0" applyFont="1" applyAlignment="1">
      <alignment horizontal="center"/>
    </xf>
    <xf numFmtId="9" fontId="21" fillId="4" borderId="1" xfId="0" applyNumberFormat="1" applyFont="1" applyFill="1" applyBorder="1" applyAlignment="1">
      <alignment horizontal="center" vertical="center"/>
    </xf>
    <xf numFmtId="9" fontId="0" fillId="10" borderId="1" xfId="5" applyFont="1" applyFill="1" applyBorder="1" applyAlignment="1">
      <alignment horizontal="center"/>
    </xf>
    <xf numFmtId="0" fontId="96" fillId="0" borderId="0" xfId="0" applyFont="1" applyAlignment="1">
      <alignment vertical="center"/>
    </xf>
    <xf numFmtId="0" fontId="97" fillId="0" borderId="0" xfId="0" applyFont="1" applyAlignment="1">
      <alignment vertical="center"/>
    </xf>
    <xf numFmtId="0" fontId="97" fillId="0" borderId="0" xfId="0" applyFont="1" applyAlignment="1">
      <alignment horizontal="center" vertical="center"/>
    </xf>
    <xf numFmtId="0" fontId="97" fillId="0" borderId="83" xfId="0" applyFont="1" applyBorder="1" applyAlignment="1">
      <alignment horizontal="center" vertical="center"/>
    </xf>
    <xf numFmtId="0" fontId="98" fillId="0" borderId="0" xfId="0" applyFont="1" applyAlignment="1">
      <alignment horizontal="center" vertical="center"/>
    </xf>
    <xf numFmtId="0" fontId="99" fillId="10" borderId="1" xfId="0" applyFont="1" applyFill="1" applyBorder="1" applyAlignment="1">
      <alignment horizontal="center" vertical="center"/>
    </xf>
    <xf numFmtId="0" fontId="99" fillId="0" borderId="0" xfId="0" applyFont="1" applyAlignment="1">
      <alignment horizontal="center" vertical="center"/>
    </xf>
    <xf numFmtId="0" fontId="98" fillId="0" borderId="2" xfId="0" applyFont="1" applyBorder="1" applyAlignment="1">
      <alignment horizontal="center" vertical="center"/>
    </xf>
    <xf numFmtId="0" fontId="98" fillId="0" borderId="157" xfId="0" applyFont="1" applyBorder="1" applyAlignment="1">
      <alignment horizontal="center" vertical="center"/>
    </xf>
    <xf numFmtId="0" fontId="96" fillId="10" borderId="73" xfId="0" applyFont="1" applyFill="1" applyBorder="1" applyAlignment="1">
      <alignment horizontal="center" vertical="center"/>
    </xf>
    <xf numFmtId="0" fontId="98" fillId="0" borderId="156" xfId="0" applyFont="1" applyBorder="1" applyAlignment="1">
      <alignment horizontal="center" vertical="center"/>
    </xf>
    <xf numFmtId="0" fontId="98" fillId="0" borderId="73" xfId="0" applyFont="1" applyBorder="1" applyAlignment="1">
      <alignment horizontal="center" vertical="center"/>
    </xf>
    <xf numFmtId="0" fontId="98" fillId="0" borderId="110" xfId="0" applyFont="1" applyBorder="1" applyAlignment="1">
      <alignment horizontal="center" vertical="center"/>
    </xf>
    <xf numFmtId="0" fontId="98" fillId="0" borderId="1" xfId="0" applyFont="1" applyBorder="1" applyAlignment="1">
      <alignment horizontal="center" vertical="center"/>
    </xf>
    <xf numFmtId="0" fontId="96" fillId="10" borderId="1" xfId="0" applyFont="1" applyFill="1" applyBorder="1" applyAlignment="1">
      <alignment horizontal="center" vertical="center"/>
    </xf>
    <xf numFmtId="0" fontId="98" fillId="0" borderId="41" xfId="0" applyFont="1" applyBorder="1" applyAlignment="1">
      <alignment horizontal="center" vertical="center"/>
    </xf>
    <xf numFmtId="0" fontId="98" fillId="0" borderId="53" xfId="0" applyFont="1" applyBorder="1" applyAlignment="1">
      <alignment horizontal="center" vertical="center"/>
    </xf>
    <xf numFmtId="0" fontId="96" fillId="0" borderId="0" xfId="0" applyFont="1" applyAlignment="1">
      <alignment horizontal="center" vertical="center"/>
    </xf>
    <xf numFmtId="0" fontId="100" fillId="74" borderId="1" xfId="1" applyFont="1" applyFill="1" applyBorder="1" applyAlignment="1">
      <alignment horizontal="center" vertical="center" wrapText="1"/>
    </xf>
    <xf numFmtId="0" fontId="100" fillId="75" borderId="1" xfId="1" applyFont="1" applyFill="1" applyBorder="1" applyAlignment="1">
      <alignment horizontal="center" vertical="center" wrapText="1"/>
    </xf>
    <xf numFmtId="0" fontId="97" fillId="0" borderId="1" xfId="0" applyFont="1" applyBorder="1" applyAlignment="1">
      <alignment horizontal="center" vertical="center" wrapText="1"/>
    </xf>
    <xf numFmtId="0" fontId="100" fillId="0" borderId="1" xfId="1" applyFont="1" applyBorder="1" applyAlignment="1">
      <alignment horizontal="center" vertical="center" wrapText="1"/>
    </xf>
    <xf numFmtId="177" fontId="98" fillId="0" borderId="0" xfId="0" applyNumberFormat="1" applyFont="1" applyAlignment="1">
      <alignment horizontal="center" vertical="center"/>
    </xf>
    <xf numFmtId="177" fontId="97" fillId="0" borderId="0" xfId="0" applyNumberFormat="1" applyFont="1" applyAlignment="1">
      <alignment horizontal="center" vertical="center"/>
    </xf>
    <xf numFmtId="177" fontId="98" fillId="0" borderId="0" xfId="0" applyNumberFormat="1" applyFont="1" applyAlignment="1">
      <alignment horizontal="left" vertical="center"/>
    </xf>
    <xf numFmtId="177" fontId="97" fillId="0" borderId="0" xfId="0" applyNumberFormat="1" applyFont="1" applyAlignment="1">
      <alignment horizontal="left" vertical="center"/>
    </xf>
    <xf numFmtId="0" fontId="98" fillId="0" borderId="0" xfId="0" applyFont="1" applyAlignment="1">
      <alignment vertical="center"/>
    </xf>
    <xf numFmtId="177" fontId="101" fillId="0" borderId="0" xfId="0" applyNumberFormat="1" applyFont="1" applyAlignment="1">
      <alignment horizontal="center" vertical="center"/>
    </xf>
    <xf numFmtId="177" fontId="102" fillId="0" borderId="0" xfId="0" applyNumberFormat="1" applyFont="1" applyAlignment="1">
      <alignment horizontal="center" vertical="center"/>
    </xf>
    <xf numFmtId="177" fontId="101" fillId="0" borderId="83" xfId="0" applyNumberFormat="1" applyFont="1" applyBorder="1" applyAlignment="1">
      <alignment horizontal="center" vertical="center"/>
    </xf>
    <xf numFmtId="177" fontId="102" fillId="0" borderId="83" xfId="0" applyNumberFormat="1" applyFont="1" applyBorder="1" applyAlignment="1">
      <alignment horizontal="center" vertical="center"/>
    </xf>
    <xf numFmtId="177" fontId="97" fillId="0" borderId="83" xfId="0" applyNumberFormat="1" applyFont="1" applyBorder="1" applyAlignment="1">
      <alignment horizontal="center" vertical="center"/>
    </xf>
    <xf numFmtId="177" fontId="103" fillId="0" borderId="0" xfId="0" applyNumberFormat="1" applyFont="1" applyAlignment="1">
      <alignment horizontal="center" vertical="center"/>
    </xf>
    <xf numFmtId="177" fontId="98" fillId="0" borderId="83" xfId="0" applyNumberFormat="1" applyFont="1" applyBorder="1" applyAlignment="1">
      <alignment horizontal="center" vertical="center"/>
    </xf>
    <xf numFmtId="177" fontId="103" fillId="0" borderId="83" xfId="0" applyNumberFormat="1" applyFont="1" applyBorder="1" applyAlignment="1">
      <alignment horizontal="center" vertical="center"/>
    </xf>
    <xf numFmtId="0" fontId="101" fillId="0" borderId="0" xfId="0" applyFont="1" applyAlignment="1">
      <alignment horizontal="center" vertical="center"/>
    </xf>
    <xf numFmtId="0" fontId="25" fillId="15" borderId="0" xfId="0" applyFont="1" applyFill="1"/>
    <xf numFmtId="0" fontId="25" fillId="17" borderId="0" xfId="0" applyFont="1" applyFill="1" applyProtection="1">
      <protection locked="0"/>
    </xf>
    <xf numFmtId="0" fontId="25" fillId="14" borderId="0" xfId="0" applyFont="1" applyFill="1" applyAlignment="1">
      <alignment horizontal="right"/>
    </xf>
    <xf numFmtId="177" fontId="97" fillId="0" borderId="0" xfId="0" applyNumberFormat="1" applyFont="1" applyAlignment="1">
      <alignment horizontal="center" vertical="center"/>
    </xf>
    <xf numFmtId="0" fontId="8" fillId="59" borderId="13" xfId="2" applyFill="1" applyBorder="1" applyAlignment="1">
      <alignment horizontal="center" vertical="center"/>
    </xf>
    <xf numFmtId="0" fontId="8" fillId="59" borderId="1" xfId="2" applyFill="1" applyBorder="1" applyAlignment="1">
      <alignment horizontal="center" vertical="center"/>
    </xf>
    <xf numFmtId="0" fontId="8" fillId="59" borderId="7" xfId="2" applyFill="1" applyBorder="1" applyAlignment="1">
      <alignment horizontal="center" vertical="center"/>
    </xf>
    <xf numFmtId="0" fontId="8" fillId="59" borderId="41" xfId="2" applyFill="1" applyBorder="1" applyAlignment="1">
      <alignment horizontal="center" vertical="center"/>
    </xf>
    <xf numFmtId="0" fontId="40" fillId="65" borderId="0" xfId="6" applyFont="1" applyFill="1" applyAlignment="1">
      <alignment horizontal="center"/>
    </xf>
    <xf numFmtId="0" fontId="14" fillId="58" borderId="26" xfId="6" applyFont="1" applyFill="1" applyBorder="1" applyAlignment="1">
      <alignment horizontal="center"/>
    </xf>
    <xf numFmtId="0" fontId="14" fillId="58" borderId="140" xfId="6" applyFont="1" applyFill="1" applyBorder="1" applyAlignment="1">
      <alignment horizontal="center"/>
    </xf>
    <xf numFmtId="0" fontId="14" fillId="58" borderId="24" xfId="6" applyFont="1" applyFill="1" applyBorder="1" applyAlignment="1">
      <alignment horizontal="center"/>
    </xf>
    <xf numFmtId="0" fontId="37" fillId="58" borderId="82" xfId="6" applyFont="1" applyFill="1" applyBorder="1" applyAlignment="1">
      <alignment horizontal="center"/>
    </xf>
    <xf numFmtId="0" fontId="37" fillId="58" borderId="81" xfId="6" applyFont="1" applyFill="1" applyBorder="1" applyAlignment="1">
      <alignment horizontal="center"/>
    </xf>
    <xf numFmtId="0" fontId="8" fillId="55" borderId="0" xfId="2" applyFill="1" applyAlignment="1">
      <alignment horizontal="center"/>
    </xf>
    <xf numFmtId="0" fontId="16" fillId="56" borderId="27" xfId="2" applyFont="1" applyFill="1" applyBorder="1" applyAlignment="1">
      <alignment horizontal="center"/>
    </xf>
    <xf numFmtId="0" fontId="23" fillId="71" borderId="0" xfId="0" applyFont="1" applyFill="1" applyAlignment="1">
      <alignment horizontal="center" wrapText="1"/>
    </xf>
    <xf numFmtId="0" fontId="23" fillId="13" borderId="0" xfId="0" applyFont="1" applyFill="1" applyAlignment="1">
      <alignment horizontal="center" wrapText="1"/>
    </xf>
    <xf numFmtId="0" fontId="84" fillId="49" borderId="141" xfId="0" applyFont="1" applyFill="1" applyBorder="1" applyAlignment="1">
      <alignment horizontal="left"/>
    </xf>
    <xf numFmtId="0" fontId="84" fillId="49" borderId="87" xfId="0" applyFont="1" applyFill="1" applyBorder="1" applyAlignment="1">
      <alignment horizontal="left"/>
    </xf>
    <xf numFmtId="0" fontId="23" fillId="43" borderId="87" xfId="0" applyFont="1" applyFill="1" applyBorder="1" applyAlignment="1">
      <alignment horizontal="center" wrapText="1"/>
    </xf>
    <xf numFmtId="0" fontId="23" fillId="72" borderId="0" xfId="0" applyFont="1" applyFill="1" applyAlignment="1">
      <alignment horizontal="center" wrapText="1"/>
    </xf>
    <xf numFmtId="0" fontId="23" fillId="48" borderId="143" xfId="0" applyFont="1" applyFill="1" applyBorder="1" applyAlignment="1">
      <alignment horizontal="center"/>
    </xf>
    <xf numFmtId="0" fontId="23" fillId="48" borderId="144" xfId="0" applyFont="1" applyFill="1" applyBorder="1" applyAlignment="1">
      <alignment horizontal="center"/>
    </xf>
    <xf numFmtId="0" fontId="23" fillId="48" borderId="104" xfId="0" applyFont="1" applyFill="1" applyBorder="1" applyAlignment="1">
      <alignment horizontal="center"/>
    </xf>
    <xf numFmtId="0" fontId="23" fillId="52" borderId="149" xfId="9" applyNumberFormat="1" applyFont="1" applyFill="1" applyBorder="1" applyAlignment="1" applyProtection="1">
      <alignment horizontal="center" vertical="center"/>
    </xf>
    <xf numFmtId="0" fontId="23" fillId="52" borderId="102" xfId="9" applyNumberFormat="1" applyFont="1" applyFill="1" applyBorder="1" applyAlignment="1" applyProtection="1">
      <alignment horizontal="center" vertical="center"/>
    </xf>
    <xf numFmtId="0" fontId="23" fillId="52" borderId="107" xfId="9" applyNumberFormat="1" applyFont="1" applyFill="1" applyBorder="1" applyAlignment="1" applyProtection="1">
      <alignment horizontal="center" vertical="center"/>
    </xf>
    <xf numFmtId="0" fontId="23" fillId="72" borderId="113" xfId="0" applyFont="1" applyFill="1" applyBorder="1" applyAlignment="1">
      <alignment horizontal="left"/>
    </xf>
    <xf numFmtId="0" fontId="23" fillId="72" borderId="0" xfId="0" applyFont="1" applyFill="1" applyAlignment="1">
      <alignment horizontal="left"/>
    </xf>
    <xf numFmtId="0" fontId="23" fillId="47" borderId="145" xfId="10" applyNumberFormat="1" applyFont="1" applyFill="1" applyBorder="1" applyAlignment="1" applyProtection="1">
      <alignment horizontal="center"/>
    </xf>
    <xf numFmtId="0" fontId="23" fillId="47" borderId="111" xfId="10" applyNumberFormat="1" applyFont="1" applyFill="1" applyBorder="1" applyAlignment="1" applyProtection="1">
      <alignment horizontal="center"/>
    </xf>
    <xf numFmtId="0" fontId="23" fillId="47" borderId="146" xfId="10" applyNumberFormat="1" applyFont="1" applyFill="1" applyBorder="1" applyAlignment="1" applyProtection="1">
      <alignment horizontal="center"/>
    </xf>
    <xf numFmtId="0" fontId="70" fillId="43" borderId="0" xfId="0" applyFont="1" applyFill="1" applyAlignment="1">
      <alignment horizontal="center" wrapText="1"/>
    </xf>
    <xf numFmtId="0" fontId="23" fillId="43" borderId="0" xfId="0" applyFont="1" applyFill="1" applyAlignment="1">
      <alignment horizontal="center"/>
    </xf>
    <xf numFmtId="0" fontId="23" fillId="43" borderId="0" xfId="0" applyFont="1" applyFill="1" applyAlignment="1">
      <alignment horizontal="center" vertical="center"/>
    </xf>
    <xf numFmtId="0" fontId="55" fillId="43" borderId="0" xfId="0" applyFont="1" applyFill="1" applyAlignment="1">
      <alignment horizontal="center"/>
    </xf>
    <xf numFmtId="0" fontId="51" fillId="43" borderId="0" xfId="0" applyFont="1" applyFill="1" applyAlignment="1">
      <alignment horizontal="center" vertical="center"/>
    </xf>
    <xf numFmtId="0" fontId="85" fillId="43" borderId="0" xfId="0" applyFont="1" applyFill="1" applyAlignment="1">
      <alignment horizontal="center"/>
    </xf>
    <xf numFmtId="0" fontId="51" fillId="43" borderId="113" xfId="0" applyFont="1" applyFill="1" applyBorder="1" applyAlignment="1">
      <alignment horizontal="center"/>
    </xf>
    <xf numFmtId="0" fontId="85" fillId="68" borderId="0" xfId="0" applyFont="1" applyFill="1" applyAlignment="1">
      <alignment horizontal="center"/>
    </xf>
    <xf numFmtId="0" fontId="23" fillId="72" borderId="0" xfId="0" applyFont="1" applyFill="1" applyAlignment="1">
      <alignment horizontal="center"/>
    </xf>
    <xf numFmtId="0" fontId="23" fillId="51" borderId="69" xfId="0" applyFont="1" applyFill="1" applyBorder="1" applyAlignment="1">
      <alignment horizontal="center"/>
    </xf>
    <xf numFmtId="0" fontId="87" fillId="0" borderId="0" xfId="0" applyFont="1" applyAlignment="1">
      <alignment horizontal="center" vertical="center"/>
    </xf>
    <xf numFmtId="0" fontId="87" fillId="0" borderId="0" xfId="0" applyFont="1" applyAlignment="1">
      <alignment horizontal="center" vertical="center" textRotation="90" wrapText="1"/>
    </xf>
    <xf numFmtId="0" fontId="74" fillId="0" borderId="52" xfId="0" applyFont="1" applyBorder="1" applyAlignment="1">
      <alignment horizontal="center" vertical="center" wrapText="1"/>
    </xf>
    <xf numFmtId="0" fontId="74" fillId="0" borderId="151" xfId="0" applyFont="1" applyBorder="1" applyAlignment="1">
      <alignment horizontal="center" vertical="center" wrapText="1"/>
    </xf>
    <xf numFmtId="0" fontId="15" fillId="0" borderId="52" xfId="1" applyFont="1" applyBorder="1" applyAlignment="1">
      <alignment horizontal="center" vertical="center" wrapText="1"/>
    </xf>
    <xf numFmtId="0" fontId="15" fillId="0" borderId="151" xfId="1" applyFont="1" applyBorder="1" applyAlignment="1">
      <alignment horizontal="center" vertical="center" wrapText="1"/>
    </xf>
    <xf numFmtId="0" fontId="15" fillId="10" borderId="1" xfId="0" applyFont="1" applyFill="1" applyBorder="1" applyAlignment="1">
      <alignment horizontal="center"/>
    </xf>
    <xf numFmtId="0" fontId="15" fillId="10" borderId="14" xfId="0" applyFont="1" applyFill="1" applyBorder="1" applyAlignment="1">
      <alignment horizontal="center"/>
    </xf>
    <xf numFmtId="0" fontId="15" fillId="10" borderId="61" xfId="0" applyFont="1" applyFill="1" applyBorder="1" applyAlignment="1">
      <alignment horizontal="center"/>
    </xf>
    <xf numFmtId="0" fontId="15" fillId="10" borderId="12" xfId="0" applyFont="1" applyFill="1" applyBorder="1" applyAlignment="1">
      <alignment horizontal="center"/>
    </xf>
    <xf numFmtId="0" fontId="43" fillId="0" borderId="69" xfId="0" applyFont="1" applyBorder="1" applyAlignment="1">
      <alignment horizontal="center" vertical="center"/>
    </xf>
    <xf numFmtId="0" fontId="10" fillId="0" borderId="0" xfId="6" applyAlignment="1">
      <alignment horizontal="center"/>
    </xf>
    <xf numFmtId="0" fontId="59" fillId="27" borderId="0" xfId="0" applyFont="1" applyFill="1" applyAlignment="1">
      <alignment horizontal="center"/>
    </xf>
    <xf numFmtId="0" fontId="32" fillId="27" borderId="117" xfId="1" applyFont="1" applyFill="1" applyBorder="1" applyAlignment="1">
      <alignment wrapText="1"/>
    </xf>
    <xf numFmtId="0" fontId="58" fillId="27" borderId="0" xfId="1" applyFont="1" applyFill="1" applyAlignment="1">
      <alignment horizontal="center" vertical="center" wrapText="1"/>
    </xf>
    <xf numFmtId="0" fontId="32" fillId="34" borderId="117" xfId="1" applyFont="1" applyFill="1" applyBorder="1" applyAlignment="1">
      <alignment horizontal="center" wrapText="1"/>
    </xf>
  </cellXfs>
  <cellStyles count="11">
    <cellStyle name="Comma" xfId="4" builtinId="3"/>
    <cellStyle name="Excel Built-in Normal" xfId="6" xr:uid="{00000000-0005-0000-0000-000001000000}"/>
    <cellStyle name="Excel Built-in Normal 1" xfId="2" xr:uid="{00000000-0005-0000-0000-000002000000}"/>
    <cellStyle name="Excel_BuiltIn_40% - Accent4" xfId="10" xr:uid="{00000000-0005-0000-0000-000003000000}"/>
    <cellStyle name="Excel_BuiltIn_Note" xfId="9" xr:uid="{00000000-0005-0000-0000-000004000000}"/>
    <cellStyle name="Hyperlink" xfId="7" builtinId="8"/>
    <cellStyle name="Normal" xfId="0" builtinId="0"/>
    <cellStyle name="Normal 2" xfId="1" xr:uid="{00000000-0005-0000-0000-000007000000}"/>
    <cellStyle name="Normal_gpro_calc" xfId="3" xr:uid="{00000000-0005-0000-0000-000008000000}"/>
    <cellStyle name="Normalny 2" xfId="8" xr:uid="{00000000-0005-0000-0000-000009000000}"/>
    <cellStyle name="Percent" xfId="5" builtinId="5"/>
  </cellStyles>
  <dxfs count="94">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49"/>
          <bgColor indexed="11"/>
        </patternFill>
      </fill>
    </dxf>
    <dxf>
      <font>
        <b val="0"/>
        <condense val="0"/>
        <extend val="0"/>
        <sz val="11"/>
        <color indexed="8"/>
      </font>
      <fill>
        <patternFill patternType="solid">
          <fgColor indexed="34"/>
          <bgColor indexed="13"/>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
      <font>
        <color rgb="FFFF0000"/>
      </font>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val="0"/>
        <condense val="0"/>
        <extend val="0"/>
        <sz val="11"/>
        <color indexed="8"/>
      </font>
      <fill>
        <patternFill patternType="solid">
          <fgColor indexed="60"/>
          <bgColor indexed="10"/>
        </patternFill>
      </fill>
    </dxf>
    <dxf>
      <font>
        <b/>
        <i val="0"/>
        <strike val="0"/>
        <condense val="0"/>
        <extend val="0"/>
        <sz val="11"/>
        <color indexed="8"/>
      </font>
      <fill>
        <patternFill patternType="solid">
          <fgColor indexed="60"/>
          <bgColor indexed="10"/>
        </patternFill>
      </fill>
    </dxf>
    <dxf>
      <font>
        <b val="0"/>
        <condense val="0"/>
        <extend val="0"/>
        <sz val="11"/>
        <color indexed="8"/>
      </font>
      <fill>
        <patternFill patternType="solid">
          <fgColor indexed="34"/>
          <bgColor indexed="13"/>
        </patternFill>
      </fill>
    </dxf>
  </dxfs>
  <tableStyles count="0" defaultTableStyle="TableStyleMedium9" defaultPivotStyle="PivotStyleLight16"/>
  <colors>
    <mruColors>
      <color rgb="FFCCFFCC"/>
      <color rgb="FF969696"/>
      <color rgb="FF808080"/>
      <color rgb="FFFFFF99"/>
      <color rgb="FFCCFF99"/>
      <color rgb="FFCC99FF"/>
      <color rgb="FFFF99CC"/>
      <color rgb="FFFF99FF"/>
      <color rgb="FFFF66CC"/>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manualLayout>
          <c:layoutTarget val="inner"/>
          <c:xMode val="edge"/>
          <c:yMode val="edge"/>
          <c:x val="5.2775250227479517E-2"/>
          <c:y val="1.2461059190031223E-2"/>
          <c:w val="0.92174704276615105"/>
          <c:h val="0.90654205607476634"/>
        </c:manualLayout>
      </c:layout>
      <c:scatterChart>
        <c:scatterStyle val="smoothMarker"/>
        <c:varyColors val="0"/>
        <c:ser>
          <c:idx val="0"/>
          <c:order val="0"/>
          <c:trendline>
            <c:trendlineType val="poly"/>
            <c:order val="2"/>
            <c:forward val="50"/>
            <c:backward val="50"/>
            <c:dispRSqr val="0"/>
            <c:dispEq val="1"/>
            <c:trendlineLbl>
              <c:layout>
                <c:manualLayout>
                  <c:x val="-0.30900108516479102"/>
                  <c:y val="-0.30129077615298488"/>
                </c:manualLayout>
              </c:layout>
              <c:numFmt formatCode="General" sourceLinked="0"/>
              <c:spPr>
                <a:solidFill>
                  <a:schemeClr val="bg1"/>
                </a:solidFill>
              </c:spPr>
              <c:txPr>
                <a:bodyPr/>
                <a:lstStyle/>
                <a:p>
                  <a:pPr>
                    <a:defRPr lang="en-US" sz="1000" b="1" i="0" u="none" strike="noStrike" baseline="0">
                      <a:solidFill>
                        <a:srgbClr val="000000"/>
                      </a:solidFill>
                      <a:latin typeface="Calibri"/>
                      <a:ea typeface="Calibri"/>
                      <a:cs typeface="Calibri"/>
                    </a:defRPr>
                  </a:pPr>
                  <a:endParaRPr lang="en-US"/>
                </a:p>
              </c:txPr>
            </c:trendlineLbl>
          </c:trendline>
          <c:xVal>
            <c:numRef>
              <c:f>('Split Calculator'!$B$4,'Split Calculator'!$B$6,'Split Calculator'!$B$8)</c:f>
              <c:numCache>
                <c:formatCode>0</c:formatCode>
                <c:ptCount val="3"/>
                <c:pt idx="0">
                  <c:v>-20</c:v>
                </c:pt>
                <c:pt idx="1">
                  <c:v>-40</c:v>
                </c:pt>
                <c:pt idx="2">
                  <c:v>0</c:v>
                </c:pt>
              </c:numCache>
            </c:numRef>
          </c:xVal>
          <c:yVal>
            <c:numRef>
              <c:f>('Split Calculator'!$D$4,'Split Calculator'!$D$6,'Split Calculator'!$D$8)</c:f>
              <c:numCache>
                <c:formatCode>General</c:formatCode>
                <c:ptCount val="3"/>
                <c:pt idx="0">
                  <c:v>99.587999999999994</c:v>
                </c:pt>
                <c:pt idx="1">
                  <c:v>99.626000000000005</c:v>
                </c:pt>
                <c:pt idx="2">
                  <c:v>99.602999999999994</c:v>
                </c:pt>
              </c:numCache>
            </c:numRef>
          </c:yVal>
          <c:smooth val="1"/>
          <c:extLst>
            <c:ext xmlns:c16="http://schemas.microsoft.com/office/drawing/2014/chart" uri="{C3380CC4-5D6E-409C-BE32-E72D297353CC}">
              <c16:uniqueId val="{00000001-09E5-4DFB-A5E7-BA69DD320B7E}"/>
            </c:ext>
          </c:extLst>
        </c:ser>
        <c:dLbls>
          <c:showLegendKey val="0"/>
          <c:showVal val="0"/>
          <c:showCatName val="0"/>
          <c:showSerName val="0"/>
          <c:showPercent val="0"/>
          <c:showBubbleSize val="0"/>
        </c:dLbls>
        <c:axId val="279971480"/>
        <c:axId val="221001728"/>
      </c:scatterChart>
      <c:valAx>
        <c:axId val="279971480"/>
        <c:scaling>
          <c:orientation val="minMax"/>
        </c:scaling>
        <c:delete val="0"/>
        <c:axPos val="b"/>
        <c:minorGridlines/>
        <c:numFmt formatCode="0" sourceLinked="1"/>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en-US"/>
          </a:p>
        </c:txPr>
        <c:crossAx val="221001728"/>
        <c:crosses val="autoZero"/>
        <c:crossBetween val="midCat"/>
        <c:majorUnit val="10"/>
        <c:minorUnit val="1"/>
      </c:valAx>
      <c:valAx>
        <c:axId val="221001728"/>
        <c:scaling>
          <c:orientation val="minMax"/>
        </c:scaling>
        <c:delete val="0"/>
        <c:axPos val="l"/>
        <c:majorGridlines/>
        <c:minorGridlines/>
        <c:numFmt formatCode="General" sourceLinked="1"/>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en-US"/>
          </a:p>
        </c:txPr>
        <c:crossAx val="279971480"/>
        <c:crosses val="autoZero"/>
        <c:crossBetween val="midCat"/>
        <c:majorUnit val="0.1"/>
        <c:minorUnit val="0.05"/>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277" l="0.70000000000000062" r="0.70000000000000062" t="0.750000000000012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11</xdr:row>
          <xdr:rowOff>152400</xdr:rowOff>
        </xdr:from>
        <xdr:to>
          <xdr:col>5</xdr:col>
          <xdr:colOff>47625</xdr:colOff>
          <xdr:row>13</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14</xdr:row>
          <xdr:rowOff>57150</xdr:rowOff>
        </xdr:from>
        <xdr:to>
          <xdr:col>5</xdr:col>
          <xdr:colOff>47625</xdr:colOff>
          <xdr:row>15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26</xdr:row>
          <xdr:rowOff>180975</xdr:rowOff>
        </xdr:from>
        <xdr:to>
          <xdr:col>5</xdr:col>
          <xdr:colOff>47625</xdr:colOff>
          <xdr:row>29</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a:cs typeface="Calibri"/>
                </a:rPr>
                <a:t>Copy Settings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60325</xdr:colOff>
      <xdr:row>10</xdr:row>
      <xdr:rowOff>1357314</xdr:rowOff>
    </xdr:from>
    <xdr:to>
      <xdr:col>20</xdr:col>
      <xdr:colOff>669926</xdr:colOff>
      <xdr:row>49</xdr:row>
      <xdr:rowOff>54770</xdr:rowOff>
    </xdr:to>
    <xdr:graphicFrame macro="">
      <xdr:nvGraphicFramePr>
        <xdr:cNvPr id="2" name="Диаграмма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294147</xdr:colOff>
      <xdr:row>8</xdr:row>
      <xdr:rowOff>126965</xdr:rowOff>
    </xdr:to>
    <xdr:sp macro="" textlink="">
      <xdr:nvSpPr>
        <xdr:cNvPr id="2" name="EsriDoNotEdit">
          <a:extLst>
            <a:ext uri="{FF2B5EF4-FFF2-40B4-BE49-F238E27FC236}">
              <a16:creationId xmlns:a16="http://schemas.microsoft.com/office/drawing/2014/main" id="{00000000-0008-0000-1800-000002000000}"/>
            </a:ext>
          </a:extLst>
        </xdr:cNvPr>
        <xdr:cNvSpPr/>
      </xdr:nvSpPr>
      <xdr:spPr>
        <a:xfrm>
          <a:off x="0" y="0"/>
          <a:ext cx="6390147" cy="1650965"/>
        </a:xfrm>
        <a:prstGeom prst="rect">
          <a:avLst/>
        </a:prstGeom>
        <a:noFill/>
      </xdr:spPr>
      <xdr:txBody>
        <a:bodyPr wrap="none" lIns="91440" tIns="45720" rIns="91440" bIns="45720">
          <a:spAutoFit/>
        </a:bodyPr>
        <a:lstStyle/>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DO NOT EDIT </a:t>
          </a:r>
        </a:p>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 For Esri use only</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I18"/>
  <sheetViews>
    <sheetView workbookViewId="0">
      <selection activeCell="B18" sqref="B18"/>
    </sheetView>
  </sheetViews>
  <sheetFormatPr defaultRowHeight="15" x14ac:dyDescent="0.25"/>
  <cols>
    <col min="1" max="1" width="9.140625" style="121"/>
    <col min="2" max="2" width="17.28515625" style="121" customWidth="1"/>
    <col min="3" max="6" width="9.140625" style="121"/>
    <col min="7" max="7" width="11.140625" style="121" customWidth="1"/>
    <col min="8" max="8" width="9.140625" style="121"/>
    <col min="9" max="9" width="8.28515625" style="121" customWidth="1"/>
    <col min="10" max="10" width="1.7109375" style="121" customWidth="1"/>
    <col min="11" max="16384" width="9.140625" style="121"/>
  </cols>
  <sheetData>
    <row r="1" spans="1:9" x14ac:dyDescent="0.25">
      <c r="A1" s="308" t="s">
        <v>189</v>
      </c>
      <c r="B1" s="308" t="s">
        <v>168</v>
      </c>
    </row>
    <row r="2" spans="1:9" x14ac:dyDescent="0.25">
      <c r="A2" s="308">
        <v>1</v>
      </c>
      <c r="B2" s="387" t="s">
        <v>74</v>
      </c>
    </row>
    <row r="3" spans="1:9" x14ac:dyDescent="0.25">
      <c r="A3" s="308">
        <v>2</v>
      </c>
      <c r="B3" s="387" t="s">
        <v>829</v>
      </c>
    </row>
    <row r="4" spans="1:9" x14ac:dyDescent="0.25">
      <c r="A4" s="308">
        <v>3</v>
      </c>
      <c r="B4" s="387" t="s">
        <v>55</v>
      </c>
    </row>
    <row r="5" spans="1:9" x14ac:dyDescent="0.25">
      <c r="A5" s="308">
        <v>4</v>
      </c>
      <c r="B5" s="387" t="s">
        <v>89</v>
      </c>
    </row>
    <row r="6" spans="1:9" x14ac:dyDescent="0.25">
      <c r="A6" s="308">
        <v>5</v>
      </c>
      <c r="B6" s="387" t="s">
        <v>70</v>
      </c>
      <c r="D6" s="308" t="s">
        <v>684</v>
      </c>
      <c r="E6" s="308"/>
      <c r="F6" s="308"/>
      <c r="G6" s="308"/>
      <c r="H6" s="308"/>
    </row>
    <row r="7" spans="1:9" x14ac:dyDescent="0.25">
      <c r="A7" s="308">
        <v>6</v>
      </c>
      <c r="B7" s="387" t="s">
        <v>256</v>
      </c>
      <c r="D7" s="308" t="s">
        <v>685</v>
      </c>
      <c r="E7" s="308"/>
      <c r="F7" s="308"/>
      <c r="G7" s="308"/>
      <c r="H7" s="308"/>
      <c r="I7" s="308"/>
    </row>
    <row r="8" spans="1:9" x14ac:dyDescent="0.25">
      <c r="A8" s="308">
        <v>7</v>
      </c>
      <c r="B8" s="387" t="s">
        <v>69</v>
      </c>
      <c r="D8" s="308" t="s">
        <v>686</v>
      </c>
      <c r="E8" s="308"/>
      <c r="F8" s="308"/>
      <c r="G8" s="308"/>
      <c r="H8" s="308"/>
    </row>
    <row r="9" spans="1:9" x14ac:dyDescent="0.25">
      <c r="A9" s="308">
        <v>8</v>
      </c>
      <c r="B9" s="387" t="s">
        <v>54</v>
      </c>
    </row>
    <row r="10" spans="1:9" x14ac:dyDescent="0.25">
      <c r="A10" s="308">
        <v>9</v>
      </c>
      <c r="B10" s="387" t="s">
        <v>49</v>
      </c>
    </row>
    <row r="11" spans="1:9" x14ac:dyDescent="0.25">
      <c r="A11" s="308">
        <v>10</v>
      </c>
      <c r="B11" s="387" t="s">
        <v>841</v>
      </c>
    </row>
    <row r="12" spans="1:9" x14ac:dyDescent="0.25">
      <c r="A12" s="308">
        <v>11</v>
      </c>
      <c r="B12" s="387" t="s">
        <v>253</v>
      </c>
    </row>
    <row r="13" spans="1:9" x14ac:dyDescent="0.25">
      <c r="A13" s="308">
        <v>12</v>
      </c>
      <c r="B13" s="387" t="s">
        <v>81</v>
      </c>
    </row>
    <row r="14" spans="1:9" x14ac:dyDescent="0.25">
      <c r="A14" s="308">
        <v>13</v>
      </c>
      <c r="B14" s="387" t="s">
        <v>78</v>
      </c>
    </row>
    <row r="15" spans="1:9" x14ac:dyDescent="0.25">
      <c r="A15" s="308">
        <v>14</v>
      </c>
      <c r="B15" s="387" t="s">
        <v>844</v>
      </c>
    </row>
    <row r="16" spans="1:9" x14ac:dyDescent="0.25">
      <c r="A16" s="308">
        <v>15</v>
      </c>
      <c r="B16" s="387" t="s">
        <v>51</v>
      </c>
    </row>
    <row r="17" spans="1:2" x14ac:dyDescent="0.25">
      <c r="A17" s="308">
        <v>16</v>
      </c>
      <c r="B17" s="387" t="s">
        <v>834</v>
      </c>
    </row>
    <row r="18" spans="1:2" x14ac:dyDescent="0.25">
      <c r="A18" s="308">
        <v>17</v>
      </c>
      <c r="B18" s="387" t="s">
        <v>80</v>
      </c>
    </row>
  </sheetData>
  <sheetProtection selectLockedCells="1"/>
  <customSheetViews>
    <customSheetView guid="{58F65609-3622-42C4-9926-1A56B88F9C36}">
      <selection activeCell="B10" sqref="B10"/>
      <pageMargins left="0.7" right="0.7" top="0.75" bottom="0.75" header="0.3" footer="0.3"/>
    </customSheetView>
  </customSheetViews>
  <dataValidations count="1">
    <dataValidation type="list" allowBlank="1" showInputMessage="1" showErrorMessage="1" sqref="B2:B18" xr:uid="{00000000-0002-0000-0000-000000000000}">
      <formula1>TrackName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AC108"/>
  <sheetViews>
    <sheetView zoomScale="85" zoomScaleNormal="85" workbookViewId="0">
      <pane ySplit="1" topLeftCell="A78" activePane="bottomLeft" state="frozen"/>
      <selection pane="bottomLeft" activeCell="F109" sqref="F109"/>
    </sheetView>
  </sheetViews>
  <sheetFormatPr defaultRowHeight="21" x14ac:dyDescent="0.25"/>
  <cols>
    <col min="1" max="1" width="4.5703125" style="733" customWidth="1"/>
    <col min="2" max="2" width="12.5703125" style="736" bestFit="1" customWidth="1"/>
    <col min="3" max="3" width="10.28515625" style="726" bestFit="1" customWidth="1"/>
    <col min="4" max="4" width="11.28515625" style="726" bestFit="1" customWidth="1"/>
    <col min="5" max="5" width="10.85546875" style="726" bestFit="1" customWidth="1"/>
    <col min="6" max="6" width="10.28515625" style="726" bestFit="1" customWidth="1"/>
    <col min="7" max="7" width="11" style="726" bestFit="1" customWidth="1"/>
    <col min="8" max="9" width="10.28515625" style="726" bestFit="1" customWidth="1"/>
    <col min="10" max="10" width="11.28515625" style="726" bestFit="1" customWidth="1"/>
    <col min="11" max="11" width="10.28515625" style="726" bestFit="1" customWidth="1"/>
    <col min="12" max="12" width="11.140625" style="726" bestFit="1" customWidth="1"/>
    <col min="13" max="13" width="11.85546875" style="726" customWidth="1"/>
    <col min="14" max="14" width="12.140625" style="736" bestFit="1" customWidth="1"/>
    <col min="15" max="16" width="9.85546875" style="736" bestFit="1" customWidth="1"/>
    <col min="17" max="17" width="12.42578125" style="736" bestFit="1" customWidth="1"/>
    <col min="18" max="18" width="10.5703125" style="736" bestFit="1" customWidth="1"/>
    <col min="19" max="19" width="11" style="736" bestFit="1" customWidth="1"/>
    <col min="20" max="20" width="9.5703125" style="736" bestFit="1" customWidth="1"/>
    <col min="21" max="21" width="11" style="736" bestFit="1" customWidth="1"/>
    <col min="22" max="22" width="9.85546875" style="736" bestFit="1" customWidth="1"/>
    <col min="23" max="23" width="11.42578125" style="736" bestFit="1" customWidth="1"/>
    <col min="24" max="24" width="11" style="736" bestFit="1" customWidth="1"/>
    <col min="25" max="25" width="8.85546875" style="736" bestFit="1" customWidth="1"/>
    <col min="26" max="26" width="10.7109375" style="736" bestFit="1" customWidth="1"/>
    <col min="27" max="28" width="12.42578125" style="736" bestFit="1" customWidth="1"/>
    <col min="29" max="29" width="11.28515625" style="703" customWidth="1"/>
    <col min="30" max="259" width="9.140625" style="703"/>
    <col min="260" max="260" width="17.42578125" style="703" customWidth="1"/>
    <col min="261" max="261" width="11" style="703" customWidth="1"/>
    <col min="262" max="262" width="10.7109375" style="703" customWidth="1"/>
    <col min="263" max="263" width="11" style="703" customWidth="1"/>
    <col min="264" max="264" width="10.5703125" style="703" customWidth="1"/>
    <col min="265" max="265" width="10.85546875" style="703" customWidth="1"/>
    <col min="266" max="266" width="9.5703125" style="703" customWidth="1"/>
    <col min="267" max="267" width="9.85546875" style="703" customWidth="1"/>
    <col min="268" max="269" width="11" style="703" customWidth="1"/>
    <col min="270" max="270" width="11.7109375" style="703" customWidth="1"/>
    <col min="271" max="271" width="11.28515625" style="703" customWidth="1"/>
    <col min="272" max="272" width="11" style="703" customWidth="1"/>
    <col min="273" max="273" width="12" style="703" customWidth="1"/>
    <col min="274" max="274" width="9.140625" style="703"/>
    <col min="275" max="275" width="8.42578125" style="703" customWidth="1"/>
    <col min="276" max="276" width="7.28515625" style="703" customWidth="1"/>
    <col min="277" max="277" width="11" style="703" customWidth="1"/>
    <col min="278" max="278" width="10.5703125" style="703" customWidth="1"/>
    <col min="279" max="279" width="10.85546875" style="703" customWidth="1"/>
    <col min="280" max="280" width="9.5703125" style="703" customWidth="1"/>
    <col min="281" max="281" width="8" style="703" customWidth="1"/>
    <col min="282" max="282" width="8.85546875" style="703" customWidth="1"/>
    <col min="283" max="283" width="7.5703125" style="703" customWidth="1"/>
    <col min="284" max="284" width="11.7109375" style="703" customWidth="1"/>
    <col min="285" max="285" width="11.28515625" style="703" customWidth="1"/>
    <col min="286" max="515" width="9.140625" style="703"/>
    <col min="516" max="516" width="17.42578125" style="703" customWidth="1"/>
    <col min="517" max="517" width="11" style="703" customWidth="1"/>
    <col min="518" max="518" width="10.7109375" style="703" customWidth="1"/>
    <col min="519" max="519" width="11" style="703" customWidth="1"/>
    <col min="520" max="520" width="10.5703125" style="703" customWidth="1"/>
    <col min="521" max="521" width="10.85546875" style="703" customWidth="1"/>
    <col min="522" max="522" width="9.5703125" style="703" customWidth="1"/>
    <col min="523" max="523" width="9.85546875" style="703" customWidth="1"/>
    <col min="524" max="525" width="11" style="703" customWidth="1"/>
    <col min="526" max="526" width="11.7109375" style="703" customWidth="1"/>
    <col min="527" max="527" width="11.28515625" style="703" customWidth="1"/>
    <col min="528" max="528" width="11" style="703" customWidth="1"/>
    <col min="529" max="529" width="12" style="703" customWidth="1"/>
    <col min="530" max="530" width="9.140625" style="703"/>
    <col min="531" max="531" width="8.42578125" style="703" customWidth="1"/>
    <col min="532" max="532" width="7.28515625" style="703" customWidth="1"/>
    <col min="533" max="533" width="11" style="703" customWidth="1"/>
    <col min="534" max="534" width="10.5703125" style="703" customWidth="1"/>
    <col min="535" max="535" width="10.85546875" style="703" customWidth="1"/>
    <col min="536" max="536" width="9.5703125" style="703" customWidth="1"/>
    <col min="537" max="537" width="8" style="703" customWidth="1"/>
    <col min="538" max="538" width="8.85546875" style="703" customWidth="1"/>
    <col min="539" max="539" width="7.5703125" style="703" customWidth="1"/>
    <col min="540" max="540" width="11.7109375" style="703" customWidth="1"/>
    <col min="541" max="541" width="11.28515625" style="703" customWidth="1"/>
    <col min="542" max="771" width="9.140625" style="703"/>
    <col min="772" max="772" width="17.42578125" style="703" customWidth="1"/>
    <col min="773" max="773" width="11" style="703" customWidth="1"/>
    <col min="774" max="774" width="10.7109375" style="703" customWidth="1"/>
    <col min="775" max="775" width="11" style="703" customWidth="1"/>
    <col min="776" max="776" width="10.5703125" style="703" customWidth="1"/>
    <col min="777" max="777" width="10.85546875" style="703" customWidth="1"/>
    <col min="778" max="778" width="9.5703125" style="703" customWidth="1"/>
    <col min="779" max="779" width="9.85546875" style="703" customWidth="1"/>
    <col min="780" max="781" width="11" style="703" customWidth="1"/>
    <col min="782" max="782" width="11.7109375" style="703" customWidth="1"/>
    <col min="783" max="783" width="11.28515625" style="703" customWidth="1"/>
    <col min="784" max="784" width="11" style="703" customWidth="1"/>
    <col min="785" max="785" width="12" style="703" customWidth="1"/>
    <col min="786" max="786" width="9.140625" style="703"/>
    <col min="787" max="787" width="8.42578125" style="703" customWidth="1"/>
    <col min="788" max="788" width="7.28515625" style="703" customWidth="1"/>
    <col min="789" max="789" width="11" style="703" customWidth="1"/>
    <col min="790" max="790" width="10.5703125" style="703" customWidth="1"/>
    <col min="791" max="791" width="10.85546875" style="703" customWidth="1"/>
    <col min="792" max="792" width="9.5703125" style="703" customWidth="1"/>
    <col min="793" max="793" width="8" style="703" customWidth="1"/>
    <col min="794" max="794" width="8.85546875" style="703" customWidth="1"/>
    <col min="795" max="795" width="7.5703125" style="703" customWidth="1"/>
    <col min="796" max="796" width="11.7109375" style="703" customWidth="1"/>
    <col min="797" max="797" width="11.28515625" style="703" customWidth="1"/>
    <col min="798" max="1027" width="9.140625" style="703"/>
    <col min="1028" max="1028" width="17.42578125" style="703" customWidth="1"/>
    <col min="1029" max="1029" width="11" style="703" customWidth="1"/>
    <col min="1030" max="1030" width="10.7109375" style="703" customWidth="1"/>
    <col min="1031" max="1031" width="11" style="703" customWidth="1"/>
    <col min="1032" max="1032" width="10.5703125" style="703" customWidth="1"/>
    <col min="1033" max="1033" width="10.85546875" style="703" customWidth="1"/>
    <col min="1034" max="1034" width="9.5703125" style="703" customWidth="1"/>
    <col min="1035" max="1035" width="9.85546875" style="703" customWidth="1"/>
    <col min="1036" max="1037" width="11" style="703" customWidth="1"/>
    <col min="1038" max="1038" width="11.7109375" style="703" customWidth="1"/>
    <col min="1039" max="1039" width="11.28515625" style="703" customWidth="1"/>
    <col min="1040" max="1040" width="11" style="703" customWidth="1"/>
    <col min="1041" max="1041" width="12" style="703" customWidth="1"/>
    <col min="1042" max="1042" width="9.140625" style="703"/>
    <col min="1043" max="1043" width="8.42578125" style="703" customWidth="1"/>
    <col min="1044" max="1044" width="7.28515625" style="703" customWidth="1"/>
    <col min="1045" max="1045" width="11" style="703" customWidth="1"/>
    <col min="1046" max="1046" width="10.5703125" style="703" customWidth="1"/>
    <col min="1047" max="1047" width="10.85546875" style="703" customWidth="1"/>
    <col min="1048" max="1048" width="9.5703125" style="703" customWidth="1"/>
    <col min="1049" max="1049" width="8" style="703" customWidth="1"/>
    <col min="1050" max="1050" width="8.85546875" style="703" customWidth="1"/>
    <col min="1051" max="1051" width="7.5703125" style="703" customWidth="1"/>
    <col min="1052" max="1052" width="11.7109375" style="703" customWidth="1"/>
    <col min="1053" max="1053" width="11.28515625" style="703" customWidth="1"/>
    <col min="1054" max="1283" width="9.140625" style="703"/>
    <col min="1284" max="1284" width="17.42578125" style="703" customWidth="1"/>
    <col min="1285" max="1285" width="11" style="703" customWidth="1"/>
    <col min="1286" max="1286" width="10.7109375" style="703" customWidth="1"/>
    <col min="1287" max="1287" width="11" style="703" customWidth="1"/>
    <col min="1288" max="1288" width="10.5703125" style="703" customWidth="1"/>
    <col min="1289" max="1289" width="10.85546875" style="703" customWidth="1"/>
    <col min="1290" max="1290" width="9.5703125" style="703" customWidth="1"/>
    <col min="1291" max="1291" width="9.85546875" style="703" customWidth="1"/>
    <col min="1292" max="1293" width="11" style="703" customWidth="1"/>
    <col min="1294" max="1294" width="11.7109375" style="703" customWidth="1"/>
    <col min="1295" max="1295" width="11.28515625" style="703" customWidth="1"/>
    <col min="1296" max="1296" width="11" style="703" customWidth="1"/>
    <col min="1297" max="1297" width="12" style="703" customWidth="1"/>
    <col min="1298" max="1298" width="9.140625" style="703"/>
    <col min="1299" max="1299" width="8.42578125" style="703" customWidth="1"/>
    <col min="1300" max="1300" width="7.28515625" style="703" customWidth="1"/>
    <col min="1301" max="1301" width="11" style="703" customWidth="1"/>
    <col min="1302" max="1302" width="10.5703125" style="703" customWidth="1"/>
    <col min="1303" max="1303" width="10.85546875" style="703" customWidth="1"/>
    <col min="1304" max="1304" width="9.5703125" style="703" customWidth="1"/>
    <col min="1305" max="1305" width="8" style="703" customWidth="1"/>
    <col min="1306" max="1306" width="8.85546875" style="703" customWidth="1"/>
    <col min="1307" max="1307" width="7.5703125" style="703" customWidth="1"/>
    <col min="1308" max="1308" width="11.7109375" style="703" customWidth="1"/>
    <col min="1309" max="1309" width="11.28515625" style="703" customWidth="1"/>
    <col min="1310" max="1539" width="9.140625" style="703"/>
    <col min="1540" max="1540" width="17.42578125" style="703" customWidth="1"/>
    <col min="1541" max="1541" width="11" style="703" customWidth="1"/>
    <col min="1542" max="1542" width="10.7109375" style="703" customWidth="1"/>
    <col min="1543" max="1543" width="11" style="703" customWidth="1"/>
    <col min="1544" max="1544" width="10.5703125" style="703" customWidth="1"/>
    <col min="1545" max="1545" width="10.85546875" style="703" customWidth="1"/>
    <col min="1546" max="1546" width="9.5703125" style="703" customWidth="1"/>
    <col min="1547" max="1547" width="9.85546875" style="703" customWidth="1"/>
    <col min="1548" max="1549" width="11" style="703" customWidth="1"/>
    <col min="1550" max="1550" width="11.7109375" style="703" customWidth="1"/>
    <col min="1551" max="1551" width="11.28515625" style="703" customWidth="1"/>
    <col min="1552" max="1552" width="11" style="703" customWidth="1"/>
    <col min="1553" max="1553" width="12" style="703" customWidth="1"/>
    <col min="1554" max="1554" width="9.140625" style="703"/>
    <col min="1555" max="1555" width="8.42578125" style="703" customWidth="1"/>
    <col min="1556" max="1556" width="7.28515625" style="703" customWidth="1"/>
    <col min="1557" max="1557" width="11" style="703" customWidth="1"/>
    <col min="1558" max="1558" width="10.5703125" style="703" customWidth="1"/>
    <col min="1559" max="1559" width="10.85546875" style="703" customWidth="1"/>
    <col min="1560" max="1560" width="9.5703125" style="703" customWidth="1"/>
    <col min="1561" max="1561" width="8" style="703" customWidth="1"/>
    <col min="1562" max="1562" width="8.85546875" style="703" customWidth="1"/>
    <col min="1563" max="1563" width="7.5703125" style="703" customWidth="1"/>
    <col min="1564" max="1564" width="11.7109375" style="703" customWidth="1"/>
    <col min="1565" max="1565" width="11.28515625" style="703" customWidth="1"/>
    <col min="1566" max="1795" width="9.140625" style="703"/>
    <col min="1796" max="1796" width="17.42578125" style="703" customWidth="1"/>
    <col min="1797" max="1797" width="11" style="703" customWidth="1"/>
    <col min="1798" max="1798" width="10.7109375" style="703" customWidth="1"/>
    <col min="1799" max="1799" width="11" style="703" customWidth="1"/>
    <col min="1800" max="1800" width="10.5703125" style="703" customWidth="1"/>
    <col min="1801" max="1801" width="10.85546875" style="703" customWidth="1"/>
    <col min="1802" max="1802" width="9.5703125" style="703" customWidth="1"/>
    <col min="1803" max="1803" width="9.85546875" style="703" customWidth="1"/>
    <col min="1804" max="1805" width="11" style="703" customWidth="1"/>
    <col min="1806" max="1806" width="11.7109375" style="703" customWidth="1"/>
    <col min="1807" max="1807" width="11.28515625" style="703" customWidth="1"/>
    <col min="1808" max="1808" width="11" style="703" customWidth="1"/>
    <col min="1809" max="1809" width="12" style="703" customWidth="1"/>
    <col min="1810" max="1810" width="9.140625" style="703"/>
    <col min="1811" max="1811" width="8.42578125" style="703" customWidth="1"/>
    <col min="1812" max="1812" width="7.28515625" style="703" customWidth="1"/>
    <col min="1813" max="1813" width="11" style="703" customWidth="1"/>
    <col min="1814" max="1814" width="10.5703125" style="703" customWidth="1"/>
    <col min="1815" max="1815" width="10.85546875" style="703" customWidth="1"/>
    <col min="1816" max="1816" width="9.5703125" style="703" customWidth="1"/>
    <col min="1817" max="1817" width="8" style="703" customWidth="1"/>
    <col min="1818" max="1818" width="8.85546875" style="703" customWidth="1"/>
    <col min="1819" max="1819" width="7.5703125" style="703" customWidth="1"/>
    <col min="1820" max="1820" width="11.7109375" style="703" customWidth="1"/>
    <col min="1821" max="1821" width="11.28515625" style="703" customWidth="1"/>
    <col min="1822" max="2051" width="9.140625" style="703"/>
    <col min="2052" max="2052" width="17.42578125" style="703" customWidth="1"/>
    <col min="2053" max="2053" width="11" style="703" customWidth="1"/>
    <col min="2054" max="2054" width="10.7109375" style="703" customWidth="1"/>
    <col min="2055" max="2055" width="11" style="703" customWidth="1"/>
    <col min="2056" max="2056" width="10.5703125" style="703" customWidth="1"/>
    <col min="2057" max="2057" width="10.85546875" style="703" customWidth="1"/>
    <col min="2058" max="2058" width="9.5703125" style="703" customWidth="1"/>
    <col min="2059" max="2059" width="9.85546875" style="703" customWidth="1"/>
    <col min="2060" max="2061" width="11" style="703" customWidth="1"/>
    <col min="2062" max="2062" width="11.7109375" style="703" customWidth="1"/>
    <col min="2063" max="2063" width="11.28515625" style="703" customWidth="1"/>
    <col min="2064" max="2064" width="11" style="703" customWidth="1"/>
    <col min="2065" max="2065" width="12" style="703" customWidth="1"/>
    <col min="2066" max="2066" width="9.140625" style="703"/>
    <col min="2067" max="2067" width="8.42578125" style="703" customWidth="1"/>
    <col min="2068" max="2068" width="7.28515625" style="703" customWidth="1"/>
    <col min="2069" max="2069" width="11" style="703" customWidth="1"/>
    <col min="2070" max="2070" width="10.5703125" style="703" customWidth="1"/>
    <col min="2071" max="2071" width="10.85546875" style="703" customWidth="1"/>
    <col min="2072" max="2072" width="9.5703125" style="703" customWidth="1"/>
    <col min="2073" max="2073" width="8" style="703" customWidth="1"/>
    <col min="2074" max="2074" width="8.85546875" style="703" customWidth="1"/>
    <col min="2075" max="2075" width="7.5703125" style="703" customWidth="1"/>
    <col min="2076" max="2076" width="11.7109375" style="703" customWidth="1"/>
    <col min="2077" max="2077" width="11.28515625" style="703" customWidth="1"/>
    <col min="2078" max="2307" width="9.140625" style="703"/>
    <col min="2308" max="2308" width="17.42578125" style="703" customWidth="1"/>
    <col min="2309" max="2309" width="11" style="703" customWidth="1"/>
    <col min="2310" max="2310" width="10.7109375" style="703" customWidth="1"/>
    <col min="2311" max="2311" width="11" style="703" customWidth="1"/>
    <col min="2312" max="2312" width="10.5703125" style="703" customWidth="1"/>
    <col min="2313" max="2313" width="10.85546875" style="703" customWidth="1"/>
    <col min="2314" max="2314" width="9.5703125" style="703" customWidth="1"/>
    <col min="2315" max="2315" width="9.85546875" style="703" customWidth="1"/>
    <col min="2316" max="2317" width="11" style="703" customWidth="1"/>
    <col min="2318" max="2318" width="11.7109375" style="703" customWidth="1"/>
    <col min="2319" max="2319" width="11.28515625" style="703" customWidth="1"/>
    <col min="2320" max="2320" width="11" style="703" customWidth="1"/>
    <col min="2321" max="2321" width="12" style="703" customWidth="1"/>
    <col min="2322" max="2322" width="9.140625" style="703"/>
    <col min="2323" max="2323" width="8.42578125" style="703" customWidth="1"/>
    <col min="2324" max="2324" width="7.28515625" style="703" customWidth="1"/>
    <col min="2325" max="2325" width="11" style="703" customWidth="1"/>
    <col min="2326" max="2326" width="10.5703125" style="703" customWidth="1"/>
    <col min="2327" max="2327" width="10.85546875" style="703" customWidth="1"/>
    <col min="2328" max="2328" width="9.5703125" style="703" customWidth="1"/>
    <col min="2329" max="2329" width="8" style="703" customWidth="1"/>
    <col min="2330" max="2330" width="8.85546875" style="703" customWidth="1"/>
    <col min="2331" max="2331" width="7.5703125" style="703" customWidth="1"/>
    <col min="2332" max="2332" width="11.7109375" style="703" customWidth="1"/>
    <col min="2333" max="2333" width="11.28515625" style="703" customWidth="1"/>
    <col min="2334" max="2563" width="9.140625" style="703"/>
    <col min="2564" max="2564" width="17.42578125" style="703" customWidth="1"/>
    <col min="2565" max="2565" width="11" style="703" customWidth="1"/>
    <col min="2566" max="2566" width="10.7109375" style="703" customWidth="1"/>
    <col min="2567" max="2567" width="11" style="703" customWidth="1"/>
    <col min="2568" max="2568" width="10.5703125" style="703" customWidth="1"/>
    <col min="2569" max="2569" width="10.85546875" style="703" customWidth="1"/>
    <col min="2570" max="2570" width="9.5703125" style="703" customWidth="1"/>
    <col min="2571" max="2571" width="9.85546875" style="703" customWidth="1"/>
    <col min="2572" max="2573" width="11" style="703" customWidth="1"/>
    <col min="2574" max="2574" width="11.7109375" style="703" customWidth="1"/>
    <col min="2575" max="2575" width="11.28515625" style="703" customWidth="1"/>
    <col min="2576" max="2576" width="11" style="703" customWidth="1"/>
    <col min="2577" max="2577" width="12" style="703" customWidth="1"/>
    <col min="2578" max="2578" width="9.140625" style="703"/>
    <col min="2579" max="2579" width="8.42578125" style="703" customWidth="1"/>
    <col min="2580" max="2580" width="7.28515625" style="703" customWidth="1"/>
    <col min="2581" max="2581" width="11" style="703" customWidth="1"/>
    <col min="2582" max="2582" width="10.5703125" style="703" customWidth="1"/>
    <col min="2583" max="2583" width="10.85546875" style="703" customWidth="1"/>
    <col min="2584" max="2584" width="9.5703125" style="703" customWidth="1"/>
    <col min="2585" max="2585" width="8" style="703" customWidth="1"/>
    <col min="2586" max="2586" width="8.85546875" style="703" customWidth="1"/>
    <col min="2587" max="2587" width="7.5703125" style="703" customWidth="1"/>
    <col min="2588" max="2588" width="11.7109375" style="703" customWidth="1"/>
    <col min="2589" max="2589" width="11.28515625" style="703" customWidth="1"/>
    <col min="2590" max="2819" width="9.140625" style="703"/>
    <col min="2820" max="2820" width="17.42578125" style="703" customWidth="1"/>
    <col min="2821" max="2821" width="11" style="703" customWidth="1"/>
    <col min="2822" max="2822" width="10.7109375" style="703" customWidth="1"/>
    <col min="2823" max="2823" width="11" style="703" customWidth="1"/>
    <col min="2824" max="2824" width="10.5703125" style="703" customWidth="1"/>
    <col min="2825" max="2825" width="10.85546875" style="703" customWidth="1"/>
    <col min="2826" max="2826" width="9.5703125" style="703" customWidth="1"/>
    <col min="2827" max="2827" width="9.85546875" style="703" customWidth="1"/>
    <col min="2828" max="2829" width="11" style="703" customWidth="1"/>
    <col min="2830" max="2830" width="11.7109375" style="703" customWidth="1"/>
    <col min="2831" max="2831" width="11.28515625" style="703" customWidth="1"/>
    <col min="2832" max="2832" width="11" style="703" customWidth="1"/>
    <col min="2833" max="2833" width="12" style="703" customWidth="1"/>
    <col min="2834" max="2834" width="9.140625" style="703"/>
    <col min="2835" max="2835" width="8.42578125" style="703" customWidth="1"/>
    <col min="2836" max="2836" width="7.28515625" style="703" customWidth="1"/>
    <col min="2837" max="2837" width="11" style="703" customWidth="1"/>
    <col min="2838" max="2838" width="10.5703125" style="703" customWidth="1"/>
    <col min="2839" max="2839" width="10.85546875" style="703" customWidth="1"/>
    <col min="2840" max="2840" width="9.5703125" style="703" customWidth="1"/>
    <col min="2841" max="2841" width="8" style="703" customWidth="1"/>
    <col min="2842" max="2842" width="8.85546875" style="703" customWidth="1"/>
    <col min="2843" max="2843" width="7.5703125" style="703" customWidth="1"/>
    <col min="2844" max="2844" width="11.7109375" style="703" customWidth="1"/>
    <col min="2845" max="2845" width="11.28515625" style="703" customWidth="1"/>
    <col min="2846" max="3075" width="9.140625" style="703"/>
    <col min="3076" max="3076" width="17.42578125" style="703" customWidth="1"/>
    <col min="3077" max="3077" width="11" style="703" customWidth="1"/>
    <col min="3078" max="3078" width="10.7109375" style="703" customWidth="1"/>
    <col min="3079" max="3079" width="11" style="703" customWidth="1"/>
    <col min="3080" max="3080" width="10.5703125" style="703" customWidth="1"/>
    <col min="3081" max="3081" width="10.85546875" style="703" customWidth="1"/>
    <col min="3082" max="3082" width="9.5703125" style="703" customWidth="1"/>
    <col min="3083" max="3083" width="9.85546875" style="703" customWidth="1"/>
    <col min="3084" max="3085" width="11" style="703" customWidth="1"/>
    <col min="3086" max="3086" width="11.7109375" style="703" customWidth="1"/>
    <col min="3087" max="3087" width="11.28515625" style="703" customWidth="1"/>
    <col min="3088" max="3088" width="11" style="703" customWidth="1"/>
    <col min="3089" max="3089" width="12" style="703" customWidth="1"/>
    <col min="3090" max="3090" width="9.140625" style="703"/>
    <col min="3091" max="3091" width="8.42578125" style="703" customWidth="1"/>
    <col min="3092" max="3092" width="7.28515625" style="703" customWidth="1"/>
    <col min="3093" max="3093" width="11" style="703" customWidth="1"/>
    <col min="3094" max="3094" width="10.5703125" style="703" customWidth="1"/>
    <col min="3095" max="3095" width="10.85546875" style="703" customWidth="1"/>
    <col min="3096" max="3096" width="9.5703125" style="703" customWidth="1"/>
    <col min="3097" max="3097" width="8" style="703" customWidth="1"/>
    <col min="3098" max="3098" width="8.85546875" style="703" customWidth="1"/>
    <col min="3099" max="3099" width="7.5703125" style="703" customWidth="1"/>
    <col min="3100" max="3100" width="11.7109375" style="703" customWidth="1"/>
    <col min="3101" max="3101" width="11.28515625" style="703" customWidth="1"/>
    <col min="3102" max="3331" width="9.140625" style="703"/>
    <col min="3332" max="3332" width="17.42578125" style="703" customWidth="1"/>
    <col min="3333" max="3333" width="11" style="703" customWidth="1"/>
    <col min="3334" max="3334" width="10.7109375" style="703" customWidth="1"/>
    <col min="3335" max="3335" width="11" style="703" customWidth="1"/>
    <col min="3336" max="3336" width="10.5703125" style="703" customWidth="1"/>
    <col min="3337" max="3337" width="10.85546875" style="703" customWidth="1"/>
    <col min="3338" max="3338" width="9.5703125" style="703" customWidth="1"/>
    <col min="3339" max="3339" width="9.85546875" style="703" customWidth="1"/>
    <col min="3340" max="3341" width="11" style="703" customWidth="1"/>
    <col min="3342" max="3342" width="11.7109375" style="703" customWidth="1"/>
    <col min="3343" max="3343" width="11.28515625" style="703" customWidth="1"/>
    <col min="3344" max="3344" width="11" style="703" customWidth="1"/>
    <col min="3345" max="3345" width="12" style="703" customWidth="1"/>
    <col min="3346" max="3346" width="9.140625" style="703"/>
    <col min="3347" max="3347" width="8.42578125" style="703" customWidth="1"/>
    <col min="3348" max="3348" width="7.28515625" style="703" customWidth="1"/>
    <col min="3349" max="3349" width="11" style="703" customWidth="1"/>
    <col min="3350" max="3350" width="10.5703125" style="703" customWidth="1"/>
    <col min="3351" max="3351" width="10.85546875" style="703" customWidth="1"/>
    <col min="3352" max="3352" width="9.5703125" style="703" customWidth="1"/>
    <col min="3353" max="3353" width="8" style="703" customWidth="1"/>
    <col min="3354" max="3354" width="8.85546875" style="703" customWidth="1"/>
    <col min="3355" max="3355" width="7.5703125" style="703" customWidth="1"/>
    <col min="3356" max="3356" width="11.7109375" style="703" customWidth="1"/>
    <col min="3357" max="3357" width="11.28515625" style="703" customWidth="1"/>
    <col min="3358" max="3587" width="9.140625" style="703"/>
    <col min="3588" max="3588" width="17.42578125" style="703" customWidth="1"/>
    <col min="3589" max="3589" width="11" style="703" customWidth="1"/>
    <col min="3590" max="3590" width="10.7109375" style="703" customWidth="1"/>
    <col min="3591" max="3591" width="11" style="703" customWidth="1"/>
    <col min="3592" max="3592" width="10.5703125" style="703" customWidth="1"/>
    <col min="3593" max="3593" width="10.85546875" style="703" customWidth="1"/>
    <col min="3594" max="3594" width="9.5703125" style="703" customWidth="1"/>
    <col min="3595" max="3595" width="9.85546875" style="703" customWidth="1"/>
    <col min="3596" max="3597" width="11" style="703" customWidth="1"/>
    <col min="3598" max="3598" width="11.7109375" style="703" customWidth="1"/>
    <col min="3599" max="3599" width="11.28515625" style="703" customWidth="1"/>
    <col min="3600" max="3600" width="11" style="703" customWidth="1"/>
    <col min="3601" max="3601" width="12" style="703" customWidth="1"/>
    <col min="3602" max="3602" width="9.140625" style="703"/>
    <col min="3603" max="3603" width="8.42578125" style="703" customWidth="1"/>
    <col min="3604" max="3604" width="7.28515625" style="703" customWidth="1"/>
    <col min="3605" max="3605" width="11" style="703" customWidth="1"/>
    <col min="3606" max="3606" width="10.5703125" style="703" customWidth="1"/>
    <col min="3607" max="3607" width="10.85546875" style="703" customWidth="1"/>
    <col min="3608" max="3608" width="9.5703125" style="703" customWidth="1"/>
    <col min="3609" max="3609" width="8" style="703" customWidth="1"/>
    <col min="3610" max="3610" width="8.85546875" style="703" customWidth="1"/>
    <col min="3611" max="3611" width="7.5703125" style="703" customWidth="1"/>
    <col min="3612" max="3612" width="11.7109375" style="703" customWidth="1"/>
    <col min="3613" max="3613" width="11.28515625" style="703" customWidth="1"/>
    <col min="3614" max="3843" width="9.140625" style="703"/>
    <col min="3844" max="3844" width="17.42578125" style="703" customWidth="1"/>
    <col min="3845" max="3845" width="11" style="703" customWidth="1"/>
    <col min="3846" max="3846" width="10.7109375" style="703" customWidth="1"/>
    <col min="3847" max="3847" width="11" style="703" customWidth="1"/>
    <col min="3848" max="3848" width="10.5703125" style="703" customWidth="1"/>
    <col min="3849" max="3849" width="10.85546875" style="703" customWidth="1"/>
    <col min="3850" max="3850" width="9.5703125" style="703" customWidth="1"/>
    <col min="3851" max="3851" width="9.85546875" style="703" customWidth="1"/>
    <col min="3852" max="3853" width="11" style="703" customWidth="1"/>
    <col min="3854" max="3854" width="11.7109375" style="703" customWidth="1"/>
    <col min="3855" max="3855" width="11.28515625" style="703" customWidth="1"/>
    <col min="3856" max="3856" width="11" style="703" customWidth="1"/>
    <col min="3857" max="3857" width="12" style="703" customWidth="1"/>
    <col min="3858" max="3858" width="9.140625" style="703"/>
    <col min="3859" max="3859" width="8.42578125" style="703" customWidth="1"/>
    <col min="3860" max="3860" width="7.28515625" style="703" customWidth="1"/>
    <col min="3861" max="3861" width="11" style="703" customWidth="1"/>
    <col min="3862" max="3862" width="10.5703125" style="703" customWidth="1"/>
    <col min="3863" max="3863" width="10.85546875" style="703" customWidth="1"/>
    <col min="3864" max="3864" width="9.5703125" style="703" customWidth="1"/>
    <col min="3865" max="3865" width="8" style="703" customWidth="1"/>
    <col min="3866" max="3866" width="8.85546875" style="703" customWidth="1"/>
    <col min="3867" max="3867" width="7.5703125" style="703" customWidth="1"/>
    <col min="3868" max="3868" width="11.7109375" style="703" customWidth="1"/>
    <col min="3869" max="3869" width="11.28515625" style="703" customWidth="1"/>
    <col min="3870" max="4099" width="9.140625" style="703"/>
    <col min="4100" max="4100" width="17.42578125" style="703" customWidth="1"/>
    <col min="4101" max="4101" width="11" style="703" customWidth="1"/>
    <col min="4102" max="4102" width="10.7109375" style="703" customWidth="1"/>
    <col min="4103" max="4103" width="11" style="703" customWidth="1"/>
    <col min="4104" max="4104" width="10.5703125" style="703" customWidth="1"/>
    <col min="4105" max="4105" width="10.85546875" style="703" customWidth="1"/>
    <col min="4106" max="4106" width="9.5703125" style="703" customWidth="1"/>
    <col min="4107" max="4107" width="9.85546875" style="703" customWidth="1"/>
    <col min="4108" max="4109" width="11" style="703" customWidth="1"/>
    <col min="4110" max="4110" width="11.7109375" style="703" customWidth="1"/>
    <col min="4111" max="4111" width="11.28515625" style="703" customWidth="1"/>
    <col min="4112" max="4112" width="11" style="703" customWidth="1"/>
    <col min="4113" max="4113" width="12" style="703" customWidth="1"/>
    <col min="4114" max="4114" width="9.140625" style="703"/>
    <col min="4115" max="4115" width="8.42578125" style="703" customWidth="1"/>
    <col min="4116" max="4116" width="7.28515625" style="703" customWidth="1"/>
    <col min="4117" max="4117" width="11" style="703" customWidth="1"/>
    <col min="4118" max="4118" width="10.5703125" style="703" customWidth="1"/>
    <col min="4119" max="4119" width="10.85546875" style="703" customWidth="1"/>
    <col min="4120" max="4120" width="9.5703125" style="703" customWidth="1"/>
    <col min="4121" max="4121" width="8" style="703" customWidth="1"/>
    <col min="4122" max="4122" width="8.85546875" style="703" customWidth="1"/>
    <col min="4123" max="4123" width="7.5703125" style="703" customWidth="1"/>
    <col min="4124" max="4124" width="11.7109375" style="703" customWidth="1"/>
    <col min="4125" max="4125" width="11.28515625" style="703" customWidth="1"/>
    <col min="4126" max="4355" width="9.140625" style="703"/>
    <col min="4356" max="4356" width="17.42578125" style="703" customWidth="1"/>
    <col min="4357" max="4357" width="11" style="703" customWidth="1"/>
    <col min="4358" max="4358" width="10.7109375" style="703" customWidth="1"/>
    <col min="4359" max="4359" width="11" style="703" customWidth="1"/>
    <col min="4360" max="4360" width="10.5703125" style="703" customWidth="1"/>
    <col min="4361" max="4361" width="10.85546875" style="703" customWidth="1"/>
    <col min="4362" max="4362" width="9.5703125" style="703" customWidth="1"/>
    <col min="4363" max="4363" width="9.85546875" style="703" customWidth="1"/>
    <col min="4364" max="4365" width="11" style="703" customWidth="1"/>
    <col min="4366" max="4366" width="11.7109375" style="703" customWidth="1"/>
    <col min="4367" max="4367" width="11.28515625" style="703" customWidth="1"/>
    <col min="4368" max="4368" width="11" style="703" customWidth="1"/>
    <col min="4369" max="4369" width="12" style="703" customWidth="1"/>
    <col min="4370" max="4370" width="9.140625" style="703"/>
    <col min="4371" max="4371" width="8.42578125" style="703" customWidth="1"/>
    <col min="4372" max="4372" width="7.28515625" style="703" customWidth="1"/>
    <col min="4373" max="4373" width="11" style="703" customWidth="1"/>
    <col min="4374" max="4374" width="10.5703125" style="703" customWidth="1"/>
    <col min="4375" max="4375" width="10.85546875" style="703" customWidth="1"/>
    <col min="4376" max="4376" width="9.5703125" style="703" customWidth="1"/>
    <col min="4377" max="4377" width="8" style="703" customWidth="1"/>
    <col min="4378" max="4378" width="8.85546875" style="703" customWidth="1"/>
    <col min="4379" max="4379" width="7.5703125" style="703" customWidth="1"/>
    <col min="4380" max="4380" width="11.7109375" style="703" customWidth="1"/>
    <col min="4381" max="4381" width="11.28515625" style="703" customWidth="1"/>
    <col min="4382" max="4611" width="9.140625" style="703"/>
    <col min="4612" max="4612" width="17.42578125" style="703" customWidth="1"/>
    <col min="4613" max="4613" width="11" style="703" customWidth="1"/>
    <col min="4614" max="4614" width="10.7109375" style="703" customWidth="1"/>
    <col min="4615" max="4615" width="11" style="703" customWidth="1"/>
    <col min="4616" max="4616" width="10.5703125" style="703" customWidth="1"/>
    <col min="4617" max="4617" width="10.85546875" style="703" customWidth="1"/>
    <col min="4618" max="4618" width="9.5703125" style="703" customWidth="1"/>
    <col min="4619" max="4619" width="9.85546875" style="703" customWidth="1"/>
    <col min="4620" max="4621" width="11" style="703" customWidth="1"/>
    <col min="4622" max="4622" width="11.7109375" style="703" customWidth="1"/>
    <col min="4623" max="4623" width="11.28515625" style="703" customWidth="1"/>
    <col min="4624" max="4624" width="11" style="703" customWidth="1"/>
    <col min="4625" max="4625" width="12" style="703" customWidth="1"/>
    <col min="4626" max="4626" width="9.140625" style="703"/>
    <col min="4627" max="4627" width="8.42578125" style="703" customWidth="1"/>
    <col min="4628" max="4628" width="7.28515625" style="703" customWidth="1"/>
    <col min="4629" max="4629" width="11" style="703" customWidth="1"/>
    <col min="4630" max="4630" width="10.5703125" style="703" customWidth="1"/>
    <col min="4631" max="4631" width="10.85546875" style="703" customWidth="1"/>
    <col min="4632" max="4632" width="9.5703125" style="703" customWidth="1"/>
    <col min="4633" max="4633" width="8" style="703" customWidth="1"/>
    <col min="4634" max="4634" width="8.85546875" style="703" customWidth="1"/>
    <col min="4635" max="4635" width="7.5703125" style="703" customWidth="1"/>
    <col min="4636" max="4636" width="11.7109375" style="703" customWidth="1"/>
    <col min="4637" max="4637" width="11.28515625" style="703" customWidth="1"/>
    <col min="4638" max="4867" width="9.140625" style="703"/>
    <col min="4868" max="4868" width="17.42578125" style="703" customWidth="1"/>
    <col min="4869" max="4869" width="11" style="703" customWidth="1"/>
    <col min="4870" max="4870" width="10.7109375" style="703" customWidth="1"/>
    <col min="4871" max="4871" width="11" style="703" customWidth="1"/>
    <col min="4872" max="4872" width="10.5703125" style="703" customWidth="1"/>
    <col min="4873" max="4873" width="10.85546875" style="703" customWidth="1"/>
    <col min="4874" max="4874" width="9.5703125" style="703" customWidth="1"/>
    <col min="4875" max="4875" width="9.85546875" style="703" customWidth="1"/>
    <col min="4876" max="4877" width="11" style="703" customWidth="1"/>
    <col min="4878" max="4878" width="11.7109375" style="703" customWidth="1"/>
    <col min="4879" max="4879" width="11.28515625" style="703" customWidth="1"/>
    <col min="4880" max="4880" width="11" style="703" customWidth="1"/>
    <col min="4881" max="4881" width="12" style="703" customWidth="1"/>
    <col min="4882" max="4882" width="9.140625" style="703"/>
    <col min="4883" max="4883" width="8.42578125" style="703" customWidth="1"/>
    <col min="4884" max="4884" width="7.28515625" style="703" customWidth="1"/>
    <col min="4885" max="4885" width="11" style="703" customWidth="1"/>
    <col min="4886" max="4886" width="10.5703125" style="703" customWidth="1"/>
    <col min="4887" max="4887" width="10.85546875" style="703" customWidth="1"/>
    <col min="4888" max="4888" width="9.5703125" style="703" customWidth="1"/>
    <col min="4889" max="4889" width="8" style="703" customWidth="1"/>
    <col min="4890" max="4890" width="8.85546875" style="703" customWidth="1"/>
    <col min="4891" max="4891" width="7.5703125" style="703" customWidth="1"/>
    <col min="4892" max="4892" width="11.7109375" style="703" customWidth="1"/>
    <col min="4893" max="4893" width="11.28515625" style="703" customWidth="1"/>
    <col min="4894" max="5123" width="9.140625" style="703"/>
    <col min="5124" max="5124" width="17.42578125" style="703" customWidth="1"/>
    <col min="5125" max="5125" width="11" style="703" customWidth="1"/>
    <col min="5126" max="5126" width="10.7109375" style="703" customWidth="1"/>
    <col min="5127" max="5127" width="11" style="703" customWidth="1"/>
    <col min="5128" max="5128" width="10.5703125" style="703" customWidth="1"/>
    <col min="5129" max="5129" width="10.85546875" style="703" customWidth="1"/>
    <col min="5130" max="5130" width="9.5703125" style="703" customWidth="1"/>
    <col min="5131" max="5131" width="9.85546875" style="703" customWidth="1"/>
    <col min="5132" max="5133" width="11" style="703" customWidth="1"/>
    <col min="5134" max="5134" width="11.7109375" style="703" customWidth="1"/>
    <col min="5135" max="5135" width="11.28515625" style="703" customWidth="1"/>
    <col min="5136" max="5136" width="11" style="703" customWidth="1"/>
    <col min="5137" max="5137" width="12" style="703" customWidth="1"/>
    <col min="5138" max="5138" width="9.140625" style="703"/>
    <col min="5139" max="5139" width="8.42578125" style="703" customWidth="1"/>
    <col min="5140" max="5140" width="7.28515625" style="703" customWidth="1"/>
    <col min="5141" max="5141" width="11" style="703" customWidth="1"/>
    <col min="5142" max="5142" width="10.5703125" style="703" customWidth="1"/>
    <col min="5143" max="5143" width="10.85546875" style="703" customWidth="1"/>
    <col min="5144" max="5144" width="9.5703125" style="703" customWidth="1"/>
    <col min="5145" max="5145" width="8" style="703" customWidth="1"/>
    <col min="5146" max="5146" width="8.85546875" style="703" customWidth="1"/>
    <col min="5147" max="5147" width="7.5703125" style="703" customWidth="1"/>
    <col min="5148" max="5148" width="11.7109375" style="703" customWidth="1"/>
    <col min="5149" max="5149" width="11.28515625" style="703" customWidth="1"/>
    <col min="5150" max="5379" width="9.140625" style="703"/>
    <col min="5380" max="5380" width="17.42578125" style="703" customWidth="1"/>
    <col min="5381" max="5381" width="11" style="703" customWidth="1"/>
    <col min="5382" max="5382" width="10.7109375" style="703" customWidth="1"/>
    <col min="5383" max="5383" width="11" style="703" customWidth="1"/>
    <col min="5384" max="5384" width="10.5703125" style="703" customWidth="1"/>
    <col min="5385" max="5385" width="10.85546875" style="703" customWidth="1"/>
    <col min="5386" max="5386" width="9.5703125" style="703" customWidth="1"/>
    <col min="5387" max="5387" width="9.85546875" style="703" customWidth="1"/>
    <col min="5388" max="5389" width="11" style="703" customWidth="1"/>
    <col min="5390" max="5390" width="11.7109375" style="703" customWidth="1"/>
    <col min="5391" max="5391" width="11.28515625" style="703" customWidth="1"/>
    <col min="5392" max="5392" width="11" style="703" customWidth="1"/>
    <col min="5393" max="5393" width="12" style="703" customWidth="1"/>
    <col min="5394" max="5394" width="9.140625" style="703"/>
    <col min="5395" max="5395" width="8.42578125" style="703" customWidth="1"/>
    <col min="5396" max="5396" width="7.28515625" style="703" customWidth="1"/>
    <col min="5397" max="5397" width="11" style="703" customWidth="1"/>
    <col min="5398" max="5398" width="10.5703125" style="703" customWidth="1"/>
    <col min="5399" max="5399" width="10.85546875" style="703" customWidth="1"/>
    <col min="5400" max="5400" width="9.5703125" style="703" customWidth="1"/>
    <col min="5401" max="5401" width="8" style="703" customWidth="1"/>
    <col min="5402" max="5402" width="8.85546875" style="703" customWidth="1"/>
    <col min="5403" max="5403" width="7.5703125" style="703" customWidth="1"/>
    <col min="5404" max="5404" width="11.7109375" style="703" customWidth="1"/>
    <col min="5405" max="5405" width="11.28515625" style="703" customWidth="1"/>
    <col min="5406" max="5635" width="9.140625" style="703"/>
    <col min="5636" max="5636" width="17.42578125" style="703" customWidth="1"/>
    <col min="5637" max="5637" width="11" style="703" customWidth="1"/>
    <col min="5638" max="5638" width="10.7109375" style="703" customWidth="1"/>
    <col min="5639" max="5639" width="11" style="703" customWidth="1"/>
    <col min="5640" max="5640" width="10.5703125" style="703" customWidth="1"/>
    <col min="5641" max="5641" width="10.85546875" style="703" customWidth="1"/>
    <col min="5642" max="5642" width="9.5703125" style="703" customWidth="1"/>
    <col min="5643" max="5643" width="9.85546875" style="703" customWidth="1"/>
    <col min="5644" max="5645" width="11" style="703" customWidth="1"/>
    <col min="5646" max="5646" width="11.7109375" style="703" customWidth="1"/>
    <col min="5647" max="5647" width="11.28515625" style="703" customWidth="1"/>
    <col min="5648" max="5648" width="11" style="703" customWidth="1"/>
    <col min="5649" max="5649" width="12" style="703" customWidth="1"/>
    <col min="5650" max="5650" width="9.140625" style="703"/>
    <col min="5651" max="5651" width="8.42578125" style="703" customWidth="1"/>
    <col min="5652" max="5652" width="7.28515625" style="703" customWidth="1"/>
    <col min="5653" max="5653" width="11" style="703" customWidth="1"/>
    <col min="5654" max="5654" width="10.5703125" style="703" customWidth="1"/>
    <col min="5655" max="5655" width="10.85546875" style="703" customWidth="1"/>
    <col min="5656" max="5656" width="9.5703125" style="703" customWidth="1"/>
    <col min="5657" max="5657" width="8" style="703" customWidth="1"/>
    <col min="5658" max="5658" width="8.85546875" style="703" customWidth="1"/>
    <col min="5659" max="5659" width="7.5703125" style="703" customWidth="1"/>
    <col min="5660" max="5660" width="11.7109375" style="703" customWidth="1"/>
    <col min="5661" max="5661" width="11.28515625" style="703" customWidth="1"/>
    <col min="5662" max="5891" width="9.140625" style="703"/>
    <col min="5892" max="5892" width="17.42578125" style="703" customWidth="1"/>
    <col min="5893" max="5893" width="11" style="703" customWidth="1"/>
    <col min="5894" max="5894" width="10.7109375" style="703" customWidth="1"/>
    <col min="5895" max="5895" width="11" style="703" customWidth="1"/>
    <col min="5896" max="5896" width="10.5703125" style="703" customWidth="1"/>
    <col min="5897" max="5897" width="10.85546875" style="703" customWidth="1"/>
    <col min="5898" max="5898" width="9.5703125" style="703" customWidth="1"/>
    <col min="5899" max="5899" width="9.85546875" style="703" customWidth="1"/>
    <col min="5900" max="5901" width="11" style="703" customWidth="1"/>
    <col min="5902" max="5902" width="11.7109375" style="703" customWidth="1"/>
    <col min="5903" max="5903" width="11.28515625" style="703" customWidth="1"/>
    <col min="5904" max="5904" width="11" style="703" customWidth="1"/>
    <col min="5905" max="5905" width="12" style="703" customWidth="1"/>
    <col min="5906" max="5906" width="9.140625" style="703"/>
    <col min="5907" max="5907" width="8.42578125" style="703" customWidth="1"/>
    <col min="5908" max="5908" width="7.28515625" style="703" customWidth="1"/>
    <col min="5909" max="5909" width="11" style="703" customWidth="1"/>
    <col min="5910" max="5910" width="10.5703125" style="703" customWidth="1"/>
    <col min="5911" max="5911" width="10.85546875" style="703" customWidth="1"/>
    <col min="5912" max="5912" width="9.5703125" style="703" customWidth="1"/>
    <col min="5913" max="5913" width="8" style="703" customWidth="1"/>
    <col min="5914" max="5914" width="8.85546875" style="703" customWidth="1"/>
    <col min="5915" max="5915" width="7.5703125" style="703" customWidth="1"/>
    <col min="5916" max="5916" width="11.7109375" style="703" customWidth="1"/>
    <col min="5917" max="5917" width="11.28515625" style="703" customWidth="1"/>
    <col min="5918" max="6147" width="9.140625" style="703"/>
    <col min="6148" max="6148" width="17.42578125" style="703" customWidth="1"/>
    <col min="6149" max="6149" width="11" style="703" customWidth="1"/>
    <col min="6150" max="6150" width="10.7109375" style="703" customWidth="1"/>
    <col min="6151" max="6151" width="11" style="703" customWidth="1"/>
    <col min="6152" max="6152" width="10.5703125" style="703" customWidth="1"/>
    <col min="6153" max="6153" width="10.85546875" style="703" customWidth="1"/>
    <col min="6154" max="6154" width="9.5703125" style="703" customWidth="1"/>
    <col min="6155" max="6155" width="9.85546875" style="703" customWidth="1"/>
    <col min="6156" max="6157" width="11" style="703" customWidth="1"/>
    <col min="6158" max="6158" width="11.7109375" style="703" customWidth="1"/>
    <col min="6159" max="6159" width="11.28515625" style="703" customWidth="1"/>
    <col min="6160" max="6160" width="11" style="703" customWidth="1"/>
    <col min="6161" max="6161" width="12" style="703" customWidth="1"/>
    <col min="6162" max="6162" width="9.140625" style="703"/>
    <col min="6163" max="6163" width="8.42578125" style="703" customWidth="1"/>
    <col min="6164" max="6164" width="7.28515625" style="703" customWidth="1"/>
    <col min="6165" max="6165" width="11" style="703" customWidth="1"/>
    <col min="6166" max="6166" width="10.5703125" style="703" customWidth="1"/>
    <col min="6167" max="6167" width="10.85546875" style="703" customWidth="1"/>
    <col min="6168" max="6168" width="9.5703125" style="703" customWidth="1"/>
    <col min="6169" max="6169" width="8" style="703" customWidth="1"/>
    <col min="6170" max="6170" width="8.85546875" style="703" customWidth="1"/>
    <col min="6171" max="6171" width="7.5703125" style="703" customWidth="1"/>
    <col min="6172" max="6172" width="11.7109375" style="703" customWidth="1"/>
    <col min="6173" max="6173" width="11.28515625" style="703" customWidth="1"/>
    <col min="6174" max="6403" width="9.140625" style="703"/>
    <col min="6404" max="6404" width="17.42578125" style="703" customWidth="1"/>
    <col min="6405" max="6405" width="11" style="703" customWidth="1"/>
    <col min="6406" max="6406" width="10.7109375" style="703" customWidth="1"/>
    <col min="6407" max="6407" width="11" style="703" customWidth="1"/>
    <col min="6408" max="6408" width="10.5703125" style="703" customWidth="1"/>
    <col min="6409" max="6409" width="10.85546875" style="703" customWidth="1"/>
    <col min="6410" max="6410" width="9.5703125" style="703" customWidth="1"/>
    <col min="6411" max="6411" width="9.85546875" style="703" customWidth="1"/>
    <col min="6412" max="6413" width="11" style="703" customWidth="1"/>
    <col min="6414" max="6414" width="11.7109375" style="703" customWidth="1"/>
    <col min="6415" max="6415" width="11.28515625" style="703" customWidth="1"/>
    <col min="6416" max="6416" width="11" style="703" customWidth="1"/>
    <col min="6417" max="6417" width="12" style="703" customWidth="1"/>
    <col min="6418" max="6418" width="9.140625" style="703"/>
    <col min="6419" max="6419" width="8.42578125" style="703" customWidth="1"/>
    <col min="6420" max="6420" width="7.28515625" style="703" customWidth="1"/>
    <col min="6421" max="6421" width="11" style="703" customWidth="1"/>
    <col min="6422" max="6422" width="10.5703125" style="703" customWidth="1"/>
    <col min="6423" max="6423" width="10.85546875" style="703" customWidth="1"/>
    <col min="6424" max="6424" width="9.5703125" style="703" customWidth="1"/>
    <col min="6425" max="6425" width="8" style="703" customWidth="1"/>
    <col min="6426" max="6426" width="8.85546875" style="703" customWidth="1"/>
    <col min="6427" max="6427" width="7.5703125" style="703" customWidth="1"/>
    <col min="6428" max="6428" width="11.7109375" style="703" customWidth="1"/>
    <col min="6429" max="6429" width="11.28515625" style="703" customWidth="1"/>
    <col min="6430" max="6659" width="9.140625" style="703"/>
    <col min="6660" max="6660" width="17.42578125" style="703" customWidth="1"/>
    <col min="6661" max="6661" width="11" style="703" customWidth="1"/>
    <col min="6662" max="6662" width="10.7109375" style="703" customWidth="1"/>
    <col min="6663" max="6663" width="11" style="703" customWidth="1"/>
    <col min="6664" max="6664" width="10.5703125" style="703" customWidth="1"/>
    <col min="6665" max="6665" width="10.85546875" style="703" customWidth="1"/>
    <col min="6666" max="6666" width="9.5703125" style="703" customWidth="1"/>
    <col min="6667" max="6667" width="9.85546875" style="703" customWidth="1"/>
    <col min="6668" max="6669" width="11" style="703" customWidth="1"/>
    <col min="6670" max="6670" width="11.7109375" style="703" customWidth="1"/>
    <col min="6671" max="6671" width="11.28515625" style="703" customWidth="1"/>
    <col min="6672" max="6672" width="11" style="703" customWidth="1"/>
    <col min="6673" max="6673" width="12" style="703" customWidth="1"/>
    <col min="6674" max="6674" width="9.140625" style="703"/>
    <col min="6675" max="6675" width="8.42578125" style="703" customWidth="1"/>
    <col min="6676" max="6676" width="7.28515625" style="703" customWidth="1"/>
    <col min="6677" max="6677" width="11" style="703" customWidth="1"/>
    <col min="6678" max="6678" width="10.5703125" style="703" customWidth="1"/>
    <col min="6679" max="6679" width="10.85546875" style="703" customWidth="1"/>
    <col min="6680" max="6680" width="9.5703125" style="703" customWidth="1"/>
    <col min="6681" max="6681" width="8" style="703" customWidth="1"/>
    <col min="6682" max="6682" width="8.85546875" style="703" customWidth="1"/>
    <col min="6683" max="6683" width="7.5703125" style="703" customWidth="1"/>
    <col min="6684" max="6684" width="11.7109375" style="703" customWidth="1"/>
    <col min="6685" max="6685" width="11.28515625" style="703" customWidth="1"/>
    <col min="6686" max="6915" width="9.140625" style="703"/>
    <col min="6916" max="6916" width="17.42578125" style="703" customWidth="1"/>
    <col min="6917" max="6917" width="11" style="703" customWidth="1"/>
    <col min="6918" max="6918" width="10.7109375" style="703" customWidth="1"/>
    <col min="6919" max="6919" width="11" style="703" customWidth="1"/>
    <col min="6920" max="6920" width="10.5703125" style="703" customWidth="1"/>
    <col min="6921" max="6921" width="10.85546875" style="703" customWidth="1"/>
    <col min="6922" max="6922" width="9.5703125" style="703" customWidth="1"/>
    <col min="6923" max="6923" width="9.85546875" style="703" customWidth="1"/>
    <col min="6924" max="6925" width="11" style="703" customWidth="1"/>
    <col min="6926" max="6926" width="11.7109375" style="703" customWidth="1"/>
    <col min="6927" max="6927" width="11.28515625" style="703" customWidth="1"/>
    <col min="6928" max="6928" width="11" style="703" customWidth="1"/>
    <col min="6929" max="6929" width="12" style="703" customWidth="1"/>
    <col min="6930" max="6930" width="9.140625" style="703"/>
    <col min="6931" max="6931" width="8.42578125" style="703" customWidth="1"/>
    <col min="6932" max="6932" width="7.28515625" style="703" customWidth="1"/>
    <col min="6933" max="6933" width="11" style="703" customWidth="1"/>
    <col min="6934" max="6934" width="10.5703125" style="703" customWidth="1"/>
    <col min="6935" max="6935" width="10.85546875" style="703" customWidth="1"/>
    <col min="6936" max="6936" width="9.5703125" style="703" customWidth="1"/>
    <col min="6937" max="6937" width="8" style="703" customWidth="1"/>
    <col min="6938" max="6938" width="8.85546875" style="703" customWidth="1"/>
    <col min="6939" max="6939" width="7.5703125" style="703" customWidth="1"/>
    <col min="6940" max="6940" width="11.7109375" style="703" customWidth="1"/>
    <col min="6941" max="6941" width="11.28515625" style="703" customWidth="1"/>
    <col min="6942" max="7171" width="9.140625" style="703"/>
    <col min="7172" max="7172" width="17.42578125" style="703" customWidth="1"/>
    <col min="7173" max="7173" width="11" style="703" customWidth="1"/>
    <col min="7174" max="7174" width="10.7109375" style="703" customWidth="1"/>
    <col min="7175" max="7175" width="11" style="703" customWidth="1"/>
    <col min="7176" max="7176" width="10.5703125" style="703" customWidth="1"/>
    <col min="7177" max="7177" width="10.85546875" style="703" customWidth="1"/>
    <col min="7178" max="7178" width="9.5703125" style="703" customWidth="1"/>
    <col min="7179" max="7179" width="9.85546875" style="703" customWidth="1"/>
    <col min="7180" max="7181" width="11" style="703" customWidth="1"/>
    <col min="7182" max="7182" width="11.7109375" style="703" customWidth="1"/>
    <col min="7183" max="7183" width="11.28515625" style="703" customWidth="1"/>
    <col min="7184" max="7184" width="11" style="703" customWidth="1"/>
    <col min="7185" max="7185" width="12" style="703" customWidth="1"/>
    <col min="7186" max="7186" width="9.140625" style="703"/>
    <col min="7187" max="7187" width="8.42578125" style="703" customWidth="1"/>
    <col min="7188" max="7188" width="7.28515625" style="703" customWidth="1"/>
    <col min="7189" max="7189" width="11" style="703" customWidth="1"/>
    <col min="7190" max="7190" width="10.5703125" style="703" customWidth="1"/>
    <col min="7191" max="7191" width="10.85546875" style="703" customWidth="1"/>
    <col min="7192" max="7192" width="9.5703125" style="703" customWidth="1"/>
    <col min="7193" max="7193" width="8" style="703" customWidth="1"/>
    <col min="7194" max="7194" width="8.85546875" style="703" customWidth="1"/>
    <col min="7195" max="7195" width="7.5703125" style="703" customWidth="1"/>
    <col min="7196" max="7196" width="11.7109375" style="703" customWidth="1"/>
    <col min="7197" max="7197" width="11.28515625" style="703" customWidth="1"/>
    <col min="7198" max="7427" width="9.140625" style="703"/>
    <col min="7428" max="7428" width="17.42578125" style="703" customWidth="1"/>
    <col min="7429" max="7429" width="11" style="703" customWidth="1"/>
    <col min="7430" max="7430" width="10.7109375" style="703" customWidth="1"/>
    <col min="7431" max="7431" width="11" style="703" customWidth="1"/>
    <col min="7432" max="7432" width="10.5703125" style="703" customWidth="1"/>
    <col min="7433" max="7433" width="10.85546875" style="703" customWidth="1"/>
    <col min="7434" max="7434" width="9.5703125" style="703" customWidth="1"/>
    <col min="7435" max="7435" width="9.85546875" style="703" customWidth="1"/>
    <col min="7436" max="7437" width="11" style="703" customWidth="1"/>
    <col min="7438" max="7438" width="11.7109375" style="703" customWidth="1"/>
    <col min="7439" max="7439" width="11.28515625" style="703" customWidth="1"/>
    <col min="7440" max="7440" width="11" style="703" customWidth="1"/>
    <col min="7441" max="7441" width="12" style="703" customWidth="1"/>
    <col min="7442" max="7442" width="9.140625" style="703"/>
    <col min="7443" max="7443" width="8.42578125" style="703" customWidth="1"/>
    <col min="7444" max="7444" width="7.28515625" style="703" customWidth="1"/>
    <col min="7445" max="7445" width="11" style="703" customWidth="1"/>
    <col min="7446" max="7446" width="10.5703125" style="703" customWidth="1"/>
    <col min="7447" max="7447" width="10.85546875" style="703" customWidth="1"/>
    <col min="7448" max="7448" width="9.5703125" style="703" customWidth="1"/>
    <col min="7449" max="7449" width="8" style="703" customWidth="1"/>
    <col min="7450" max="7450" width="8.85546875" style="703" customWidth="1"/>
    <col min="7451" max="7451" width="7.5703125" style="703" customWidth="1"/>
    <col min="7452" max="7452" width="11.7109375" style="703" customWidth="1"/>
    <col min="7453" max="7453" width="11.28515625" style="703" customWidth="1"/>
    <col min="7454" max="7683" width="9.140625" style="703"/>
    <col min="7684" max="7684" width="17.42578125" style="703" customWidth="1"/>
    <col min="7685" max="7685" width="11" style="703" customWidth="1"/>
    <col min="7686" max="7686" width="10.7109375" style="703" customWidth="1"/>
    <col min="7687" max="7687" width="11" style="703" customWidth="1"/>
    <col min="7688" max="7688" width="10.5703125" style="703" customWidth="1"/>
    <col min="7689" max="7689" width="10.85546875" style="703" customWidth="1"/>
    <col min="7690" max="7690" width="9.5703125" style="703" customWidth="1"/>
    <col min="7691" max="7691" width="9.85546875" style="703" customWidth="1"/>
    <col min="7692" max="7693" width="11" style="703" customWidth="1"/>
    <col min="7694" max="7694" width="11.7109375" style="703" customWidth="1"/>
    <col min="7695" max="7695" width="11.28515625" style="703" customWidth="1"/>
    <col min="7696" max="7696" width="11" style="703" customWidth="1"/>
    <col min="7697" max="7697" width="12" style="703" customWidth="1"/>
    <col min="7698" max="7698" width="9.140625" style="703"/>
    <col min="7699" max="7699" width="8.42578125" style="703" customWidth="1"/>
    <col min="7700" max="7700" width="7.28515625" style="703" customWidth="1"/>
    <col min="7701" max="7701" width="11" style="703" customWidth="1"/>
    <col min="7702" max="7702" width="10.5703125" style="703" customWidth="1"/>
    <col min="7703" max="7703" width="10.85546875" style="703" customWidth="1"/>
    <col min="7704" max="7704" width="9.5703125" style="703" customWidth="1"/>
    <col min="7705" max="7705" width="8" style="703" customWidth="1"/>
    <col min="7706" max="7706" width="8.85546875" style="703" customWidth="1"/>
    <col min="7707" max="7707" width="7.5703125" style="703" customWidth="1"/>
    <col min="7708" max="7708" width="11.7109375" style="703" customWidth="1"/>
    <col min="7709" max="7709" width="11.28515625" style="703" customWidth="1"/>
    <col min="7710" max="7939" width="9.140625" style="703"/>
    <col min="7940" max="7940" width="17.42578125" style="703" customWidth="1"/>
    <col min="7941" max="7941" width="11" style="703" customWidth="1"/>
    <col min="7942" max="7942" width="10.7109375" style="703" customWidth="1"/>
    <col min="7943" max="7943" width="11" style="703" customWidth="1"/>
    <col min="7944" max="7944" width="10.5703125" style="703" customWidth="1"/>
    <col min="7945" max="7945" width="10.85546875" style="703" customWidth="1"/>
    <col min="7946" max="7946" width="9.5703125" style="703" customWidth="1"/>
    <col min="7947" max="7947" width="9.85546875" style="703" customWidth="1"/>
    <col min="7948" max="7949" width="11" style="703" customWidth="1"/>
    <col min="7950" max="7950" width="11.7109375" style="703" customWidth="1"/>
    <col min="7951" max="7951" width="11.28515625" style="703" customWidth="1"/>
    <col min="7952" max="7952" width="11" style="703" customWidth="1"/>
    <col min="7953" max="7953" width="12" style="703" customWidth="1"/>
    <col min="7954" max="7954" width="9.140625" style="703"/>
    <col min="7955" max="7955" width="8.42578125" style="703" customWidth="1"/>
    <col min="7956" max="7956" width="7.28515625" style="703" customWidth="1"/>
    <col min="7957" max="7957" width="11" style="703" customWidth="1"/>
    <col min="7958" max="7958" width="10.5703125" style="703" customWidth="1"/>
    <col min="7959" max="7959" width="10.85546875" style="703" customWidth="1"/>
    <col min="7960" max="7960" width="9.5703125" style="703" customWidth="1"/>
    <col min="7961" max="7961" width="8" style="703" customWidth="1"/>
    <col min="7962" max="7962" width="8.85546875" style="703" customWidth="1"/>
    <col min="7963" max="7963" width="7.5703125" style="703" customWidth="1"/>
    <col min="7964" max="7964" width="11.7109375" style="703" customWidth="1"/>
    <col min="7965" max="7965" width="11.28515625" style="703" customWidth="1"/>
    <col min="7966" max="8195" width="9.140625" style="703"/>
    <col min="8196" max="8196" width="17.42578125" style="703" customWidth="1"/>
    <col min="8197" max="8197" width="11" style="703" customWidth="1"/>
    <col min="8198" max="8198" width="10.7109375" style="703" customWidth="1"/>
    <col min="8199" max="8199" width="11" style="703" customWidth="1"/>
    <col min="8200" max="8200" width="10.5703125" style="703" customWidth="1"/>
    <col min="8201" max="8201" width="10.85546875" style="703" customWidth="1"/>
    <col min="8202" max="8202" width="9.5703125" style="703" customWidth="1"/>
    <col min="8203" max="8203" width="9.85546875" style="703" customWidth="1"/>
    <col min="8204" max="8205" width="11" style="703" customWidth="1"/>
    <col min="8206" max="8206" width="11.7109375" style="703" customWidth="1"/>
    <col min="8207" max="8207" width="11.28515625" style="703" customWidth="1"/>
    <col min="8208" max="8208" width="11" style="703" customWidth="1"/>
    <col min="8209" max="8209" width="12" style="703" customWidth="1"/>
    <col min="8210" max="8210" width="9.140625" style="703"/>
    <col min="8211" max="8211" width="8.42578125" style="703" customWidth="1"/>
    <col min="8212" max="8212" width="7.28515625" style="703" customWidth="1"/>
    <col min="8213" max="8213" width="11" style="703" customWidth="1"/>
    <col min="8214" max="8214" width="10.5703125" style="703" customWidth="1"/>
    <col min="8215" max="8215" width="10.85546875" style="703" customWidth="1"/>
    <col min="8216" max="8216" width="9.5703125" style="703" customWidth="1"/>
    <col min="8217" max="8217" width="8" style="703" customWidth="1"/>
    <col min="8218" max="8218" width="8.85546875" style="703" customWidth="1"/>
    <col min="8219" max="8219" width="7.5703125" style="703" customWidth="1"/>
    <col min="8220" max="8220" width="11.7109375" style="703" customWidth="1"/>
    <col min="8221" max="8221" width="11.28515625" style="703" customWidth="1"/>
    <col min="8222" max="8451" width="9.140625" style="703"/>
    <col min="8452" max="8452" width="17.42578125" style="703" customWidth="1"/>
    <col min="8453" max="8453" width="11" style="703" customWidth="1"/>
    <col min="8454" max="8454" width="10.7109375" style="703" customWidth="1"/>
    <col min="8455" max="8455" width="11" style="703" customWidth="1"/>
    <col min="8456" max="8456" width="10.5703125" style="703" customWidth="1"/>
    <col min="8457" max="8457" width="10.85546875" style="703" customWidth="1"/>
    <col min="8458" max="8458" width="9.5703125" style="703" customWidth="1"/>
    <col min="8459" max="8459" width="9.85546875" style="703" customWidth="1"/>
    <col min="8460" max="8461" width="11" style="703" customWidth="1"/>
    <col min="8462" max="8462" width="11.7109375" style="703" customWidth="1"/>
    <col min="8463" max="8463" width="11.28515625" style="703" customWidth="1"/>
    <col min="8464" max="8464" width="11" style="703" customWidth="1"/>
    <col min="8465" max="8465" width="12" style="703" customWidth="1"/>
    <col min="8466" max="8466" width="9.140625" style="703"/>
    <col min="8467" max="8467" width="8.42578125" style="703" customWidth="1"/>
    <col min="8468" max="8468" width="7.28515625" style="703" customWidth="1"/>
    <col min="8469" max="8469" width="11" style="703" customWidth="1"/>
    <col min="8470" max="8470" width="10.5703125" style="703" customWidth="1"/>
    <col min="8471" max="8471" width="10.85546875" style="703" customWidth="1"/>
    <col min="8472" max="8472" width="9.5703125" style="703" customWidth="1"/>
    <col min="8473" max="8473" width="8" style="703" customWidth="1"/>
    <col min="8474" max="8474" width="8.85546875" style="703" customWidth="1"/>
    <col min="8475" max="8475" width="7.5703125" style="703" customWidth="1"/>
    <col min="8476" max="8476" width="11.7109375" style="703" customWidth="1"/>
    <col min="8477" max="8477" width="11.28515625" style="703" customWidth="1"/>
    <col min="8478" max="8707" width="9.140625" style="703"/>
    <col min="8708" max="8708" width="17.42578125" style="703" customWidth="1"/>
    <col min="8709" max="8709" width="11" style="703" customWidth="1"/>
    <col min="8710" max="8710" width="10.7109375" style="703" customWidth="1"/>
    <col min="8711" max="8711" width="11" style="703" customWidth="1"/>
    <col min="8712" max="8712" width="10.5703125" style="703" customWidth="1"/>
    <col min="8713" max="8713" width="10.85546875" style="703" customWidth="1"/>
    <col min="8714" max="8714" width="9.5703125" style="703" customWidth="1"/>
    <col min="8715" max="8715" width="9.85546875" style="703" customWidth="1"/>
    <col min="8716" max="8717" width="11" style="703" customWidth="1"/>
    <col min="8718" max="8718" width="11.7109375" style="703" customWidth="1"/>
    <col min="8719" max="8719" width="11.28515625" style="703" customWidth="1"/>
    <col min="8720" max="8720" width="11" style="703" customWidth="1"/>
    <col min="8721" max="8721" width="12" style="703" customWidth="1"/>
    <col min="8722" max="8722" width="9.140625" style="703"/>
    <col min="8723" max="8723" width="8.42578125" style="703" customWidth="1"/>
    <col min="8724" max="8724" width="7.28515625" style="703" customWidth="1"/>
    <col min="8725" max="8725" width="11" style="703" customWidth="1"/>
    <col min="8726" max="8726" width="10.5703125" style="703" customWidth="1"/>
    <col min="8727" max="8727" width="10.85546875" style="703" customWidth="1"/>
    <col min="8728" max="8728" width="9.5703125" style="703" customWidth="1"/>
    <col min="8729" max="8729" width="8" style="703" customWidth="1"/>
    <col min="8730" max="8730" width="8.85546875" style="703" customWidth="1"/>
    <col min="8731" max="8731" width="7.5703125" style="703" customWidth="1"/>
    <col min="8732" max="8732" width="11.7109375" style="703" customWidth="1"/>
    <col min="8733" max="8733" width="11.28515625" style="703" customWidth="1"/>
    <col min="8734" max="8963" width="9.140625" style="703"/>
    <col min="8964" max="8964" width="17.42578125" style="703" customWidth="1"/>
    <col min="8965" max="8965" width="11" style="703" customWidth="1"/>
    <col min="8966" max="8966" width="10.7109375" style="703" customWidth="1"/>
    <col min="8967" max="8967" width="11" style="703" customWidth="1"/>
    <col min="8968" max="8968" width="10.5703125" style="703" customWidth="1"/>
    <col min="8969" max="8969" width="10.85546875" style="703" customWidth="1"/>
    <col min="8970" max="8970" width="9.5703125" style="703" customWidth="1"/>
    <col min="8971" max="8971" width="9.85546875" style="703" customWidth="1"/>
    <col min="8972" max="8973" width="11" style="703" customWidth="1"/>
    <col min="8974" max="8974" width="11.7109375" style="703" customWidth="1"/>
    <col min="8975" max="8975" width="11.28515625" style="703" customWidth="1"/>
    <col min="8976" max="8976" width="11" style="703" customWidth="1"/>
    <col min="8977" max="8977" width="12" style="703" customWidth="1"/>
    <col min="8978" max="8978" width="9.140625" style="703"/>
    <col min="8979" max="8979" width="8.42578125" style="703" customWidth="1"/>
    <col min="8980" max="8980" width="7.28515625" style="703" customWidth="1"/>
    <col min="8981" max="8981" width="11" style="703" customWidth="1"/>
    <col min="8982" max="8982" width="10.5703125" style="703" customWidth="1"/>
    <col min="8983" max="8983" width="10.85546875" style="703" customWidth="1"/>
    <col min="8984" max="8984" width="9.5703125" style="703" customWidth="1"/>
    <col min="8985" max="8985" width="8" style="703" customWidth="1"/>
    <col min="8986" max="8986" width="8.85546875" style="703" customWidth="1"/>
    <col min="8987" max="8987" width="7.5703125" style="703" customWidth="1"/>
    <col min="8988" max="8988" width="11.7109375" style="703" customWidth="1"/>
    <col min="8989" max="8989" width="11.28515625" style="703" customWidth="1"/>
    <col min="8990" max="9219" width="9.140625" style="703"/>
    <col min="9220" max="9220" width="17.42578125" style="703" customWidth="1"/>
    <col min="9221" max="9221" width="11" style="703" customWidth="1"/>
    <col min="9222" max="9222" width="10.7109375" style="703" customWidth="1"/>
    <col min="9223" max="9223" width="11" style="703" customWidth="1"/>
    <col min="9224" max="9224" width="10.5703125" style="703" customWidth="1"/>
    <col min="9225" max="9225" width="10.85546875" style="703" customWidth="1"/>
    <col min="9226" max="9226" width="9.5703125" style="703" customWidth="1"/>
    <col min="9227" max="9227" width="9.85546875" style="703" customWidth="1"/>
    <col min="9228" max="9229" width="11" style="703" customWidth="1"/>
    <col min="9230" max="9230" width="11.7109375" style="703" customWidth="1"/>
    <col min="9231" max="9231" width="11.28515625" style="703" customWidth="1"/>
    <col min="9232" max="9232" width="11" style="703" customWidth="1"/>
    <col min="9233" max="9233" width="12" style="703" customWidth="1"/>
    <col min="9234" max="9234" width="9.140625" style="703"/>
    <col min="9235" max="9235" width="8.42578125" style="703" customWidth="1"/>
    <col min="9236" max="9236" width="7.28515625" style="703" customWidth="1"/>
    <col min="9237" max="9237" width="11" style="703" customWidth="1"/>
    <col min="9238" max="9238" width="10.5703125" style="703" customWidth="1"/>
    <col min="9239" max="9239" width="10.85546875" style="703" customWidth="1"/>
    <col min="9240" max="9240" width="9.5703125" style="703" customWidth="1"/>
    <col min="9241" max="9241" width="8" style="703" customWidth="1"/>
    <col min="9242" max="9242" width="8.85546875" style="703" customWidth="1"/>
    <col min="9243" max="9243" width="7.5703125" style="703" customWidth="1"/>
    <col min="9244" max="9244" width="11.7109375" style="703" customWidth="1"/>
    <col min="9245" max="9245" width="11.28515625" style="703" customWidth="1"/>
    <col min="9246" max="9475" width="9.140625" style="703"/>
    <col min="9476" max="9476" width="17.42578125" style="703" customWidth="1"/>
    <col min="9477" max="9477" width="11" style="703" customWidth="1"/>
    <col min="9478" max="9478" width="10.7109375" style="703" customWidth="1"/>
    <col min="9479" max="9479" width="11" style="703" customWidth="1"/>
    <col min="9480" max="9480" width="10.5703125" style="703" customWidth="1"/>
    <col min="9481" max="9481" width="10.85546875" style="703" customWidth="1"/>
    <col min="9482" max="9482" width="9.5703125" style="703" customWidth="1"/>
    <col min="9483" max="9483" width="9.85546875" style="703" customWidth="1"/>
    <col min="9484" max="9485" width="11" style="703" customWidth="1"/>
    <col min="9486" max="9486" width="11.7109375" style="703" customWidth="1"/>
    <col min="9487" max="9487" width="11.28515625" style="703" customWidth="1"/>
    <col min="9488" max="9488" width="11" style="703" customWidth="1"/>
    <col min="9489" max="9489" width="12" style="703" customWidth="1"/>
    <col min="9490" max="9490" width="9.140625" style="703"/>
    <col min="9491" max="9491" width="8.42578125" style="703" customWidth="1"/>
    <col min="9492" max="9492" width="7.28515625" style="703" customWidth="1"/>
    <col min="9493" max="9493" width="11" style="703" customWidth="1"/>
    <col min="9494" max="9494" width="10.5703125" style="703" customWidth="1"/>
    <col min="9495" max="9495" width="10.85546875" style="703" customWidth="1"/>
    <col min="9496" max="9496" width="9.5703125" style="703" customWidth="1"/>
    <col min="9497" max="9497" width="8" style="703" customWidth="1"/>
    <col min="9498" max="9498" width="8.85546875" style="703" customWidth="1"/>
    <col min="9499" max="9499" width="7.5703125" style="703" customWidth="1"/>
    <col min="9500" max="9500" width="11.7109375" style="703" customWidth="1"/>
    <col min="9501" max="9501" width="11.28515625" style="703" customWidth="1"/>
    <col min="9502" max="9731" width="9.140625" style="703"/>
    <col min="9732" max="9732" width="17.42578125" style="703" customWidth="1"/>
    <col min="9733" max="9733" width="11" style="703" customWidth="1"/>
    <col min="9734" max="9734" width="10.7109375" style="703" customWidth="1"/>
    <col min="9735" max="9735" width="11" style="703" customWidth="1"/>
    <col min="9736" max="9736" width="10.5703125" style="703" customWidth="1"/>
    <col min="9737" max="9737" width="10.85546875" style="703" customWidth="1"/>
    <col min="9738" max="9738" width="9.5703125" style="703" customWidth="1"/>
    <col min="9739" max="9739" width="9.85546875" style="703" customWidth="1"/>
    <col min="9740" max="9741" width="11" style="703" customWidth="1"/>
    <col min="9742" max="9742" width="11.7109375" style="703" customWidth="1"/>
    <col min="9743" max="9743" width="11.28515625" style="703" customWidth="1"/>
    <col min="9744" max="9744" width="11" style="703" customWidth="1"/>
    <col min="9745" max="9745" width="12" style="703" customWidth="1"/>
    <col min="9746" max="9746" width="9.140625" style="703"/>
    <col min="9747" max="9747" width="8.42578125" style="703" customWidth="1"/>
    <col min="9748" max="9748" width="7.28515625" style="703" customWidth="1"/>
    <col min="9749" max="9749" width="11" style="703" customWidth="1"/>
    <col min="9750" max="9750" width="10.5703125" style="703" customWidth="1"/>
    <col min="9751" max="9751" width="10.85546875" style="703" customWidth="1"/>
    <col min="9752" max="9752" width="9.5703125" style="703" customWidth="1"/>
    <col min="9753" max="9753" width="8" style="703" customWidth="1"/>
    <col min="9754" max="9754" width="8.85546875" style="703" customWidth="1"/>
    <col min="9755" max="9755" width="7.5703125" style="703" customWidth="1"/>
    <col min="9756" max="9756" width="11.7109375" style="703" customWidth="1"/>
    <col min="9757" max="9757" width="11.28515625" style="703" customWidth="1"/>
    <col min="9758" max="9987" width="9.140625" style="703"/>
    <col min="9988" max="9988" width="17.42578125" style="703" customWidth="1"/>
    <col min="9989" max="9989" width="11" style="703" customWidth="1"/>
    <col min="9990" max="9990" width="10.7109375" style="703" customWidth="1"/>
    <col min="9991" max="9991" width="11" style="703" customWidth="1"/>
    <col min="9992" max="9992" width="10.5703125" style="703" customWidth="1"/>
    <col min="9993" max="9993" width="10.85546875" style="703" customWidth="1"/>
    <col min="9994" max="9994" width="9.5703125" style="703" customWidth="1"/>
    <col min="9995" max="9995" width="9.85546875" style="703" customWidth="1"/>
    <col min="9996" max="9997" width="11" style="703" customWidth="1"/>
    <col min="9998" max="9998" width="11.7109375" style="703" customWidth="1"/>
    <col min="9999" max="9999" width="11.28515625" style="703" customWidth="1"/>
    <col min="10000" max="10000" width="11" style="703" customWidth="1"/>
    <col min="10001" max="10001" width="12" style="703" customWidth="1"/>
    <col min="10002" max="10002" width="9.140625" style="703"/>
    <col min="10003" max="10003" width="8.42578125" style="703" customWidth="1"/>
    <col min="10004" max="10004" width="7.28515625" style="703" customWidth="1"/>
    <col min="10005" max="10005" width="11" style="703" customWidth="1"/>
    <col min="10006" max="10006" width="10.5703125" style="703" customWidth="1"/>
    <col min="10007" max="10007" width="10.85546875" style="703" customWidth="1"/>
    <col min="10008" max="10008" width="9.5703125" style="703" customWidth="1"/>
    <col min="10009" max="10009" width="8" style="703" customWidth="1"/>
    <col min="10010" max="10010" width="8.85546875" style="703" customWidth="1"/>
    <col min="10011" max="10011" width="7.5703125" style="703" customWidth="1"/>
    <col min="10012" max="10012" width="11.7109375" style="703" customWidth="1"/>
    <col min="10013" max="10013" width="11.28515625" style="703" customWidth="1"/>
    <col min="10014" max="10243" width="9.140625" style="703"/>
    <col min="10244" max="10244" width="17.42578125" style="703" customWidth="1"/>
    <col min="10245" max="10245" width="11" style="703" customWidth="1"/>
    <col min="10246" max="10246" width="10.7109375" style="703" customWidth="1"/>
    <col min="10247" max="10247" width="11" style="703" customWidth="1"/>
    <col min="10248" max="10248" width="10.5703125" style="703" customWidth="1"/>
    <col min="10249" max="10249" width="10.85546875" style="703" customWidth="1"/>
    <col min="10250" max="10250" width="9.5703125" style="703" customWidth="1"/>
    <col min="10251" max="10251" width="9.85546875" style="703" customWidth="1"/>
    <col min="10252" max="10253" width="11" style="703" customWidth="1"/>
    <col min="10254" max="10254" width="11.7109375" style="703" customWidth="1"/>
    <col min="10255" max="10255" width="11.28515625" style="703" customWidth="1"/>
    <col min="10256" max="10256" width="11" style="703" customWidth="1"/>
    <col min="10257" max="10257" width="12" style="703" customWidth="1"/>
    <col min="10258" max="10258" width="9.140625" style="703"/>
    <col min="10259" max="10259" width="8.42578125" style="703" customWidth="1"/>
    <col min="10260" max="10260" width="7.28515625" style="703" customWidth="1"/>
    <col min="10261" max="10261" width="11" style="703" customWidth="1"/>
    <col min="10262" max="10262" width="10.5703125" style="703" customWidth="1"/>
    <col min="10263" max="10263" width="10.85546875" style="703" customWidth="1"/>
    <col min="10264" max="10264" width="9.5703125" style="703" customWidth="1"/>
    <col min="10265" max="10265" width="8" style="703" customWidth="1"/>
    <col min="10266" max="10266" width="8.85546875" style="703" customWidth="1"/>
    <col min="10267" max="10267" width="7.5703125" style="703" customWidth="1"/>
    <col min="10268" max="10268" width="11.7109375" style="703" customWidth="1"/>
    <col min="10269" max="10269" width="11.28515625" style="703" customWidth="1"/>
    <col min="10270" max="10499" width="9.140625" style="703"/>
    <col min="10500" max="10500" width="17.42578125" style="703" customWidth="1"/>
    <col min="10501" max="10501" width="11" style="703" customWidth="1"/>
    <col min="10502" max="10502" width="10.7109375" style="703" customWidth="1"/>
    <col min="10503" max="10503" width="11" style="703" customWidth="1"/>
    <col min="10504" max="10504" width="10.5703125" style="703" customWidth="1"/>
    <col min="10505" max="10505" width="10.85546875" style="703" customWidth="1"/>
    <col min="10506" max="10506" width="9.5703125" style="703" customWidth="1"/>
    <col min="10507" max="10507" width="9.85546875" style="703" customWidth="1"/>
    <col min="10508" max="10509" width="11" style="703" customWidth="1"/>
    <col min="10510" max="10510" width="11.7109375" style="703" customWidth="1"/>
    <col min="10511" max="10511" width="11.28515625" style="703" customWidth="1"/>
    <col min="10512" max="10512" width="11" style="703" customWidth="1"/>
    <col min="10513" max="10513" width="12" style="703" customWidth="1"/>
    <col min="10514" max="10514" width="9.140625" style="703"/>
    <col min="10515" max="10515" width="8.42578125" style="703" customWidth="1"/>
    <col min="10516" max="10516" width="7.28515625" style="703" customWidth="1"/>
    <col min="10517" max="10517" width="11" style="703" customWidth="1"/>
    <col min="10518" max="10518" width="10.5703125" style="703" customWidth="1"/>
    <col min="10519" max="10519" width="10.85546875" style="703" customWidth="1"/>
    <col min="10520" max="10520" width="9.5703125" style="703" customWidth="1"/>
    <col min="10521" max="10521" width="8" style="703" customWidth="1"/>
    <col min="10522" max="10522" width="8.85546875" style="703" customWidth="1"/>
    <col min="10523" max="10523" width="7.5703125" style="703" customWidth="1"/>
    <col min="10524" max="10524" width="11.7109375" style="703" customWidth="1"/>
    <col min="10525" max="10525" width="11.28515625" style="703" customWidth="1"/>
    <col min="10526" max="10755" width="9.140625" style="703"/>
    <col min="10756" max="10756" width="17.42578125" style="703" customWidth="1"/>
    <col min="10757" max="10757" width="11" style="703" customWidth="1"/>
    <col min="10758" max="10758" width="10.7109375" style="703" customWidth="1"/>
    <col min="10759" max="10759" width="11" style="703" customWidth="1"/>
    <col min="10760" max="10760" width="10.5703125" style="703" customWidth="1"/>
    <col min="10761" max="10761" width="10.85546875" style="703" customWidth="1"/>
    <col min="10762" max="10762" width="9.5703125" style="703" customWidth="1"/>
    <col min="10763" max="10763" width="9.85546875" style="703" customWidth="1"/>
    <col min="10764" max="10765" width="11" style="703" customWidth="1"/>
    <col min="10766" max="10766" width="11.7109375" style="703" customWidth="1"/>
    <col min="10767" max="10767" width="11.28515625" style="703" customWidth="1"/>
    <col min="10768" max="10768" width="11" style="703" customWidth="1"/>
    <col min="10769" max="10769" width="12" style="703" customWidth="1"/>
    <col min="10770" max="10770" width="9.140625" style="703"/>
    <col min="10771" max="10771" width="8.42578125" style="703" customWidth="1"/>
    <col min="10772" max="10772" width="7.28515625" style="703" customWidth="1"/>
    <col min="10773" max="10773" width="11" style="703" customWidth="1"/>
    <col min="10774" max="10774" width="10.5703125" style="703" customWidth="1"/>
    <col min="10775" max="10775" width="10.85546875" style="703" customWidth="1"/>
    <col min="10776" max="10776" width="9.5703125" style="703" customWidth="1"/>
    <col min="10777" max="10777" width="8" style="703" customWidth="1"/>
    <col min="10778" max="10778" width="8.85546875" style="703" customWidth="1"/>
    <col min="10779" max="10779" width="7.5703125" style="703" customWidth="1"/>
    <col min="10780" max="10780" width="11.7109375" style="703" customWidth="1"/>
    <col min="10781" max="10781" width="11.28515625" style="703" customWidth="1"/>
    <col min="10782" max="11011" width="9.140625" style="703"/>
    <col min="11012" max="11012" width="17.42578125" style="703" customWidth="1"/>
    <col min="11013" max="11013" width="11" style="703" customWidth="1"/>
    <col min="11014" max="11014" width="10.7109375" style="703" customWidth="1"/>
    <col min="11015" max="11015" width="11" style="703" customWidth="1"/>
    <col min="11016" max="11016" width="10.5703125" style="703" customWidth="1"/>
    <col min="11017" max="11017" width="10.85546875" style="703" customWidth="1"/>
    <col min="11018" max="11018" width="9.5703125" style="703" customWidth="1"/>
    <col min="11019" max="11019" width="9.85546875" style="703" customWidth="1"/>
    <col min="11020" max="11021" width="11" style="703" customWidth="1"/>
    <col min="11022" max="11022" width="11.7109375" style="703" customWidth="1"/>
    <col min="11023" max="11023" width="11.28515625" style="703" customWidth="1"/>
    <col min="11024" max="11024" width="11" style="703" customWidth="1"/>
    <col min="11025" max="11025" width="12" style="703" customWidth="1"/>
    <col min="11026" max="11026" width="9.140625" style="703"/>
    <col min="11027" max="11027" width="8.42578125" style="703" customWidth="1"/>
    <col min="11028" max="11028" width="7.28515625" style="703" customWidth="1"/>
    <col min="11029" max="11029" width="11" style="703" customWidth="1"/>
    <col min="11030" max="11030" width="10.5703125" style="703" customWidth="1"/>
    <col min="11031" max="11031" width="10.85546875" style="703" customWidth="1"/>
    <col min="11032" max="11032" width="9.5703125" style="703" customWidth="1"/>
    <col min="11033" max="11033" width="8" style="703" customWidth="1"/>
    <col min="11034" max="11034" width="8.85546875" style="703" customWidth="1"/>
    <col min="11035" max="11035" width="7.5703125" style="703" customWidth="1"/>
    <col min="11036" max="11036" width="11.7109375" style="703" customWidth="1"/>
    <col min="11037" max="11037" width="11.28515625" style="703" customWidth="1"/>
    <col min="11038" max="11267" width="9.140625" style="703"/>
    <col min="11268" max="11268" width="17.42578125" style="703" customWidth="1"/>
    <col min="11269" max="11269" width="11" style="703" customWidth="1"/>
    <col min="11270" max="11270" width="10.7109375" style="703" customWidth="1"/>
    <col min="11271" max="11271" width="11" style="703" customWidth="1"/>
    <col min="11272" max="11272" width="10.5703125" style="703" customWidth="1"/>
    <col min="11273" max="11273" width="10.85546875" style="703" customWidth="1"/>
    <col min="11274" max="11274" width="9.5703125" style="703" customWidth="1"/>
    <col min="11275" max="11275" width="9.85546875" style="703" customWidth="1"/>
    <col min="11276" max="11277" width="11" style="703" customWidth="1"/>
    <col min="11278" max="11278" width="11.7109375" style="703" customWidth="1"/>
    <col min="11279" max="11279" width="11.28515625" style="703" customWidth="1"/>
    <col min="11280" max="11280" width="11" style="703" customWidth="1"/>
    <col min="11281" max="11281" width="12" style="703" customWidth="1"/>
    <col min="11282" max="11282" width="9.140625" style="703"/>
    <col min="11283" max="11283" width="8.42578125" style="703" customWidth="1"/>
    <col min="11284" max="11284" width="7.28515625" style="703" customWidth="1"/>
    <col min="11285" max="11285" width="11" style="703" customWidth="1"/>
    <col min="11286" max="11286" width="10.5703125" style="703" customWidth="1"/>
    <col min="11287" max="11287" width="10.85546875" style="703" customWidth="1"/>
    <col min="11288" max="11288" width="9.5703125" style="703" customWidth="1"/>
    <col min="11289" max="11289" width="8" style="703" customWidth="1"/>
    <col min="11290" max="11290" width="8.85546875" style="703" customWidth="1"/>
    <col min="11291" max="11291" width="7.5703125" style="703" customWidth="1"/>
    <col min="11292" max="11292" width="11.7109375" style="703" customWidth="1"/>
    <col min="11293" max="11293" width="11.28515625" style="703" customWidth="1"/>
    <col min="11294" max="11523" width="9.140625" style="703"/>
    <col min="11524" max="11524" width="17.42578125" style="703" customWidth="1"/>
    <col min="11525" max="11525" width="11" style="703" customWidth="1"/>
    <col min="11526" max="11526" width="10.7109375" style="703" customWidth="1"/>
    <col min="11527" max="11527" width="11" style="703" customWidth="1"/>
    <col min="11528" max="11528" width="10.5703125" style="703" customWidth="1"/>
    <col min="11529" max="11529" width="10.85546875" style="703" customWidth="1"/>
    <col min="11530" max="11530" width="9.5703125" style="703" customWidth="1"/>
    <col min="11531" max="11531" width="9.85546875" style="703" customWidth="1"/>
    <col min="11532" max="11533" width="11" style="703" customWidth="1"/>
    <col min="11534" max="11534" width="11.7109375" style="703" customWidth="1"/>
    <col min="11535" max="11535" width="11.28515625" style="703" customWidth="1"/>
    <col min="11536" max="11536" width="11" style="703" customWidth="1"/>
    <col min="11537" max="11537" width="12" style="703" customWidth="1"/>
    <col min="11538" max="11538" width="9.140625" style="703"/>
    <col min="11539" max="11539" width="8.42578125" style="703" customWidth="1"/>
    <col min="11540" max="11540" width="7.28515625" style="703" customWidth="1"/>
    <col min="11541" max="11541" width="11" style="703" customWidth="1"/>
    <col min="11542" max="11542" width="10.5703125" style="703" customWidth="1"/>
    <col min="11543" max="11543" width="10.85546875" style="703" customWidth="1"/>
    <col min="11544" max="11544" width="9.5703125" style="703" customWidth="1"/>
    <col min="11545" max="11545" width="8" style="703" customWidth="1"/>
    <col min="11546" max="11546" width="8.85546875" style="703" customWidth="1"/>
    <col min="11547" max="11547" width="7.5703125" style="703" customWidth="1"/>
    <col min="11548" max="11548" width="11.7109375" style="703" customWidth="1"/>
    <col min="11549" max="11549" width="11.28515625" style="703" customWidth="1"/>
    <col min="11550" max="11779" width="9.140625" style="703"/>
    <col min="11780" max="11780" width="17.42578125" style="703" customWidth="1"/>
    <col min="11781" max="11781" width="11" style="703" customWidth="1"/>
    <col min="11782" max="11782" width="10.7109375" style="703" customWidth="1"/>
    <col min="11783" max="11783" width="11" style="703" customWidth="1"/>
    <col min="11784" max="11784" width="10.5703125" style="703" customWidth="1"/>
    <col min="11785" max="11785" width="10.85546875" style="703" customWidth="1"/>
    <col min="11786" max="11786" width="9.5703125" style="703" customWidth="1"/>
    <col min="11787" max="11787" width="9.85546875" style="703" customWidth="1"/>
    <col min="11788" max="11789" width="11" style="703" customWidth="1"/>
    <col min="11790" max="11790" width="11.7109375" style="703" customWidth="1"/>
    <col min="11791" max="11791" width="11.28515625" style="703" customWidth="1"/>
    <col min="11792" max="11792" width="11" style="703" customWidth="1"/>
    <col min="11793" max="11793" width="12" style="703" customWidth="1"/>
    <col min="11794" max="11794" width="9.140625" style="703"/>
    <col min="11795" max="11795" width="8.42578125" style="703" customWidth="1"/>
    <col min="11796" max="11796" width="7.28515625" style="703" customWidth="1"/>
    <col min="11797" max="11797" width="11" style="703" customWidth="1"/>
    <col min="11798" max="11798" width="10.5703125" style="703" customWidth="1"/>
    <col min="11799" max="11799" width="10.85546875" style="703" customWidth="1"/>
    <col min="11800" max="11800" width="9.5703125" style="703" customWidth="1"/>
    <col min="11801" max="11801" width="8" style="703" customWidth="1"/>
    <col min="11802" max="11802" width="8.85546875" style="703" customWidth="1"/>
    <col min="11803" max="11803" width="7.5703125" style="703" customWidth="1"/>
    <col min="11804" max="11804" width="11.7109375" style="703" customWidth="1"/>
    <col min="11805" max="11805" width="11.28515625" style="703" customWidth="1"/>
    <col min="11806" max="12035" width="9.140625" style="703"/>
    <col min="12036" max="12036" width="17.42578125" style="703" customWidth="1"/>
    <col min="12037" max="12037" width="11" style="703" customWidth="1"/>
    <col min="12038" max="12038" width="10.7109375" style="703" customWidth="1"/>
    <col min="12039" max="12039" width="11" style="703" customWidth="1"/>
    <col min="12040" max="12040" width="10.5703125" style="703" customWidth="1"/>
    <col min="12041" max="12041" width="10.85546875" style="703" customWidth="1"/>
    <col min="12042" max="12042" width="9.5703125" style="703" customWidth="1"/>
    <col min="12043" max="12043" width="9.85546875" style="703" customWidth="1"/>
    <col min="12044" max="12045" width="11" style="703" customWidth="1"/>
    <col min="12046" max="12046" width="11.7109375" style="703" customWidth="1"/>
    <col min="12047" max="12047" width="11.28515625" style="703" customWidth="1"/>
    <col min="12048" max="12048" width="11" style="703" customWidth="1"/>
    <col min="12049" max="12049" width="12" style="703" customWidth="1"/>
    <col min="12050" max="12050" width="9.140625" style="703"/>
    <col min="12051" max="12051" width="8.42578125" style="703" customWidth="1"/>
    <col min="12052" max="12052" width="7.28515625" style="703" customWidth="1"/>
    <col min="12053" max="12053" width="11" style="703" customWidth="1"/>
    <col min="12054" max="12054" width="10.5703125" style="703" customWidth="1"/>
    <col min="12055" max="12055" width="10.85546875" style="703" customWidth="1"/>
    <col min="12056" max="12056" width="9.5703125" style="703" customWidth="1"/>
    <col min="12057" max="12057" width="8" style="703" customWidth="1"/>
    <col min="12058" max="12058" width="8.85546875" style="703" customWidth="1"/>
    <col min="12059" max="12059" width="7.5703125" style="703" customWidth="1"/>
    <col min="12060" max="12060" width="11.7109375" style="703" customWidth="1"/>
    <col min="12061" max="12061" width="11.28515625" style="703" customWidth="1"/>
    <col min="12062" max="12291" width="9.140625" style="703"/>
    <col min="12292" max="12292" width="17.42578125" style="703" customWidth="1"/>
    <col min="12293" max="12293" width="11" style="703" customWidth="1"/>
    <col min="12294" max="12294" width="10.7109375" style="703" customWidth="1"/>
    <col min="12295" max="12295" width="11" style="703" customWidth="1"/>
    <col min="12296" max="12296" width="10.5703125" style="703" customWidth="1"/>
    <col min="12297" max="12297" width="10.85546875" style="703" customWidth="1"/>
    <col min="12298" max="12298" width="9.5703125" style="703" customWidth="1"/>
    <col min="12299" max="12299" width="9.85546875" style="703" customWidth="1"/>
    <col min="12300" max="12301" width="11" style="703" customWidth="1"/>
    <col min="12302" max="12302" width="11.7109375" style="703" customWidth="1"/>
    <col min="12303" max="12303" width="11.28515625" style="703" customWidth="1"/>
    <col min="12304" max="12304" width="11" style="703" customWidth="1"/>
    <col min="12305" max="12305" width="12" style="703" customWidth="1"/>
    <col min="12306" max="12306" width="9.140625" style="703"/>
    <col min="12307" max="12307" width="8.42578125" style="703" customWidth="1"/>
    <col min="12308" max="12308" width="7.28515625" style="703" customWidth="1"/>
    <col min="12309" max="12309" width="11" style="703" customWidth="1"/>
    <col min="12310" max="12310" width="10.5703125" style="703" customWidth="1"/>
    <col min="12311" max="12311" width="10.85546875" style="703" customWidth="1"/>
    <col min="12312" max="12312" width="9.5703125" style="703" customWidth="1"/>
    <col min="12313" max="12313" width="8" style="703" customWidth="1"/>
    <col min="12314" max="12314" width="8.85546875" style="703" customWidth="1"/>
    <col min="12315" max="12315" width="7.5703125" style="703" customWidth="1"/>
    <col min="12316" max="12316" width="11.7109375" style="703" customWidth="1"/>
    <col min="12317" max="12317" width="11.28515625" style="703" customWidth="1"/>
    <col min="12318" max="12547" width="9.140625" style="703"/>
    <col min="12548" max="12548" width="17.42578125" style="703" customWidth="1"/>
    <col min="12549" max="12549" width="11" style="703" customWidth="1"/>
    <col min="12550" max="12550" width="10.7109375" style="703" customWidth="1"/>
    <col min="12551" max="12551" width="11" style="703" customWidth="1"/>
    <col min="12552" max="12552" width="10.5703125" style="703" customWidth="1"/>
    <col min="12553" max="12553" width="10.85546875" style="703" customWidth="1"/>
    <col min="12554" max="12554" width="9.5703125" style="703" customWidth="1"/>
    <col min="12555" max="12555" width="9.85546875" style="703" customWidth="1"/>
    <col min="12556" max="12557" width="11" style="703" customWidth="1"/>
    <col min="12558" max="12558" width="11.7109375" style="703" customWidth="1"/>
    <col min="12559" max="12559" width="11.28515625" style="703" customWidth="1"/>
    <col min="12560" max="12560" width="11" style="703" customWidth="1"/>
    <col min="12561" max="12561" width="12" style="703" customWidth="1"/>
    <col min="12562" max="12562" width="9.140625" style="703"/>
    <col min="12563" max="12563" width="8.42578125" style="703" customWidth="1"/>
    <col min="12564" max="12564" width="7.28515625" style="703" customWidth="1"/>
    <col min="12565" max="12565" width="11" style="703" customWidth="1"/>
    <col min="12566" max="12566" width="10.5703125" style="703" customWidth="1"/>
    <col min="12567" max="12567" width="10.85546875" style="703" customWidth="1"/>
    <col min="12568" max="12568" width="9.5703125" style="703" customWidth="1"/>
    <col min="12569" max="12569" width="8" style="703" customWidth="1"/>
    <col min="12570" max="12570" width="8.85546875" style="703" customWidth="1"/>
    <col min="12571" max="12571" width="7.5703125" style="703" customWidth="1"/>
    <col min="12572" max="12572" width="11.7109375" style="703" customWidth="1"/>
    <col min="12573" max="12573" width="11.28515625" style="703" customWidth="1"/>
    <col min="12574" max="12803" width="9.140625" style="703"/>
    <col min="12804" max="12804" width="17.42578125" style="703" customWidth="1"/>
    <col min="12805" max="12805" width="11" style="703" customWidth="1"/>
    <col min="12806" max="12806" width="10.7109375" style="703" customWidth="1"/>
    <col min="12807" max="12807" width="11" style="703" customWidth="1"/>
    <col min="12808" max="12808" width="10.5703125" style="703" customWidth="1"/>
    <col min="12809" max="12809" width="10.85546875" style="703" customWidth="1"/>
    <col min="12810" max="12810" width="9.5703125" style="703" customWidth="1"/>
    <col min="12811" max="12811" width="9.85546875" style="703" customWidth="1"/>
    <col min="12812" max="12813" width="11" style="703" customWidth="1"/>
    <col min="12814" max="12814" width="11.7109375" style="703" customWidth="1"/>
    <col min="12815" max="12815" width="11.28515625" style="703" customWidth="1"/>
    <col min="12816" max="12816" width="11" style="703" customWidth="1"/>
    <col min="12817" max="12817" width="12" style="703" customWidth="1"/>
    <col min="12818" max="12818" width="9.140625" style="703"/>
    <col min="12819" max="12819" width="8.42578125" style="703" customWidth="1"/>
    <col min="12820" max="12820" width="7.28515625" style="703" customWidth="1"/>
    <col min="12821" max="12821" width="11" style="703" customWidth="1"/>
    <col min="12822" max="12822" width="10.5703125" style="703" customWidth="1"/>
    <col min="12823" max="12823" width="10.85546875" style="703" customWidth="1"/>
    <col min="12824" max="12824" width="9.5703125" style="703" customWidth="1"/>
    <col min="12825" max="12825" width="8" style="703" customWidth="1"/>
    <col min="12826" max="12826" width="8.85546875" style="703" customWidth="1"/>
    <col min="12827" max="12827" width="7.5703125" style="703" customWidth="1"/>
    <col min="12828" max="12828" width="11.7109375" style="703" customWidth="1"/>
    <col min="12829" max="12829" width="11.28515625" style="703" customWidth="1"/>
    <col min="12830" max="13059" width="9.140625" style="703"/>
    <col min="13060" max="13060" width="17.42578125" style="703" customWidth="1"/>
    <col min="13061" max="13061" width="11" style="703" customWidth="1"/>
    <col min="13062" max="13062" width="10.7109375" style="703" customWidth="1"/>
    <col min="13063" max="13063" width="11" style="703" customWidth="1"/>
    <col min="13064" max="13064" width="10.5703125" style="703" customWidth="1"/>
    <col min="13065" max="13065" width="10.85546875" style="703" customWidth="1"/>
    <col min="13066" max="13066" width="9.5703125" style="703" customWidth="1"/>
    <col min="13067" max="13067" width="9.85546875" style="703" customWidth="1"/>
    <col min="13068" max="13069" width="11" style="703" customWidth="1"/>
    <col min="13070" max="13070" width="11.7109375" style="703" customWidth="1"/>
    <col min="13071" max="13071" width="11.28515625" style="703" customWidth="1"/>
    <col min="13072" max="13072" width="11" style="703" customWidth="1"/>
    <col min="13073" max="13073" width="12" style="703" customWidth="1"/>
    <col min="13074" max="13074" width="9.140625" style="703"/>
    <col min="13075" max="13075" width="8.42578125" style="703" customWidth="1"/>
    <col min="13076" max="13076" width="7.28515625" style="703" customWidth="1"/>
    <col min="13077" max="13077" width="11" style="703" customWidth="1"/>
    <col min="13078" max="13078" width="10.5703125" style="703" customWidth="1"/>
    <col min="13079" max="13079" width="10.85546875" style="703" customWidth="1"/>
    <col min="13080" max="13080" width="9.5703125" style="703" customWidth="1"/>
    <col min="13081" max="13081" width="8" style="703" customWidth="1"/>
    <col min="13082" max="13082" width="8.85546875" style="703" customWidth="1"/>
    <col min="13083" max="13083" width="7.5703125" style="703" customWidth="1"/>
    <col min="13084" max="13084" width="11.7109375" style="703" customWidth="1"/>
    <col min="13085" max="13085" width="11.28515625" style="703" customWidth="1"/>
    <col min="13086" max="13315" width="9.140625" style="703"/>
    <col min="13316" max="13316" width="17.42578125" style="703" customWidth="1"/>
    <col min="13317" max="13317" width="11" style="703" customWidth="1"/>
    <col min="13318" max="13318" width="10.7109375" style="703" customWidth="1"/>
    <col min="13319" max="13319" width="11" style="703" customWidth="1"/>
    <col min="13320" max="13320" width="10.5703125" style="703" customWidth="1"/>
    <col min="13321" max="13321" width="10.85546875" style="703" customWidth="1"/>
    <col min="13322" max="13322" width="9.5703125" style="703" customWidth="1"/>
    <col min="13323" max="13323" width="9.85546875" style="703" customWidth="1"/>
    <col min="13324" max="13325" width="11" style="703" customWidth="1"/>
    <col min="13326" max="13326" width="11.7109375" style="703" customWidth="1"/>
    <col min="13327" max="13327" width="11.28515625" style="703" customWidth="1"/>
    <col min="13328" max="13328" width="11" style="703" customWidth="1"/>
    <col min="13329" max="13329" width="12" style="703" customWidth="1"/>
    <col min="13330" max="13330" width="9.140625" style="703"/>
    <col min="13331" max="13331" width="8.42578125" style="703" customWidth="1"/>
    <col min="13332" max="13332" width="7.28515625" style="703" customWidth="1"/>
    <col min="13333" max="13333" width="11" style="703" customWidth="1"/>
    <col min="13334" max="13334" width="10.5703125" style="703" customWidth="1"/>
    <col min="13335" max="13335" width="10.85546875" style="703" customWidth="1"/>
    <col min="13336" max="13336" width="9.5703125" style="703" customWidth="1"/>
    <col min="13337" max="13337" width="8" style="703" customWidth="1"/>
    <col min="13338" max="13338" width="8.85546875" style="703" customWidth="1"/>
    <col min="13339" max="13339" width="7.5703125" style="703" customWidth="1"/>
    <col min="13340" max="13340" width="11.7109375" style="703" customWidth="1"/>
    <col min="13341" max="13341" width="11.28515625" style="703" customWidth="1"/>
    <col min="13342" max="13571" width="9.140625" style="703"/>
    <col min="13572" max="13572" width="17.42578125" style="703" customWidth="1"/>
    <col min="13573" max="13573" width="11" style="703" customWidth="1"/>
    <col min="13574" max="13574" width="10.7109375" style="703" customWidth="1"/>
    <col min="13575" max="13575" width="11" style="703" customWidth="1"/>
    <col min="13576" max="13576" width="10.5703125" style="703" customWidth="1"/>
    <col min="13577" max="13577" width="10.85546875" style="703" customWidth="1"/>
    <col min="13578" max="13578" width="9.5703125" style="703" customWidth="1"/>
    <col min="13579" max="13579" width="9.85546875" style="703" customWidth="1"/>
    <col min="13580" max="13581" width="11" style="703" customWidth="1"/>
    <col min="13582" max="13582" width="11.7109375" style="703" customWidth="1"/>
    <col min="13583" max="13583" width="11.28515625" style="703" customWidth="1"/>
    <col min="13584" max="13584" width="11" style="703" customWidth="1"/>
    <col min="13585" max="13585" width="12" style="703" customWidth="1"/>
    <col min="13586" max="13586" width="9.140625" style="703"/>
    <col min="13587" max="13587" width="8.42578125" style="703" customWidth="1"/>
    <col min="13588" max="13588" width="7.28515625" style="703" customWidth="1"/>
    <col min="13589" max="13589" width="11" style="703" customWidth="1"/>
    <col min="13590" max="13590" width="10.5703125" style="703" customWidth="1"/>
    <col min="13591" max="13591" width="10.85546875" style="703" customWidth="1"/>
    <col min="13592" max="13592" width="9.5703125" style="703" customWidth="1"/>
    <col min="13593" max="13593" width="8" style="703" customWidth="1"/>
    <col min="13594" max="13594" width="8.85546875" style="703" customWidth="1"/>
    <col min="13595" max="13595" width="7.5703125" style="703" customWidth="1"/>
    <col min="13596" max="13596" width="11.7109375" style="703" customWidth="1"/>
    <col min="13597" max="13597" width="11.28515625" style="703" customWidth="1"/>
    <col min="13598" max="13827" width="9.140625" style="703"/>
    <col min="13828" max="13828" width="17.42578125" style="703" customWidth="1"/>
    <col min="13829" max="13829" width="11" style="703" customWidth="1"/>
    <col min="13830" max="13830" width="10.7109375" style="703" customWidth="1"/>
    <col min="13831" max="13831" width="11" style="703" customWidth="1"/>
    <col min="13832" max="13832" width="10.5703125" style="703" customWidth="1"/>
    <col min="13833" max="13833" width="10.85546875" style="703" customWidth="1"/>
    <col min="13834" max="13834" width="9.5703125" style="703" customWidth="1"/>
    <col min="13835" max="13835" width="9.85546875" style="703" customWidth="1"/>
    <col min="13836" max="13837" width="11" style="703" customWidth="1"/>
    <col min="13838" max="13838" width="11.7109375" style="703" customWidth="1"/>
    <col min="13839" max="13839" width="11.28515625" style="703" customWidth="1"/>
    <col min="13840" max="13840" width="11" style="703" customWidth="1"/>
    <col min="13841" max="13841" width="12" style="703" customWidth="1"/>
    <col min="13842" max="13842" width="9.140625" style="703"/>
    <col min="13843" max="13843" width="8.42578125" style="703" customWidth="1"/>
    <col min="13844" max="13844" width="7.28515625" style="703" customWidth="1"/>
    <col min="13845" max="13845" width="11" style="703" customWidth="1"/>
    <col min="13846" max="13846" width="10.5703125" style="703" customWidth="1"/>
    <col min="13847" max="13847" width="10.85546875" style="703" customWidth="1"/>
    <col min="13848" max="13848" width="9.5703125" style="703" customWidth="1"/>
    <col min="13849" max="13849" width="8" style="703" customWidth="1"/>
    <col min="13850" max="13850" width="8.85546875" style="703" customWidth="1"/>
    <col min="13851" max="13851" width="7.5703125" style="703" customWidth="1"/>
    <col min="13852" max="13852" width="11.7109375" style="703" customWidth="1"/>
    <col min="13853" max="13853" width="11.28515625" style="703" customWidth="1"/>
    <col min="13854" max="14083" width="9.140625" style="703"/>
    <col min="14084" max="14084" width="17.42578125" style="703" customWidth="1"/>
    <col min="14085" max="14085" width="11" style="703" customWidth="1"/>
    <col min="14086" max="14086" width="10.7109375" style="703" customWidth="1"/>
    <col min="14087" max="14087" width="11" style="703" customWidth="1"/>
    <col min="14088" max="14088" width="10.5703125" style="703" customWidth="1"/>
    <col min="14089" max="14089" width="10.85546875" style="703" customWidth="1"/>
    <col min="14090" max="14090" width="9.5703125" style="703" customWidth="1"/>
    <col min="14091" max="14091" width="9.85546875" style="703" customWidth="1"/>
    <col min="14092" max="14093" width="11" style="703" customWidth="1"/>
    <col min="14094" max="14094" width="11.7109375" style="703" customWidth="1"/>
    <col min="14095" max="14095" width="11.28515625" style="703" customWidth="1"/>
    <col min="14096" max="14096" width="11" style="703" customWidth="1"/>
    <col min="14097" max="14097" width="12" style="703" customWidth="1"/>
    <col min="14098" max="14098" width="9.140625" style="703"/>
    <col min="14099" max="14099" width="8.42578125" style="703" customWidth="1"/>
    <col min="14100" max="14100" width="7.28515625" style="703" customWidth="1"/>
    <col min="14101" max="14101" width="11" style="703" customWidth="1"/>
    <col min="14102" max="14102" width="10.5703125" style="703" customWidth="1"/>
    <col min="14103" max="14103" width="10.85546875" style="703" customWidth="1"/>
    <col min="14104" max="14104" width="9.5703125" style="703" customWidth="1"/>
    <col min="14105" max="14105" width="8" style="703" customWidth="1"/>
    <col min="14106" max="14106" width="8.85546875" style="703" customWidth="1"/>
    <col min="14107" max="14107" width="7.5703125" style="703" customWidth="1"/>
    <col min="14108" max="14108" width="11.7109375" style="703" customWidth="1"/>
    <col min="14109" max="14109" width="11.28515625" style="703" customWidth="1"/>
    <col min="14110" max="14339" width="9.140625" style="703"/>
    <col min="14340" max="14340" width="17.42578125" style="703" customWidth="1"/>
    <col min="14341" max="14341" width="11" style="703" customWidth="1"/>
    <col min="14342" max="14342" width="10.7109375" style="703" customWidth="1"/>
    <col min="14343" max="14343" width="11" style="703" customWidth="1"/>
    <col min="14344" max="14344" width="10.5703125" style="703" customWidth="1"/>
    <col min="14345" max="14345" width="10.85546875" style="703" customWidth="1"/>
    <col min="14346" max="14346" width="9.5703125" style="703" customWidth="1"/>
    <col min="14347" max="14347" width="9.85546875" style="703" customWidth="1"/>
    <col min="14348" max="14349" width="11" style="703" customWidth="1"/>
    <col min="14350" max="14350" width="11.7109375" style="703" customWidth="1"/>
    <col min="14351" max="14351" width="11.28515625" style="703" customWidth="1"/>
    <col min="14352" max="14352" width="11" style="703" customWidth="1"/>
    <col min="14353" max="14353" width="12" style="703" customWidth="1"/>
    <col min="14354" max="14354" width="9.140625" style="703"/>
    <col min="14355" max="14355" width="8.42578125" style="703" customWidth="1"/>
    <col min="14356" max="14356" width="7.28515625" style="703" customWidth="1"/>
    <col min="14357" max="14357" width="11" style="703" customWidth="1"/>
    <col min="14358" max="14358" width="10.5703125" style="703" customWidth="1"/>
    <col min="14359" max="14359" width="10.85546875" style="703" customWidth="1"/>
    <col min="14360" max="14360" width="9.5703125" style="703" customWidth="1"/>
    <col min="14361" max="14361" width="8" style="703" customWidth="1"/>
    <col min="14362" max="14362" width="8.85546875" style="703" customWidth="1"/>
    <col min="14363" max="14363" width="7.5703125" style="703" customWidth="1"/>
    <col min="14364" max="14364" width="11.7109375" style="703" customWidth="1"/>
    <col min="14365" max="14365" width="11.28515625" style="703" customWidth="1"/>
    <col min="14366" max="14595" width="9.140625" style="703"/>
    <col min="14596" max="14596" width="17.42578125" style="703" customWidth="1"/>
    <col min="14597" max="14597" width="11" style="703" customWidth="1"/>
    <col min="14598" max="14598" width="10.7109375" style="703" customWidth="1"/>
    <col min="14599" max="14599" width="11" style="703" customWidth="1"/>
    <col min="14600" max="14600" width="10.5703125" style="703" customWidth="1"/>
    <col min="14601" max="14601" width="10.85546875" style="703" customWidth="1"/>
    <col min="14602" max="14602" width="9.5703125" style="703" customWidth="1"/>
    <col min="14603" max="14603" width="9.85546875" style="703" customWidth="1"/>
    <col min="14604" max="14605" width="11" style="703" customWidth="1"/>
    <col min="14606" max="14606" width="11.7109375" style="703" customWidth="1"/>
    <col min="14607" max="14607" width="11.28515625" style="703" customWidth="1"/>
    <col min="14608" max="14608" width="11" style="703" customWidth="1"/>
    <col min="14609" max="14609" width="12" style="703" customWidth="1"/>
    <col min="14610" max="14610" width="9.140625" style="703"/>
    <col min="14611" max="14611" width="8.42578125" style="703" customWidth="1"/>
    <col min="14612" max="14612" width="7.28515625" style="703" customWidth="1"/>
    <col min="14613" max="14613" width="11" style="703" customWidth="1"/>
    <col min="14614" max="14614" width="10.5703125" style="703" customWidth="1"/>
    <col min="14615" max="14615" width="10.85546875" style="703" customWidth="1"/>
    <col min="14616" max="14616" width="9.5703125" style="703" customWidth="1"/>
    <col min="14617" max="14617" width="8" style="703" customWidth="1"/>
    <col min="14618" max="14618" width="8.85546875" style="703" customWidth="1"/>
    <col min="14619" max="14619" width="7.5703125" style="703" customWidth="1"/>
    <col min="14620" max="14620" width="11.7109375" style="703" customWidth="1"/>
    <col min="14621" max="14621" width="11.28515625" style="703" customWidth="1"/>
    <col min="14622" max="14851" width="9.140625" style="703"/>
    <col min="14852" max="14852" width="17.42578125" style="703" customWidth="1"/>
    <col min="14853" max="14853" width="11" style="703" customWidth="1"/>
    <col min="14854" max="14854" width="10.7109375" style="703" customWidth="1"/>
    <col min="14855" max="14855" width="11" style="703" customWidth="1"/>
    <col min="14856" max="14856" width="10.5703125" style="703" customWidth="1"/>
    <col min="14857" max="14857" width="10.85546875" style="703" customWidth="1"/>
    <col min="14858" max="14858" width="9.5703125" style="703" customWidth="1"/>
    <col min="14859" max="14859" width="9.85546875" style="703" customWidth="1"/>
    <col min="14860" max="14861" width="11" style="703" customWidth="1"/>
    <col min="14862" max="14862" width="11.7109375" style="703" customWidth="1"/>
    <col min="14863" max="14863" width="11.28515625" style="703" customWidth="1"/>
    <col min="14864" max="14864" width="11" style="703" customWidth="1"/>
    <col min="14865" max="14865" width="12" style="703" customWidth="1"/>
    <col min="14866" max="14866" width="9.140625" style="703"/>
    <col min="14867" max="14867" width="8.42578125" style="703" customWidth="1"/>
    <col min="14868" max="14868" width="7.28515625" style="703" customWidth="1"/>
    <col min="14869" max="14869" width="11" style="703" customWidth="1"/>
    <col min="14870" max="14870" width="10.5703125" style="703" customWidth="1"/>
    <col min="14871" max="14871" width="10.85546875" style="703" customWidth="1"/>
    <col min="14872" max="14872" width="9.5703125" style="703" customWidth="1"/>
    <col min="14873" max="14873" width="8" style="703" customWidth="1"/>
    <col min="14874" max="14874" width="8.85546875" style="703" customWidth="1"/>
    <col min="14875" max="14875" width="7.5703125" style="703" customWidth="1"/>
    <col min="14876" max="14876" width="11.7109375" style="703" customWidth="1"/>
    <col min="14877" max="14877" width="11.28515625" style="703" customWidth="1"/>
    <col min="14878" max="15107" width="9.140625" style="703"/>
    <col min="15108" max="15108" width="17.42578125" style="703" customWidth="1"/>
    <col min="15109" max="15109" width="11" style="703" customWidth="1"/>
    <col min="15110" max="15110" width="10.7109375" style="703" customWidth="1"/>
    <col min="15111" max="15111" width="11" style="703" customWidth="1"/>
    <col min="15112" max="15112" width="10.5703125" style="703" customWidth="1"/>
    <col min="15113" max="15113" width="10.85546875" style="703" customWidth="1"/>
    <col min="15114" max="15114" width="9.5703125" style="703" customWidth="1"/>
    <col min="15115" max="15115" width="9.85546875" style="703" customWidth="1"/>
    <col min="15116" max="15117" width="11" style="703" customWidth="1"/>
    <col min="15118" max="15118" width="11.7109375" style="703" customWidth="1"/>
    <col min="15119" max="15119" width="11.28515625" style="703" customWidth="1"/>
    <col min="15120" max="15120" width="11" style="703" customWidth="1"/>
    <col min="15121" max="15121" width="12" style="703" customWidth="1"/>
    <col min="15122" max="15122" width="9.140625" style="703"/>
    <col min="15123" max="15123" width="8.42578125" style="703" customWidth="1"/>
    <col min="15124" max="15124" width="7.28515625" style="703" customWidth="1"/>
    <col min="15125" max="15125" width="11" style="703" customWidth="1"/>
    <col min="15126" max="15126" width="10.5703125" style="703" customWidth="1"/>
    <col min="15127" max="15127" width="10.85546875" style="703" customWidth="1"/>
    <col min="15128" max="15128" width="9.5703125" style="703" customWidth="1"/>
    <col min="15129" max="15129" width="8" style="703" customWidth="1"/>
    <col min="15130" max="15130" width="8.85546875" style="703" customWidth="1"/>
    <col min="15131" max="15131" width="7.5703125" style="703" customWidth="1"/>
    <col min="15132" max="15132" width="11.7109375" style="703" customWidth="1"/>
    <col min="15133" max="15133" width="11.28515625" style="703" customWidth="1"/>
    <col min="15134" max="15363" width="9.140625" style="703"/>
    <col min="15364" max="15364" width="17.42578125" style="703" customWidth="1"/>
    <col min="15365" max="15365" width="11" style="703" customWidth="1"/>
    <col min="15366" max="15366" width="10.7109375" style="703" customWidth="1"/>
    <col min="15367" max="15367" width="11" style="703" customWidth="1"/>
    <col min="15368" max="15368" width="10.5703125" style="703" customWidth="1"/>
    <col min="15369" max="15369" width="10.85546875" style="703" customWidth="1"/>
    <col min="15370" max="15370" width="9.5703125" style="703" customWidth="1"/>
    <col min="15371" max="15371" width="9.85546875" style="703" customWidth="1"/>
    <col min="15372" max="15373" width="11" style="703" customWidth="1"/>
    <col min="15374" max="15374" width="11.7109375" style="703" customWidth="1"/>
    <col min="15375" max="15375" width="11.28515625" style="703" customWidth="1"/>
    <col min="15376" max="15376" width="11" style="703" customWidth="1"/>
    <col min="15377" max="15377" width="12" style="703" customWidth="1"/>
    <col min="15378" max="15378" width="9.140625" style="703"/>
    <col min="15379" max="15379" width="8.42578125" style="703" customWidth="1"/>
    <col min="15380" max="15380" width="7.28515625" style="703" customWidth="1"/>
    <col min="15381" max="15381" width="11" style="703" customWidth="1"/>
    <col min="15382" max="15382" width="10.5703125" style="703" customWidth="1"/>
    <col min="15383" max="15383" width="10.85546875" style="703" customWidth="1"/>
    <col min="15384" max="15384" width="9.5703125" style="703" customWidth="1"/>
    <col min="15385" max="15385" width="8" style="703" customWidth="1"/>
    <col min="15386" max="15386" width="8.85546875" style="703" customWidth="1"/>
    <col min="15387" max="15387" width="7.5703125" style="703" customWidth="1"/>
    <col min="15388" max="15388" width="11.7109375" style="703" customWidth="1"/>
    <col min="15389" max="15389" width="11.28515625" style="703" customWidth="1"/>
    <col min="15390" max="15619" width="9.140625" style="703"/>
    <col min="15620" max="15620" width="17.42578125" style="703" customWidth="1"/>
    <col min="15621" max="15621" width="11" style="703" customWidth="1"/>
    <col min="15622" max="15622" width="10.7109375" style="703" customWidth="1"/>
    <col min="15623" max="15623" width="11" style="703" customWidth="1"/>
    <col min="15624" max="15624" width="10.5703125" style="703" customWidth="1"/>
    <col min="15625" max="15625" width="10.85546875" style="703" customWidth="1"/>
    <col min="15626" max="15626" width="9.5703125" style="703" customWidth="1"/>
    <col min="15627" max="15627" width="9.85546875" style="703" customWidth="1"/>
    <col min="15628" max="15629" width="11" style="703" customWidth="1"/>
    <col min="15630" max="15630" width="11.7109375" style="703" customWidth="1"/>
    <col min="15631" max="15631" width="11.28515625" style="703" customWidth="1"/>
    <col min="15632" max="15632" width="11" style="703" customWidth="1"/>
    <col min="15633" max="15633" width="12" style="703" customWidth="1"/>
    <col min="15634" max="15634" width="9.140625" style="703"/>
    <col min="15635" max="15635" width="8.42578125" style="703" customWidth="1"/>
    <col min="15636" max="15636" width="7.28515625" style="703" customWidth="1"/>
    <col min="15637" max="15637" width="11" style="703" customWidth="1"/>
    <col min="15638" max="15638" width="10.5703125" style="703" customWidth="1"/>
    <col min="15639" max="15639" width="10.85546875" style="703" customWidth="1"/>
    <col min="15640" max="15640" width="9.5703125" style="703" customWidth="1"/>
    <col min="15641" max="15641" width="8" style="703" customWidth="1"/>
    <col min="15642" max="15642" width="8.85546875" style="703" customWidth="1"/>
    <col min="15643" max="15643" width="7.5703125" style="703" customWidth="1"/>
    <col min="15644" max="15644" width="11.7109375" style="703" customWidth="1"/>
    <col min="15645" max="15645" width="11.28515625" style="703" customWidth="1"/>
    <col min="15646" max="15875" width="9.140625" style="703"/>
    <col min="15876" max="15876" width="17.42578125" style="703" customWidth="1"/>
    <col min="15877" max="15877" width="11" style="703" customWidth="1"/>
    <col min="15878" max="15878" width="10.7109375" style="703" customWidth="1"/>
    <col min="15879" max="15879" width="11" style="703" customWidth="1"/>
    <col min="15880" max="15880" width="10.5703125" style="703" customWidth="1"/>
    <col min="15881" max="15881" width="10.85546875" style="703" customWidth="1"/>
    <col min="15882" max="15882" width="9.5703125" style="703" customWidth="1"/>
    <col min="15883" max="15883" width="9.85546875" style="703" customWidth="1"/>
    <col min="15884" max="15885" width="11" style="703" customWidth="1"/>
    <col min="15886" max="15886" width="11.7109375" style="703" customWidth="1"/>
    <col min="15887" max="15887" width="11.28515625" style="703" customWidth="1"/>
    <col min="15888" max="15888" width="11" style="703" customWidth="1"/>
    <col min="15889" max="15889" width="12" style="703" customWidth="1"/>
    <col min="15890" max="15890" width="9.140625" style="703"/>
    <col min="15891" max="15891" width="8.42578125" style="703" customWidth="1"/>
    <col min="15892" max="15892" width="7.28515625" style="703" customWidth="1"/>
    <col min="15893" max="15893" width="11" style="703" customWidth="1"/>
    <col min="15894" max="15894" width="10.5703125" style="703" customWidth="1"/>
    <col min="15895" max="15895" width="10.85546875" style="703" customWidth="1"/>
    <col min="15896" max="15896" width="9.5703125" style="703" customWidth="1"/>
    <col min="15897" max="15897" width="8" style="703" customWidth="1"/>
    <col min="15898" max="15898" width="8.85546875" style="703" customWidth="1"/>
    <col min="15899" max="15899" width="7.5703125" style="703" customWidth="1"/>
    <col min="15900" max="15900" width="11.7109375" style="703" customWidth="1"/>
    <col min="15901" max="15901" width="11.28515625" style="703" customWidth="1"/>
    <col min="15902" max="16131" width="9.140625" style="703"/>
    <col min="16132" max="16132" width="17.42578125" style="703" customWidth="1"/>
    <col min="16133" max="16133" width="11" style="703" customWidth="1"/>
    <col min="16134" max="16134" width="10.7109375" style="703" customWidth="1"/>
    <col min="16135" max="16135" width="11" style="703" customWidth="1"/>
    <col min="16136" max="16136" width="10.5703125" style="703" customWidth="1"/>
    <col min="16137" max="16137" width="10.85546875" style="703" customWidth="1"/>
    <col min="16138" max="16138" width="9.5703125" style="703" customWidth="1"/>
    <col min="16139" max="16139" width="9.85546875" style="703" customWidth="1"/>
    <col min="16140" max="16141" width="11" style="703" customWidth="1"/>
    <col min="16142" max="16142" width="11.7109375" style="703" customWidth="1"/>
    <col min="16143" max="16143" width="11.28515625" style="703" customWidth="1"/>
    <col min="16144" max="16144" width="11" style="703" customWidth="1"/>
    <col min="16145" max="16145" width="12" style="703" customWidth="1"/>
    <col min="16146" max="16146" width="9.140625" style="703"/>
    <col min="16147" max="16147" width="8.42578125" style="703" customWidth="1"/>
    <col min="16148" max="16148" width="7.28515625" style="703" customWidth="1"/>
    <col min="16149" max="16149" width="11" style="703" customWidth="1"/>
    <col min="16150" max="16150" width="10.5703125" style="703" customWidth="1"/>
    <col min="16151" max="16151" width="10.85546875" style="703" customWidth="1"/>
    <col min="16152" max="16152" width="9.5703125" style="703" customWidth="1"/>
    <col min="16153" max="16153" width="8" style="703" customWidth="1"/>
    <col min="16154" max="16154" width="8.85546875" style="703" customWidth="1"/>
    <col min="16155" max="16155" width="7.5703125" style="703" customWidth="1"/>
    <col min="16156" max="16156" width="11.7109375" style="703" customWidth="1"/>
    <col min="16157" max="16157" width="11.28515625" style="703" customWidth="1"/>
    <col min="16158" max="16384" width="9.140625" style="703"/>
  </cols>
  <sheetData>
    <row r="1" spans="1:29" ht="34.5" customHeight="1" x14ac:dyDescent="0.25">
      <c r="A1" s="732" t="s">
        <v>189</v>
      </c>
      <c r="C1" s="709" t="s">
        <v>299</v>
      </c>
      <c r="D1" s="709" t="s">
        <v>2</v>
      </c>
      <c r="E1" s="710" t="s">
        <v>0</v>
      </c>
      <c r="F1" s="710" t="s">
        <v>1</v>
      </c>
      <c r="G1" s="709" t="s">
        <v>298</v>
      </c>
      <c r="H1" s="709" t="s">
        <v>297</v>
      </c>
      <c r="I1" s="709" t="s">
        <v>296</v>
      </c>
      <c r="J1" s="709" t="s">
        <v>295</v>
      </c>
      <c r="K1" s="709" t="s">
        <v>3</v>
      </c>
      <c r="L1" s="709" t="s">
        <v>5</v>
      </c>
      <c r="M1" s="711" t="s">
        <v>294</v>
      </c>
      <c r="N1" s="750" t="s">
        <v>863</v>
      </c>
      <c r="O1" s="750" t="s">
        <v>864</v>
      </c>
      <c r="P1" s="750" t="s">
        <v>541</v>
      </c>
      <c r="Q1" s="750" t="s">
        <v>540</v>
      </c>
      <c r="R1" s="750" t="s">
        <v>877</v>
      </c>
      <c r="S1" s="750" t="s">
        <v>547</v>
      </c>
      <c r="T1" s="750" t="s">
        <v>544</v>
      </c>
      <c r="U1" s="750" t="s">
        <v>545</v>
      </c>
      <c r="V1" s="750" t="s">
        <v>862</v>
      </c>
      <c r="W1" s="750" t="s">
        <v>225</v>
      </c>
      <c r="X1" s="751" t="s">
        <v>189</v>
      </c>
      <c r="Y1" s="751" t="s">
        <v>865</v>
      </c>
      <c r="Z1" s="751" t="s">
        <v>555</v>
      </c>
      <c r="AA1" s="752" t="s">
        <v>582</v>
      </c>
      <c r="AB1" s="753" t="s">
        <v>583</v>
      </c>
      <c r="AC1" s="705"/>
    </row>
    <row r="2" spans="1:29" x14ac:dyDescent="0.25">
      <c r="B2" s="737" t="s">
        <v>861</v>
      </c>
      <c r="C2" s="712">
        <v>0.1</v>
      </c>
      <c r="D2" s="712">
        <v>0.1</v>
      </c>
      <c r="E2" s="712">
        <v>0.1</v>
      </c>
      <c r="F2" s="712">
        <v>0.1</v>
      </c>
      <c r="G2" s="712">
        <v>0.1</v>
      </c>
      <c r="H2" s="712">
        <v>0.1</v>
      </c>
      <c r="I2" s="712">
        <v>0.1</v>
      </c>
      <c r="J2" s="712">
        <v>0.2</v>
      </c>
      <c r="K2" s="712">
        <v>0.1</v>
      </c>
      <c r="L2" s="712">
        <v>0.16</v>
      </c>
      <c r="M2" s="712">
        <v>0.1</v>
      </c>
      <c r="N2" s="754"/>
      <c r="O2" s="754"/>
      <c r="P2" s="754"/>
      <c r="Q2" s="754"/>
      <c r="R2" s="754"/>
      <c r="S2" s="754"/>
      <c r="T2" s="754"/>
      <c r="U2" s="754"/>
      <c r="V2" s="754"/>
      <c r="W2" s="754"/>
      <c r="X2" s="755"/>
      <c r="Y2" s="755"/>
      <c r="Z2" s="755"/>
      <c r="AA2" s="755"/>
      <c r="AB2" s="755"/>
    </row>
    <row r="3" spans="1:29" x14ac:dyDescent="0.25">
      <c r="B3" s="738"/>
      <c r="C3" s="713"/>
      <c r="D3" s="713"/>
      <c r="E3" s="713"/>
      <c r="F3" s="713"/>
      <c r="G3" s="713"/>
      <c r="H3" s="713"/>
      <c r="I3" s="713"/>
      <c r="J3" s="713"/>
      <c r="K3" s="713"/>
      <c r="L3" s="713"/>
      <c r="M3" s="713"/>
      <c r="N3" s="754"/>
      <c r="O3" s="756"/>
      <c r="P3" s="754"/>
      <c r="Q3" s="754"/>
      <c r="R3" s="754"/>
      <c r="S3" s="754"/>
      <c r="T3" s="754"/>
      <c r="U3" s="754"/>
      <c r="V3" s="754"/>
      <c r="W3" s="757"/>
      <c r="X3" s="758"/>
      <c r="Y3" s="755"/>
      <c r="Z3" s="755"/>
      <c r="AA3" s="755"/>
      <c r="AB3" s="755"/>
    </row>
    <row r="4" spans="1:29" x14ac:dyDescent="0.25">
      <c r="A4" s="734">
        <v>1</v>
      </c>
      <c r="B4" s="739" t="s">
        <v>547</v>
      </c>
      <c r="C4" s="712">
        <v>0</v>
      </c>
      <c r="D4" s="712">
        <v>0</v>
      </c>
      <c r="E4" s="712">
        <v>0</v>
      </c>
      <c r="F4" s="712">
        <v>0</v>
      </c>
      <c r="G4" s="712">
        <v>0</v>
      </c>
      <c r="H4" s="712">
        <v>0</v>
      </c>
      <c r="I4" s="712">
        <v>0</v>
      </c>
      <c r="J4" s="712">
        <v>0</v>
      </c>
      <c r="K4" s="712">
        <v>0</v>
      </c>
      <c r="L4" s="712">
        <v>0</v>
      </c>
      <c r="M4" s="712">
        <v>0</v>
      </c>
      <c r="N4" s="754"/>
      <c r="O4" s="754"/>
      <c r="P4" s="754"/>
      <c r="Q4" s="754"/>
      <c r="R4" s="754"/>
      <c r="S4" s="754"/>
      <c r="T4" s="754"/>
      <c r="U4" s="754"/>
      <c r="V4" s="754"/>
      <c r="W4" s="754"/>
      <c r="X4" s="755"/>
      <c r="Y4" s="755"/>
      <c r="Z4" s="755"/>
      <c r="AA4" s="755"/>
      <c r="AB4" s="755"/>
    </row>
    <row r="5" spans="1:29" x14ac:dyDescent="0.25">
      <c r="A5" s="734"/>
      <c r="B5" s="740" t="s">
        <v>582</v>
      </c>
      <c r="C5" s="714">
        <v>0</v>
      </c>
      <c r="D5" s="714">
        <v>0</v>
      </c>
      <c r="E5" s="714">
        <v>0</v>
      </c>
      <c r="F5" s="714">
        <v>0</v>
      </c>
      <c r="G5" s="714">
        <v>0</v>
      </c>
      <c r="H5" s="714">
        <v>0</v>
      </c>
      <c r="I5" s="714">
        <v>0</v>
      </c>
      <c r="J5" s="714">
        <v>0</v>
      </c>
      <c r="K5" s="714">
        <v>0</v>
      </c>
      <c r="L5" s="714">
        <v>0</v>
      </c>
      <c r="M5" s="714">
        <v>0</v>
      </c>
      <c r="N5" s="759">
        <v>0</v>
      </c>
      <c r="O5" s="759">
        <v>-600000</v>
      </c>
      <c r="P5" s="759">
        <v>-750000</v>
      </c>
      <c r="Q5" s="759">
        <v>-1922076</v>
      </c>
      <c r="R5" s="759">
        <v>-350350</v>
      </c>
      <c r="S5" s="759">
        <v>-1000000</v>
      </c>
      <c r="T5" s="759">
        <v>-391000</v>
      </c>
      <c r="U5" s="759">
        <v>0</v>
      </c>
      <c r="V5" s="759">
        <v>-465000</v>
      </c>
      <c r="W5" s="759">
        <v>-2500000</v>
      </c>
      <c r="X5" s="760">
        <v>7689744</v>
      </c>
      <c r="Y5" s="760">
        <v>30000</v>
      </c>
      <c r="Z5" s="760">
        <v>4223431</v>
      </c>
      <c r="AA5" s="755">
        <v>100910775</v>
      </c>
      <c r="AB5" s="755">
        <f>SUM(N5:AA5)</f>
        <v>104875524</v>
      </c>
    </row>
    <row r="6" spans="1:29" x14ac:dyDescent="0.25">
      <c r="A6" s="734"/>
      <c r="B6" s="741" t="str">
        <f>VLOOKUP(1,Calendar!$A$1:$B$18,2,FALSE)</f>
        <v>Nurburgring</v>
      </c>
      <c r="C6" s="715">
        <f>HLOOKUP(C1,Wear!$A$1:$M$98,VLOOKUP($B$6,Wear!$A$1:$M$98,2,FALSE),FALSE)</f>
        <v>0.22</v>
      </c>
      <c r="D6" s="715">
        <f>HLOOKUP(D1,Wear!$A$1:$M$98,VLOOKUP($B$6,Wear!$A$1:$M$98,2,FALSE),FALSE)</f>
        <v>0.35</v>
      </c>
      <c r="E6" s="715">
        <f>HLOOKUP(E1,Wear!$A$1:$M$98,VLOOKUP($B$6,Wear!$A$1:$M$98,2,FALSE),FALSE)</f>
        <v>0.19</v>
      </c>
      <c r="F6" s="715">
        <f>HLOOKUP(F1,Wear!$A$1:$M$98,VLOOKUP($B$6,Wear!$A$1:$M$98,2,FALSE),FALSE)</f>
        <v>0.24</v>
      </c>
      <c r="G6" s="715">
        <f>HLOOKUP(G1,Wear!$A$1:$M$98,VLOOKUP($B$6,Wear!$A$1:$M$98,2,FALSE),FALSE)</f>
        <v>0.21</v>
      </c>
      <c r="H6" s="715">
        <f>HLOOKUP(H1,Wear!$A$1:$M$98,VLOOKUP($B$6,Wear!$A$1:$M$98,2,FALSE),FALSE)</f>
        <v>0.14000000000000001</v>
      </c>
      <c r="I6" s="715">
        <f>HLOOKUP(I1,Wear!$A$1:$M$98,VLOOKUP($B$6,Wear!$A$1:$M$98,2,FALSE),FALSE)</f>
        <v>0.14000000000000001</v>
      </c>
      <c r="J6" s="715">
        <f>HLOOKUP(J1,Wear!$A$1:$M$98,VLOOKUP($B$6,Wear!$A$1:$M$98,2,FALSE),FALSE)</f>
        <v>0.22</v>
      </c>
      <c r="K6" s="715">
        <f>HLOOKUP(K1,Wear!$A$1:$M$98,VLOOKUP($B$6,Wear!$A$1:$M$98,2,FALSE),FALSE)</f>
        <v>0.33</v>
      </c>
      <c r="L6" s="715">
        <f>HLOOKUP(L1,Wear!$A$1:$M$98,VLOOKUP($B$6,Wear!$A$1:$M$98,2,FALSE),FALSE)</f>
        <v>0.31</v>
      </c>
      <c r="M6" s="715">
        <f>HLOOKUP(M1,Wear!$A$1:$M$98,VLOOKUP($B$6,Wear!$A$1:$M$98,2,FALSE),FALSE)</f>
        <v>0.11</v>
      </c>
      <c r="N6" s="759"/>
      <c r="O6" s="759"/>
      <c r="P6" s="759"/>
      <c r="Q6" s="759"/>
      <c r="R6" s="759"/>
      <c r="S6" s="759"/>
      <c r="T6" s="759"/>
      <c r="U6" s="759"/>
      <c r="V6" s="759"/>
      <c r="W6" s="759"/>
      <c r="X6" s="760"/>
      <c r="Y6" s="760"/>
      <c r="Z6" s="760"/>
      <c r="AA6" s="755"/>
      <c r="AB6" s="755"/>
    </row>
    <row r="7" spans="1:29" s="704" customFormat="1" ht="21.75" thickBot="1" x14ac:dyDescent="0.3">
      <c r="A7" s="735"/>
      <c r="B7" s="742" t="s">
        <v>583</v>
      </c>
      <c r="C7" s="716">
        <f>IF(SUM(C4+C5+C6)&gt;1,C5+C6,SUM(C4+C5+C6))</f>
        <v>0.22</v>
      </c>
      <c r="D7" s="716">
        <f t="shared" ref="D7:M7" si="0">IF(SUM(D4+D5+D6)&gt;1,D5+D6,SUM(D4+D5+D6))</f>
        <v>0.35</v>
      </c>
      <c r="E7" s="716">
        <f t="shared" si="0"/>
        <v>0.19</v>
      </c>
      <c r="F7" s="716">
        <f t="shared" si="0"/>
        <v>0.24</v>
      </c>
      <c r="G7" s="716">
        <f t="shared" si="0"/>
        <v>0.21</v>
      </c>
      <c r="H7" s="716">
        <f t="shared" si="0"/>
        <v>0.14000000000000001</v>
      </c>
      <c r="I7" s="716">
        <f t="shared" si="0"/>
        <v>0.14000000000000001</v>
      </c>
      <c r="J7" s="716">
        <f t="shared" si="0"/>
        <v>0.22</v>
      </c>
      <c r="K7" s="716">
        <f t="shared" si="0"/>
        <v>0.33</v>
      </c>
      <c r="L7" s="716">
        <f t="shared" si="0"/>
        <v>0.31</v>
      </c>
      <c r="M7" s="716">
        <f t="shared" si="0"/>
        <v>0.11</v>
      </c>
      <c r="N7" s="761"/>
      <c r="O7" s="761"/>
      <c r="P7" s="761"/>
      <c r="Q7" s="761"/>
      <c r="R7" s="761"/>
      <c r="S7" s="761"/>
      <c r="T7" s="761"/>
      <c r="U7" s="761"/>
      <c r="V7" s="761"/>
      <c r="W7" s="761"/>
      <c r="X7" s="762"/>
      <c r="Y7" s="762"/>
      <c r="Z7" s="762"/>
      <c r="AA7" s="763"/>
      <c r="AB7" s="763"/>
    </row>
    <row r="8" spans="1:29" x14ac:dyDescent="0.25">
      <c r="A8" s="734">
        <v>2</v>
      </c>
      <c r="B8" s="743" t="s">
        <v>547</v>
      </c>
      <c r="C8" s="712">
        <v>0.1</v>
      </c>
      <c r="D8" s="712">
        <v>0.1</v>
      </c>
      <c r="E8" s="712">
        <v>0.1</v>
      </c>
      <c r="F8" s="712">
        <v>0.1</v>
      </c>
      <c r="G8" s="712">
        <v>0.1</v>
      </c>
      <c r="H8" s="712">
        <v>0.1</v>
      </c>
      <c r="I8" s="712">
        <v>0.1</v>
      </c>
      <c r="J8" s="712">
        <v>0.2</v>
      </c>
      <c r="K8" s="712">
        <v>0.1</v>
      </c>
      <c r="L8" s="712">
        <v>0.16</v>
      </c>
      <c r="M8" s="712">
        <v>0.1</v>
      </c>
      <c r="N8" s="759"/>
      <c r="O8" s="759"/>
      <c r="P8" s="759"/>
      <c r="Q8" s="759"/>
      <c r="R8" s="759"/>
      <c r="S8" s="759"/>
      <c r="T8" s="759"/>
      <c r="U8" s="759"/>
      <c r="V8" s="759"/>
      <c r="W8" s="759"/>
      <c r="X8" s="760"/>
      <c r="Y8" s="760"/>
      <c r="Z8" s="760"/>
      <c r="AA8" s="755"/>
      <c r="AB8" s="755"/>
    </row>
    <row r="9" spans="1:29" x14ac:dyDescent="0.25">
      <c r="A9" s="734"/>
      <c r="B9" s="739" t="s">
        <v>582</v>
      </c>
      <c r="C9" s="717">
        <f>IF(C8+C7+C12&gt;0.32,0,C8+C7)</f>
        <v>0</v>
      </c>
      <c r="D9" s="717">
        <f>IF(D8+D7+D12&gt;0.97,0,D8+D7)</f>
        <v>0.44999999999999996</v>
      </c>
      <c r="E9" s="717">
        <f>IF(E8+E7+E12&gt;0.32,0,E8+E7)</f>
        <v>0</v>
      </c>
      <c r="F9" s="717">
        <f>IF(F8+F7+F12&gt;0.35,0,F8+F7)</f>
        <v>0</v>
      </c>
      <c r="G9" s="717">
        <f>IF(G8+G7+G12&gt;0.31,0,G8+G7)</f>
        <v>0</v>
      </c>
      <c r="H9" s="717">
        <f>IF(H8+H7+H12&gt;0.26,0,H8+H7)</f>
        <v>0</v>
      </c>
      <c r="I9" s="717">
        <f t="shared" ref="I9:M9" si="1">IF(I8+I7+I12&gt;0.94,0,I8+I7)</f>
        <v>0.24000000000000002</v>
      </c>
      <c r="J9" s="717">
        <f t="shared" si="1"/>
        <v>0.42000000000000004</v>
      </c>
      <c r="K9" s="717">
        <f>IF(K8+K7+K12&gt;0.47,0,K8+K7)</f>
        <v>0</v>
      </c>
      <c r="L9" s="717">
        <f>IF(L8+L7+L12&gt;0.45,0,L8+L7)</f>
        <v>0</v>
      </c>
      <c r="M9" s="717">
        <f t="shared" si="1"/>
        <v>0.21000000000000002</v>
      </c>
      <c r="N9" s="759"/>
      <c r="O9" s="759"/>
      <c r="P9" s="759"/>
      <c r="Q9" s="759"/>
      <c r="R9" s="759"/>
      <c r="S9" s="759"/>
      <c r="T9" s="759"/>
      <c r="U9" s="759"/>
      <c r="V9" s="759"/>
      <c r="W9" s="759"/>
      <c r="X9" s="760"/>
      <c r="Y9" s="760"/>
      <c r="Z9" s="760"/>
      <c r="AA9" s="755"/>
      <c r="AB9" s="755"/>
    </row>
    <row r="10" spans="1:29" x14ac:dyDescent="0.25">
      <c r="A10" s="734"/>
      <c r="B10" s="744" t="s">
        <v>452</v>
      </c>
      <c r="C10" s="718">
        <f>CurrentSeasonWear!T2</f>
        <v>6</v>
      </c>
      <c r="D10" s="718">
        <f>CurrentSeasonWear!U2</f>
        <v>7</v>
      </c>
      <c r="E10" s="718">
        <f>CurrentSeasonWear!V2</f>
        <v>6</v>
      </c>
      <c r="F10" s="718">
        <f>CurrentSeasonWear!W2</f>
        <v>7</v>
      </c>
      <c r="G10" s="718">
        <f>CurrentSeasonWear!X2</f>
        <v>7</v>
      </c>
      <c r="H10" s="718">
        <f>CurrentSeasonWear!Y2</f>
        <v>7</v>
      </c>
      <c r="I10" s="718">
        <f>CurrentSeasonWear!Z2</f>
        <v>6</v>
      </c>
      <c r="J10" s="718">
        <f>CurrentSeasonWear!AA2</f>
        <v>5</v>
      </c>
      <c r="K10" s="718">
        <f>CurrentSeasonWear!AB2</f>
        <v>6</v>
      </c>
      <c r="L10" s="718">
        <f>CurrentSeasonWear!AC2</f>
        <v>6</v>
      </c>
      <c r="M10" s="718">
        <f>CurrentSeasonWear!AD2</f>
        <v>5</v>
      </c>
      <c r="N10" s="759"/>
      <c r="O10" s="759"/>
      <c r="P10" s="759"/>
      <c r="Q10" s="759"/>
      <c r="R10" s="759"/>
      <c r="S10" s="759"/>
      <c r="T10" s="759"/>
      <c r="U10" s="759"/>
      <c r="V10" s="759"/>
      <c r="W10" s="759"/>
      <c r="X10" s="760"/>
      <c r="Y10" s="760"/>
      <c r="Z10" s="760"/>
      <c r="AA10" s="755"/>
      <c r="AB10" s="755"/>
    </row>
    <row r="11" spans="1:29" x14ac:dyDescent="0.25">
      <c r="A11" s="734"/>
      <c r="B11" s="745" t="s">
        <v>581</v>
      </c>
      <c r="C11" s="719">
        <f>IF(C9=0,HLOOKUP(C10,'Parts Cost'!$A$2:$J$13,2,TRUE),0)</f>
        <v>3766376.3195087109</v>
      </c>
      <c r="D11" s="719">
        <f>IF(D9=0,HLOOKUP(D10,'Parts Cost'!$A$2:$J$13,3,TRUE),0)</f>
        <v>0</v>
      </c>
      <c r="E11" s="719">
        <f>IF(E9=0,HLOOKUP(E10,'Parts Cost'!$A$2:$J$13,4,TRUE),0)</f>
        <v>4520546.744643773</v>
      </c>
      <c r="F11" s="719">
        <f>IF(F9=0,HLOOKUP(F10,'Parts Cost'!$A$2:$J$13,5,TRUE),0)</f>
        <v>5428255.5363089144</v>
      </c>
      <c r="G11" s="719">
        <f>IF(G9=0,HLOOKUP(G10,'Parts Cost'!$A$2:$J$13,6,TRUE),0)</f>
        <v>1841006.0993734533</v>
      </c>
      <c r="H11" s="719">
        <f>IF(H9=0,HLOOKUP(H10,'Parts Cost'!$A$2:$J$13,7,TRUE),0)</f>
        <v>1659488.7472967457</v>
      </c>
      <c r="I11" s="719">
        <f>IF(I9=0,HLOOKUP(I10,'Parts Cost'!$A$2:$J$13,8,TRUE),0)</f>
        <v>0</v>
      </c>
      <c r="J11" s="719">
        <f>IF(J9=0,HLOOKUP(J10,'Parts Cost'!$A$2:$J$13,9,TRUE),0)</f>
        <v>0</v>
      </c>
      <c r="K11" s="719">
        <f>IF(K9=0,HLOOKUP(K10,'Parts Cost'!$A$2:$J$13,10,TRUE),0)</f>
        <v>2032977.5986155318</v>
      </c>
      <c r="L11" s="719">
        <f>IF(L9=0,HLOOKUP(L10,'Parts Cost'!$A$2:$J$13,11,TRUE),0)</f>
        <v>3442946.8731186609</v>
      </c>
      <c r="M11" s="719">
        <f>IF(M9=0,HLOOKUP(M10,'Parts Cost'!$A$2:$J$13,12,TRUE),0)</f>
        <v>0</v>
      </c>
      <c r="N11" s="759">
        <f>SUM(C11:M11)*-1</f>
        <v>-22691597.918865789</v>
      </c>
      <c r="O11" s="759">
        <f t="shared" ref="O11:W11" si="2">O5</f>
        <v>-600000</v>
      </c>
      <c r="P11" s="759">
        <f t="shared" si="2"/>
        <v>-750000</v>
      </c>
      <c r="Q11" s="759">
        <v>-1006307</v>
      </c>
      <c r="R11" s="759">
        <f t="shared" si="2"/>
        <v>-350350</v>
      </c>
      <c r="S11" s="759">
        <f t="shared" si="2"/>
        <v>-1000000</v>
      </c>
      <c r="T11" s="759">
        <f t="shared" si="2"/>
        <v>-391000</v>
      </c>
      <c r="U11" s="759">
        <v>-1000000</v>
      </c>
      <c r="V11" s="759">
        <f t="shared" si="2"/>
        <v>-465000</v>
      </c>
      <c r="W11" s="759">
        <f t="shared" si="2"/>
        <v>-2500000</v>
      </c>
      <c r="X11" s="760">
        <v>14710256</v>
      </c>
      <c r="Y11" s="760">
        <v>810000</v>
      </c>
      <c r="Z11" s="760">
        <v>3455069</v>
      </c>
      <c r="AA11" s="755">
        <f>AB5</f>
        <v>104875524</v>
      </c>
      <c r="AB11" s="755">
        <f>SUM(N11:AA11)</f>
        <v>93096594.081134215</v>
      </c>
    </row>
    <row r="12" spans="1:29" x14ac:dyDescent="0.25">
      <c r="A12" s="734"/>
      <c r="B12" s="746" t="str">
        <f>VLOOKUP(2,Calendar!$A$1:$B$18,2,FALSE)</f>
        <v>Bremgarten</v>
      </c>
      <c r="C12" s="720">
        <f>HLOOKUP(C$1,Wear!$A$1:$M$98,VLOOKUP($B12,Wear!$A$1:$M$98,2,FALSE),FALSE)</f>
        <v>0.26</v>
      </c>
      <c r="D12" s="720">
        <f>HLOOKUP(D$1,Wear!$A$1:$M$98,VLOOKUP($B$12,Wear!$A$1:$M$98,2,FALSE),FALSE)</f>
        <v>0.18</v>
      </c>
      <c r="E12" s="720">
        <f>HLOOKUP(E$1,Wear!$A$1:$M$98,VLOOKUP($B$12,Wear!$A$1:$M$98,2,FALSE),FALSE)</f>
        <v>0.13</v>
      </c>
      <c r="F12" s="720">
        <f>HLOOKUP(F$1,Wear!$A$1:$M$98,VLOOKUP($B$12,Wear!$A$1:$M$98,2,FALSE),FALSE)</f>
        <v>0.13</v>
      </c>
      <c r="G12" s="720">
        <f>HLOOKUP(G$1,Wear!$A$1:$M$98,VLOOKUP($B$12,Wear!$A$1:$M$98,2,FALSE),FALSE)</f>
        <v>0.28999999999999998</v>
      </c>
      <c r="H12" s="720">
        <f>HLOOKUP(H$1,Wear!$A$1:$M$98,VLOOKUP($B$12,Wear!$A$1:$M$98,2,FALSE),FALSE)</f>
        <v>0.22</v>
      </c>
      <c r="I12" s="720">
        <f>HLOOKUP(I$1,Wear!$A$1:$M$98,VLOOKUP($B$12,Wear!$A$1:$M$98,2,FALSE),FALSE)</f>
        <v>0.09</v>
      </c>
      <c r="J12" s="720">
        <f>HLOOKUP(J$1,Wear!$A$1:$M$98,VLOOKUP($B$12,Wear!$A$1:$M$98,2,FALSE),FALSE)</f>
        <v>0.25</v>
      </c>
      <c r="K12" s="720">
        <f>HLOOKUP(K$1,Wear!$A$1:$M$98,VLOOKUP($B$12,Wear!$A$1:$M$98,2,FALSE),FALSE)</f>
        <v>0.2</v>
      </c>
      <c r="L12" s="720">
        <f>HLOOKUP(L$1,Wear!$A$1:$M$98,VLOOKUP($B$12,Wear!$A$1:$M$98,2,FALSE),FALSE)</f>
        <v>0.28000000000000003</v>
      </c>
      <c r="M12" s="720">
        <f>HLOOKUP(M$1,Wear!$A$1:$M$98,VLOOKUP($B$12,Wear!$A$1:$M$98,2,FALSE),FALSE)</f>
        <v>0.08</v>
      </c>
      <c r="N12" s="759"/>
      <c r="O12" s="759"/>
      <c r="P12" s="759"/>
      <c r="Q12" s="759"/>
      <c r="R12" s="759"/>
      <c r="S12" s="759"/>
      <c r="T12" s="759"/>
      <c r="U12" s="759"/>
      <c r="V12" s="759"/>
      <c r="W12" s="759"/>
      <c r="X12" s="760"/>
      <c r="Y12" s="760"/>
      <c r="Z12" s="760"/>
      <c r="AA12" s="755"/>
      <c r="AB12" s="755"/>
    </row>
    <row r="13" spans="1:29" s="704" customFormat="1" ht="21.75" thickBot="1" x14ac:dyDescent="0.3">
      <c r="A13" s="735"/>
      <c r="B13" s="747" t="str">
        <f>B7</f>
        <v>After Race</v>
      </c>
      <c r="C13" s="721">
        <f t="shared" ref="C13:M13" si="3">C12+C9</f>
        <v>0.26</v>
      </c>
      <c r="D13" s="721">
        <f t="shared" si="3"/>
        <v>0.62999999999999989</v>
      </c>
      <c r="E13" s="721">
        <f t="shared" si="3"/>
        <v>0.13</v>
      </c>
      <c r="F13" s="721">
        <f t="shared" si="3"/>
        <v>0.13</v>
      </c>
      <c r="G13" s="721">
        <f t="shared" si="3"/>
        <v>0.28999999999999998</v>
      </c>
      <c r="H13" s="721">
        <f t="shared" si="3"/>
        <v>0.22</v>
      </c>
      <c r="I13" s="721">
        <f t="shared" si="3"/>
        <v>0.33</v>
      </c>
      <c r="J13" s="721">
        <f t="shared" si="3"/>
        <v>0.67</v>
      </c>
      <c r="K13" s="721">
        <f t="shared" si="3"/>
        <v>0.2</v>
      </c>
      <c r="L13" s="721">
        <f t="shared" si="3"/>
        <v>0.28000000000000003</v>
      </c>
      <c r="M13" s="721">
        <f t="shared" si="3"/>
        <v>0.29000000000000004</v>
      </c>
      <c r="N13" s="761"/>
      <c r="O13" s="761"/>
      <c r="P13" s="761"/>
      <c r="Q13" s="761"/>
      <c r="R13" s="761"/>
      <c r="S13" s="761"/>
      <c r="T13" s="761"/>
      <c r="U13" s="761"/>
      <c r="V13" s="761"/>
      <c r="W13" s="761"/>
      <c r="X13" s="762"/>
      <c r="Y13" s="762"/>
      <c r="Z13" s="762"/>
      <c r="AA13" s="763"/>
      <c r="AB13" s="763"/>
    </row>
    <row r="14" spans="1:29" x14ac:dyDescent="0.25">
      <c r="A14" s="734">
        <v>3</v>
      </c>
      <c r="B14" s="748" t="s">
        <v>547</v>
      </c>
      <c r="C14" s="712">
        <v>0.1</v>
      </c>
      <c r="D14" s="712">
        <v>0.1</v>
      </c>
      <c r="E14" s="712">
        <v>0.1</v>
      </c>
      <c r="F14" s="712">
        <v>0.1</v>
      </c>
      <c r="G14" s="712">
        <v>0.1</v>
      </c>
      <c r="H14" s="712">
        <v>0.1</v>
      </c>
      <c r="I14" s="712">
        <v>0.1</v>
      </c>
      <c r="J14" s="712">
        <v>0.2</v>
      </c>
      <c r="K14" s="712">
        <v>0.1</v>
      </c>
      <c r="L14" s="712">
        <v>0.16</v>
      </c>
      <c r="M14" s="712">
        <v>0.1</v>
      </c>
      <c r="N14" s="759"/>
      <c r="O14" s="759"/>
      <c r="P14" s="759"/>
      <c r="Q14" s="759"/>
      <c r="R14" s="759"/>
      <c r="S14" s="759"/>
      <c r="T14" s="759"/>
      <c r="U14" s="759"/>
      <c r="V14" s="759"/>
      <c r="W14" s="759"/>
      <c r="X14" s="760"/>
      <c r="Y14" s="760"/>
      <c r="Z14" s="760"/>
      <c r="AA14" s="755"/>
      <c r="AB14" s="755"/>
    </row>
    <row r="15" spans="1:29" x14ac:dyDescent="0.25">
      <c r="A15" s="734"/>
      <c r="B15" s="745" t="s">
        <v>582</v>
      </c>
      <c r="C15" s="722">
        <f>IF(C14+C13+C18&gt;0.94,0,C14+C13)</f>
        <v>0.36</v>
      </c>
      <c r="D15" s="722">
        <f t="shared" ref="D15:M15" si="4">IF(D14+D13+D18&gt;0.94,0,D14+D13)</f>
        <v>0</v>
      </c>
      <c r="E15" s="722">
        <f t="shared" si="4"/>
        <v>0.23</v>
      </c>
      <c r="F15" s="722">
        <f t="shared" si="4"/>
        <v>0.23</v>
      </c>
      <c r="G15" s="722">
        <f t="shared" si="4"/>
        <v>0.39</v>
      </c>
      <c r="H15" s="722">
        <f t="shared" si="4"/>
        <v>0.32</v>
      </c>
      <c r="I15" s="722">
        <f t="shared" si="4"/>
        <v>0.43000000000000005</v>
      </c>
      <c r="J15" s="722">
        <f t="shared" si="4"/>
        <v>0</v>
      </c>
      <c r="K15" s="730">
        <f t="shared" si="4"/>
        <v>0.30000000000000004</v>
      </c>
      <c r="L15" s="722">
        <f t="shared" si="4"/>
        <v>0.44000000000000006</v>
      </c>
      <c r="M15" s="722">
        <f t="shared" si="4"/>
        <v>0.39</v>
      </c>
      <c r="N15" s="759"/>
      <c r="O15" s="759"/>
      <c r="P15" s="759"/>
      <c r="Q15" s="759"/>
      <c r="R15" s="759"/>
      <c r="S15" s="759"/>
      <c r="T15" s="759"/>
      <c r="U15" s="759"/>
      <c r="V15" s="759"/>
      <c r="W15" s="759"/>
      <c r="X15" s="760"/>
      <c r="Y15" s="760"/>
      <c r="Z15" s="760"/>
      <c r="AA15" s="755"/>
      <c r="AB15" s="755"/>
    </row>
    <row r="16" spans="1:29" x14ac:dyDescent="0.25">
      <c r="A16" s="734"/>
      <c r="B16" s="745" t="s">
        <v>452</v>
      </c>
      <c r="C16" s="723">
        <f>C10</f>
        <v>6</v>
      </c>
      <c r="D16" s="723">
        <v>6</v>
      </c>
      <c r="E16" s="723">
        <f>E10</f>
        <v>6</v>
      </c>
      <c r="F16" s="723">
        <f t="shared" ref="F16:L16" si="5">F10</f>
        <v>7</v>
      </c>
      <c r="G16" s="723">
        <f>G10</f>
        <v>7</v>
      </c>
      <c r="H16" s="723">
        <f>G10</f>
        <v>7</v>
      </c>
      <c r="I16" s="723">
        <f>I10</f>
        <v>6</v>
      </c>
      <c r="J16" s="723">
        <f t="shared" si="5"/>
        <v>5</v>
      </c>
      <c r="K16" s="723">
        <f>K10</f>
        <v>6</v>
      </c>
      <c r="L16" s="723">
        <f t="shared" si="5"/>
        <v>6</v>
      </c>
      <c r="M16" s="723">
        <f>M10</f>
        <v>5</v>
      </c>
      <c r="N16" s="759"/>
      <c r="O16" s="759"/>
      <c r="P16" s="759"/>
      <c r="Q16" s="759"/>
      <c r="R16" s="759"/>
      <c r="S16" s="759"/>
      <c r="T16" s="759"/>
      <c r="U16" s="759"/>
      <c r="V16" s="759"/>
      <c r="W16" s="759"/>
      <c r="X16" s="760"/>
      <c r="Y16" s="760"/>
      <c r="Z16" s="760"/>
      <c r="AA16" s="755"/>
      <c r="AB16" s="755"/>
    </row>
    <row r="17" spans="1:28" x14ac:dyDescent="0.25">
      <c r="A17" s="734"/>
      <c r="B17" s="745" t="s">
        <v>581</v>
      </c>
      <c r="C17" s="719">
        <f>IF(C15=0,HLOOKUP(C16,'Parts Cost'!$A$2:$J$13,2,TRUE),0)</f>
        <v>0</v>
      </c>
      <c r="D17" s="719">
        <f>IF(D15=0,HLOOKUP(D16,'Parts Cost'!$A$2:$J$13,3,TRUE),0)</f>
        <v>9650190.6814733017</v>
      </c>
      <c r="E17" s="719">
        <f>IF(E15=0,HLOOKUP(E16,'Parts Cost'!$A$2:$J$13,4,TRUE),0)</f>
        <v>0</v>
      </c>
      <c r="F17" s="719">
        <f>IF(F15=0,HLOOKUP(F16,'Parts Cost'!$A$2:$J$13,5,TRUE),0)</f>
        <v>0</v>
      </c>
      <c r="G17" s="719">
        <f>IF(G15=0,HLOOKUP(G16,'Parts Cost'!$A$2:$J$13,6,TRUE),0)</f>
        <v>0</v>
      </c>
      <c r="H17" s="719">
        <f>IF(H15=0,HLOOKUP(H16,'Parts Cost'!$A$2:$J$13,7,TRUE),0)</f>
        <v>0</v>
      </c>
      <c r="I17" s="719">
        <f>IF(I15=0,HLOOKUP(I16,'Parts Cost'!$A$2:$J$13,8,TRUE),0)</f>
        <v>0</v>
      </c>
      <c r="J17" s="719">
        <f>IF(J15=0,HLOOKUP(J16,'Parts Cost'!$A$2:$J$13,9,TRUE),0)</f>
        <v>7289202.8474226771</v>
      </c>
      <c r="K17" s="719">
        <f>IF(K15=0,HLOOKUP(K16,'Parts Cost'!$A$2:$J$13,10,TRUE),0)</f>
        <v>0</v>
      </c>
      <c r="L17" s="719">
        <f>IF(L15=0,HLOOKUP(L16,'Parts Cost'!$A$2:$J$13,11,TRUE),0)</f>
        <v>0</v>
      </c>
      <c r="M17" s="719">
        <f>IF(M15=0,HLOOKUP(M16,'Parts Cost'!$A$2:$J$13,12,TRUE),0)</f>
        <v>0</v>
      </c>
      <c r="N17" s="759">
        <f>SUM(C17:M17)*-1</f>
        <v>-16939393.528895978</v>
      </c>
      <c r="O17" s="759">
        <f t="shared" ref="O17:W17" si="6">O11</f>
        <v>-600000</v>
      </c>
      <c r="P17" s="759">
        <f t="shared" si="6"/>
        <v>-750000</v>
      </c>
      <c r="Q17" s="759">
        <f t="shared" si="6"/>
        <v>-1006307</v>
      </c>
      <c r="R17" s="759">
        <f t="shared" si="6"/>
        <v>-350350</v>
      </c>
      <c r="S17" s="759">
        <v>-1000000</v>
      </c>
      <c r="T17" s="759">
        <f t="shared" si="6"/>
        <v>-391000</v>
      </c>
      <c r="U17" s="759">
        <v>-1000000</v>
      </c>
      <c r="V17" s="759">
        <f t="shared" si="6"/>
        <v>-465000</v>
      </c>
      <c r="W17" s="759">
        <f t="shared" si="6"/>
        <v>-2500000</v>
      </c>
      <c r="X17" s="760">
        <v>13000000</v>
      </c>
      <c r="Y17" s="760">
        <f>Y11</f>
        <v>810000</v>
      </c>
      <c r="Z17" s="760">
        <f>Z11</f>
        <v>3455069</v>
      </c>
      <c r="AA17" s="755">
        <f>AB11</f>
        <v>93096594.081134215</v>
      </c>
      <c r="AB17" s="755">
        <f>SUM(N17:AA17)</f>
        <v>85359612.552238241</v>
      </c>
    </row>
    <row r="18" spans="1:28" x14ac:dyDescent="0.25">
      <c r="A18" s="734"/>
      <c r="B18" s="746" t="str">
        <f>VLOOKUP(3,Calendar!$A$1:$B$18,2,FALSE)</f>
        <v>Estoril</v>
      </c>
      <c r="C18" s="720">
        <f>HLOOKUP(C$1,Wear!$A$1:$M$98,VLOOKUP($B18,Wear!$A$1:$M$98,2,FALSE),FALSE)</f>
        <v>0.15</v>
      </c>
      <c r="D18" s="720">
        <f>HLOOKUP(D$1,Wear!$A$1:$M$98,VLOOKUP($B18,Wear!$A$1:$M$98,2,FALSE),FALSE)</f>
        <v>0.38</v>
      </c>
      <c r="E18" s="720">
        <f>HLOOKUP(E$1,Wear!$A$1:$M$98,VLOOKUP($B18,Wear!$A$1:$M$98,2,FALSE),FALSE)</f>
        <v>0.19</v>
      </c>
      <c r="F18" s="720">
        <f>HLOOKUP(F$1,Wear!$A$1:$M$98,VLOOKUP($B18,Wear!$A$1:$M$98,2,FALSE),FALSE)</f>
        <v>0.17</v>
      </c>
      <c r="G18" s="720">
        <f>HLOOKUP(G$1,Wear!$A$1:$M$98,VLOOKUP($B18,Wear!$A$1:$M$98,2,FALSE),FALSE)</f>
        <v>0.19</v>
      </c>
      <c r="H18" s="720">
        <f>HLOOKUP(H$1,Wear!$A$1:$M$98,VLOOKUP($B18,Wear!$A$1:$M$98,2,FALSE),FALSE)</f>
        <v>0.14000000000000001</v>
      </c>
      <c r="I18" s="720">
        <f>HLOOKUP(I$1,Wear!$A$1:$M$98,VLOOKUP($B18,Wear!$A$1:$M$98,2,FALSE),FALSE)</f>
        <v>0.1</v>
      </c>
      <c r="J18" s="720">
        <f>HLOOKUP(J$1,Wear!$A$1:$M$98,VLOOKUP($B18,Wear!$A$1:$M$98,2,FALSE),FALSE)</f>
        <v>0.25</v>
      </c>
      <c r="K18" s="720">
        <f>HLOOKUP(K$1,Wear!$A$1:$M$98,VLOOKUP($B18,Wear!$A$1:$M$98,2,FALSE),FALSE)</f>
        <v>0.28999999999999998</v>
      </c>
      <c r="L18" s="720">
        <f>HLOOKUP(L$1,Wear!$A$1:$M$98,VLOOKUP($B18,Wear!$A$1:$M$98,2,FALSE),FALSE)</f>
        <v>0.22</v>
      </c>
      <c r="M18" s="720">
        <f>HLOOKUP(M$1,Wear!$A$1:$M$98,VLOOKUP($B18,Wear!$A$1:$M$98,2,FALSE),FALSE)</f>
        <v>0.1</v>
      </c>
      <c r="N18" s="759"/>
      <c r="O18" s="759"/>
      <c r="P18" s="759"/>
      <c r="Q18" s="759"/>
      <c r="R18" s="759"/>
      <c r="S18" s="759"/>
      <c r="T18" s="759"/>
      <c r="U18" s="759"/>
      <c r="V18" s="759"/>
      <c r="W18" s="759"/>
      <c r="X18" s="760"/>
      <c r="Y18" s="760"/>
      <c r="Z18" s="760"/>
      <c r="AA18" s="755"/>
      <c r="AB18" s="755"/>
    </row>
    <row r="19" spans="1:28" s="704" customFormat="1" ht="21.75" thickBot="1" x14ac:dyDescent="0.3">
      <c r="A19" s="735"/>
      <c r="B19" s="747" t="str">
        <f>B13</f>
        <v>After Race</v>
      </c>
      <c r="C19" s="721">
        <f t="shared" ref="C19:M19" si="7">C18+C15</f>
        <v>0.51</v>
      </c>
      <c r="D19" s="721">
        <f t="shared" si="7"/>
        <v>0.38</v>
      </c>
      <c r="E19" s="721">
        <f t="shared" si="7"/>
        <v>0.42000000000000004</v>
      </c>
      <c r="F19" s="721">
        <f t="shared" si="7"/>
        <v>0.4</v>
      </c>
      <c r="G19" s="721">
        <f t="shared" si="7"/>
        <v>0.58000000000000007</v>
      </c>
      <c r="H19" s="721">
        <f t="shared" si="7"/>
        <v>0.46</v>
      </c>
      <c r="I19" s="721">
        <f t="shared" si="7"/>
        <v>0.53</v>
      </c>
      <c r="J19" s="721">
        <f t="shared" si="7"/>
        <v>0.25</v>
      </c>
      <c r="K19" s="721">
        <f t="shared" si="7"/>
        <v>0.59000000000000008</v>
      </c>
      <c r="L19" s="721">
        <f t="shared" si="7"/>
        <v>0.66</v>
      </c>
      <c r="M19" s="721">
        <f t="shared" si="7"/>
        <v>0.49</v>
      </c>
      <c r="N19" s="761"/>
      <c r="O19" s="761"/>
      <c r="P19" s="761"/>
      <c r="Q19" s="761"/>
      <c r="R19" s="761"/>
      <c r="S19" s="761"/>
      <c r="T19" s="761"/>
      <c r="U19" s="761"/>
      <c r="V19" s="761"/>
      <c r="W19" s="761"/>
      <c r="X19" s="762"/>
      <c r="Y19" s="762"/>
      <c r="Z19" s="762"/>
      <c r="AA19" s="763"/>
      <c r="AB19" s="763"/>
    </row>
    <row r="20" spans="1:28" x14ac:dyDescent="0.25">
      <c r="A20" s="734">
        <v>4</v>
      </c>
      <c r="B20" s="748" t="s">
        <v>547</v>
      </c>
      <c r="C20" s="712">
        <v>0</v>
      </c>
      <c r="D20" s="712">
        <v>0</v>
      </c>
      <c r="E20" s="712">
        <v>0</v>
      </c>
      <c r="F20" s="712">
        <v>0</v>
      </c>
      <c r="G20" s="712">
        <v>0</v>
      </c>
      <c r="H20" s="712">
        <v>0</v>
      </c>
      <c r="I20" s="712">
        <v>0</v>
      </c>
      <c r="J20" s="712">
        <v>0</v>
      </c>
      <c r="K20" s="712">
        <v>0</v>
      </c>
      <c r="L20" s="712">
        <v>0</v>
      </c>
      <c r="M20" s="712">
        <v>0</v>
      </c>
      <c r="N20" s="759"/>
      <c r="O20" s="759"/>
      <c r="P20" s="759"/>
      <c r="Q20" s="759"/>
      <c r="R20" s="759"/>
      <c r="S20" s="759"/>
      <c r="T20" s="759"/>
      <c r="U20" s="759"/>
      <c r="V20" s="759"/>
      <c r="W20" s="759"/>
      <c r="X20" s="760"/>
      <c r="Y20" s="760"/>
      <c r="Z20" s="760"/>
      <c r="AA20" s="755"/>
      <c r="AB20" s="755"/>
    </row>
    <row r="21" spans="1:28" x14ac:dyDescent="0.25">
      <c r="A21" s="734"/>
      <c r="B21" s="745" t="s">
        <v>582</v>
      </c>
      <c r="C21" s="722">
        <f>IF(C20+C19+C24&gt;0.94,0,C20+C19)</f>
        <v>0.51</v>
      </c>
      <c r="D21" s="722">
        <f t="shared" ref="D21:M21" si="8">IF(D20+D19+D24&gt;0.94,0,D20+D19)</f>
        <v>0.38</v>
      </c>
      <c r="E21" s="722">
        <f t="shared" si="8"/>
        <v>0.42000000000000004</v>
      </c>
      <c r="F21" s="722">
        <f t="shared" si="8"/>
        <v>0.4</v>
      </c>
      <c r="G21" s="722">
        <f t="shared" si="8"/>
        <v>0.58000000000000007</v>
      </c>
      <c r="H21" s="722">
        <f t="shared" si="8"/>
        <v>0.46</v>
      </c>
      <c r="I21" s="722">
        <f t="shared" si="8"/>
        <v>0.53</v>
      </c>
      <c r="J21" s="722">
        <f t="shared" si="8"/>
        <v>0.25</v>
      </c>
      <c r="K21" s="722">
        <f t="shared" si="8"/>
        <v>0.59000000000000008</v>
      </c>
      <c r="L21" s="722">
        <f t="shared" si="8"/>
        <v>0.66</v>
      </c>
      <c r="M21" s="722">
        <f t="shared" si="8"/>
        <v>0.49</v>
      </c>
      <c r="N21" s="759"/>
      <c r="O21" s="759"/>
      <c r="P21" s="759"/>
      <c r="Q21" s="759"/>
      <c r="R21" s="759"/>
      <c r="S21" s="759"/>
      <c r="T21" s="759"/>
      <c r="U21" s="759"/>
      <c r="V21" s="759"/>
      <c r="W21" s="759"/>
      <c r="X21" s="760"/>
      <c r="Y21" s="760"/>
      <c r="Z21" s="760"/>
      <c r="AA21" s="755"/>
      <c r="AB21" s="755"/>
    </row>
    <row r="22" spans="1:28" x14ac:dyDescent="0.25">
      <c r="A22" s="734"/>
      <c r="B22" s="745" t="s">
        <v>452</v>
      </c>
      <c r="C22" s="723">
        <f>C16</f>
        <v>6</v>
      </c>
      <c r="D22" s="723">
        <v>6</v>
      </c>
      <c r="E22" s="723">
        <f>E16</f>
        <v>6</v>
      </c>
      <c r="F22" s="723">
        <f>F16</f>
        <v>7</v>
      </c>
      <c r="G22" s="723">
        <f t="shared" ref="G22:M22" si="9">G16</f>
        <v>7</v>
      </c>
      <c r="H22" s="723">
        <f t="shared" si="9"/>
        <v>7</v>
      </c>
      <c r="I22" s="723">
        <f t="shared" si="9"/>
        <v>6</v>
      </c>
      <c r="J22" s="723">
        <f>J16</f>
        <v>5</v>
      </c>
      <c r="K22" s="723">
        <f>K16</f>
        <v>6</v>
      </c>
      <c r="L22" s="723">
        <f t="shared" si="9"/>
        <v>6</v>
      </c>
      <c r="M22" s="723">
        <f t="shared" si="9"/>
        <v>5</v>
      </c>
      <c r="N22" s="759"/>
      <c r="O22" s="759"/>
      <c r="P22" s="759"/>
      <c r="Q22" s="759"/>
      <c r="R22" s="759"/>
      <c r="S22" s="759"/>
      <c r="T22" s="759"/>
      <c r="U22" s="759"/>
      <c r="V22" s="759"/>
      <c r="W22" s="759"/>
      <c r="X22" s="760"/>
      <c r="Y22" s="760"/>
      <c r="Z22" s="760"/>
      <c r="AA22" s="755"/>
      <c r="AB22" s="755"/>
    </row>
    <row r="23" spans="1:28" x14ac:dyDescent="0.25">
      <c r="A23" s="734"/>
      <c r="B23" s="745" t="s">
        <v>581</v>
      </c>
      <c r="C23" s="719">
        <f>IF(C21=0,HLOOKUP(C22,'Parts Cost'!$A$2:$J$13,2,TRUE),0)</f>
        <v>0</v>
      </c>
      <c r="D23" s="719">
        <f>IF(D21=0,HLOOKUP(D22,'Parts Cost'!$A$2:$J$13,3,TRUE),0)</f>
        <v>0</v>
      </c>
      <c r="E23" s="719">
        <f>IF(E21=0,HLOOKUP(E22,'Parts Cost'!$A$2:$J$13,4,TRUE),0)</f>
        <v>0</v>
      </c>
      <c r="F23" s="719">
        <f>IF(F21=0,HLOOKUP(F22,'Parts Cost'!$A$2:$J$13,5,TRUE),0)</f>
        <v>0</v>
      </c>
      <c r="G23" s="719">
        <f>IF(G21=0,HLOOKUP(G22,'Parts Cost'!$A$2:$J$13,6,TRUE),0)</f>
        <v>0</v>
      </c>
      <c r="H23" s="719">
        <f>IF(H21=0,HLOOKUP(H22,'Parts Cost'!$A$2:$J$13,7,TRUE),0)</f>
        <v>0</v>
      </c>
      <c r="I23" s="719">
        <f>IF(I21=0,HLOOKUP(I22,'Parts Cost'!$A$2:$J$13,8,TRUE),0)</f>
        <v>0</v>
      </c>
      <c r="J23" s="719">
        <f>IF(J21=0,HLOOKUP(J22,'Parts Cost'!$A$2:$J$13,9,TRUE),0)</f>
        <v>0</v>
      </c>
      <c r="K23" s="719">
        <f>IF(K21=0,HLOOKUP(K22,'Parts Cost'!$A$2:$J$13,10,TRUE),0)</f>
        <v>0</v>
      </c>
      <c r="L23" s="719">
        <f>IF(L21=0,HLOOKUP(L22,'Parts Cost'!$A$2:$J$13,11,TRUE),0)</f>
        <v>0</v>
      </c>
      <c r="M23" s="719">
        <f>IF(M21=0,HLOOKUP(M22,'Parts Cost'!$A$2:$J$13,12,TRUE),0)</f>
        <v>0</v>
      </c>
      <c r="N23" s="759">
        <f>SUM(C23:M23)*-1</f>
        <v>0</v>
      </c>
      <c r="O23" s="759">
        <f t="shared" ref="O23:W23" si="10">O17</f>
        <v>-600000</v>
      </c>
      <c r="P23" s="759">
        <f t="shared" si="10"/>
        <v>-750000</v>
      </c>
      <c r="Q23" s="759">
        <f t="shared" si="10"/>
        <v>-1006307</v>
      </c>
      <c r="R23" s="759">
        <f t="shared" si="10"/>
        <v>-350350</v>
      </c>
      <c r="S23" s="759">
        <v>0</v>
      </c>
      <c r="T23" s="759">
        <f t="shared" si="10"/>
        <v>-391000</v>
      </c>
      <c r="U23" s="759">
        <f t="shared" si="10"/>
        <v>-1000000</v>
      </c>
      <c r="V23" s="759">
        <f t="shared" si="10"/>
        <v>-465000</v>
      </c>
      <c r="W23" s="759">
        <f t="shared" si="10"/>
        <v>-2500000</v>
      </c>
      <c r="X23" s="760">
        <f>X17</f>
        <v>13000000</v>
      </c>
      <c r="Y23" s="760">
        <f>Y17</f>
        <v>810000</v>
      </c>
      <c r="Z23" s="760">
        <f>Z17</f>
        <v>3455069</v>
      </c>
      <c r="AA23" s="755">
        <f>AB17</f>
        <v>85359612.552238241</v>
      </c>
      <c r="AB23" s="755">
        <f>SUM(N23:AA23)</f>
        <v>95562024.552238241</v>
      </c>
    </row>
    <row r="24" spans="1:28" x14ac:dyDescent="0.25">
      <c r="A24" s="734"/>
      <c r="B24" s="746" t="str">
        <f>VLOOKUP(4,Calendar!$A$1:$B$18,2,FALSE)</f>
        <v>Poznan</v>
      </c>
      <c r="C24" s="720">
        <f>HLOOKUP(C$1,Wear!$A$1:$M$98,VLOOKUP($B24,Wear!$A$1:$M$98,2,FALSE),FALSE)</f>
        <v>0.2</v>
      </c>
      <c r="D24" s="720">
        <f>HLOOKUP(D$1,Wear!$A$1:$M$98,VLOOKUP($B24,Wear!$A$1:$M$98,2,FALSE),FALSE)</f>
        <v>0.31</v>
      </c>
      <c r="E24" s="720">
        <f>HLOOKUP(E$1,Wear!$A$1:$M$98,VLOOKUP($B24,Wear!$A$1:$M$98,2,FALSE),FALSE)</f>
        <v>0.23</v>
      </c>
      <c r="F24" s="720">
        <f>HLOOKUP(F$1,Wear!$A$1:$M$98,VLOOKUP($B24,Wear!$A$1:$M$98,2,FALSE),FALSE)</f>
        <v>0.28000000000000003</v>
      </c>
      <c r="G24" s="720">
        <f>HLOOKUP(G$1,Wear!$A$1:$M$98,VLOOKUP($B24,Wear!$A$1:$M$98,2,FALSE),FALSE)</f>
        <v>0.24</v>
      </c>
      <c r="H24" s="720">
        <f>HLOOKUP(H$1,Wear!$A$1:$M$98,VLOOKUP($B24,Wear!$A$1:$M$98,2,FALSE),FALSE)</f>
        <v>0.2</v>
      </c>
      <c r="I24" s="720">
        <f>HLOOKUP(I$1,Wear!$A$1:$M$98,VLOOKUP($B24,Wear!$A$1:$M$98,2,FALSE),FALSE)</f>
        <v>0.17</v>
      </c>
      <c r="J24" s="720">
        <f>HLOOKUP(J$1,Wear!$A$1:$M$98,VLOOKUP($B24,Wear!$A$1:$M$98,2,FALSE),FALSE)</f>
        <v>0.22</v>
      </c>
      <c r="K24" s="720">
        <f>HLOOKUP(K$1,Wear!$A$1:$M$98,VLOOKUP($B24,Wear!$A$1:$M$98,2,FALSE),FALSE)</f>
        <v>0.22</v>
      </c>
      <c r="L24" s="720">
        <f>HLOOKUP(L$1,Wear!$A$1:$M$98,VLOOKUP($B24,Wear!$A$1:$M$98,2,FALSE),FALSE)</f>
        <v>0.17</v>
      </c>
      <c r="M24" s="720">
        <f>HLOOKUP(M$1,Wear!$A$1:$M$98,VLOOKUP($B24,Wear!$A$1:$M$98,2,FALSE),FALSE)</f>
        <v>0.15</v>
      </c>
      <c r="N24" s="759"/>
      <c r="O24" s="759"/>
      <c r="P24" s="759"/>
      <c r="Q24" s="759"/>
      <c r="R24" s="759"/>
      <c r="S24" s="759"/>
      <c r="T24" s="759"/>
      <c r="U24" s="759"/>
      <c r="V24" s="759"/>
      <c r="W24" s="759"/>
      <c r="X24" s="760"/>
      <c r="Y24" s="760"/>
      <c r="Z24" s="760"/>
      <c r="AA24" s="755"/>
      <c r="AB24" s="755"/>
    </row>
    <row r="25" spans="1:28" s="704" customFormat="1" ht="21.75" thickBot="1" x14ac:dyDescent="0.3">
      <c r="A25" s="735"/>
      <c r="B25" s="747" t="str">
        <f>B19</f>
        <v>After Race</v>
      </c>
      <c r="C25" s="721">
        <f t="shared" ref="C25:M25" si="11">C24+C21</f>
        <v>0.71</v>
      </c>
      <c r="D25" s="721">
        <f t="shared" si="11"/>
        <v>0.69</v>
      </c>
      <c r="E25" s="721">
        <f t="shared" si="11"/>
        <v>0.65</v>
      </c>
      <c r="F25" s="721">
        <f t="shared" si="11"/>
        <v>0.68</v>
      </c>
      <c r="G25" s="721">
        <f t="shared" si="11"/>
        <v>0.82000000000000006</v>
      </c>
      <c r="H25" s="721">
        <f t="shared" si="11"/>
        <v>0.66</v>
      </c>
      <c r="I25" s="721">
        <f t="shared" si="11"/>
        <v>0.70000000000000007</v>
      </c>
      <c r="J25" s="721">
        <f t="shared" si="11"/>
        <v>0.47</v>
      </c>
      <c r="K25" s="721">
        <f t="shared" si="11"/>
        <v>0.81</v>
      </c>
      <c r="L25" s="721">
        <f t="shared" si="11"/>
        <v>0.83000000000000007</v>
      </c>
      <c r="M25" s="721">
        <f t="shared" si="11"/>
        <v>0.64</v>
      </c>
      <c r="N25" s="761"/>
      <c r="O25" s="761"/>
      <c r="P25" s="761"/>
      <c r="Q25" s="761"/>
      <c r="R25" s="761"/>
      <c r="S25" s="761"/>
      <c r="T25" s="761"/>
      <c r="U25" s="761"/>
      <c r="V25" s="761"/>
      <c r="W25" s="761"/>
      <c r="X25" s="762"/>
      <c r="Y25" s="762"/>
      <c r="Z25" s="762"/>
      <c r="AA25" s="763"/>
      <c r="AB25" s="763"/>
    </row>
    <row r="26" spans="1:28" x14ac:dyDescent="0.25">
      <c r="A26" s="734">
        <v>5</v>
      </c>
      <c r="B26" s="748" t="s">
        <v>547</v>
      </c>
      <c r="C26" s="712">
        <f>C20</f>
        <v>0</v>
      </c>
      <c r="D26" s="712">
        <f t="shared" ref="D26:M26" si="12">D20</f>
        <v>0</v>
      </c>
      <c r="E26" s="712">
        <f t="shared" si="12"/>
        <v>0</v>
      </c>
      <c r="F26" s="712">
        <f t="shared" si="12"/>
        <v>0</v>
      </c>
      <c r="G26" s="712">
        <f t="shared" si="12"/>
        <v>0</v>
      </c>
      <c r="H26" s="712">
        <f t="shared" si="12"/>
        <v>0</v>
      </c>
      <c r="I26" s="712">
        <f t="shared" si="12"/>
        <v>0</v>
      </c>
      <c r="J26" s="712">
        <f t="shared" si="12"/>
        <v>0</v>
      </c>
      <c r="K26" s="712">
        <f t="shared" si="12"/>
        <v>0</v>
      </c>
      <c r="L26" s="712">
        <f t="shared" si="12"/>
        <v>0</v>
      </c>
      <c r="M26" s="712">
        <f t="shared" si="12"/>
        <v>0</v>
      </c>
      <c r="N26" s="759"/>
      <c r="O26" s="759"/>
      <c r="P26" s="759"/>
      <c r="Q26" s="759"/>
      <c r="R26" s="759"/>
      <c r="S26" s="759"/>
      <c r="T26" s="759"/>
      <c r="U26" s="759"/>
      <c r="V26" s="759"/>
      <c r="W26" s="759"/>
      <c r="X26" s="760"/>
      <c r="Y26" s="760"/>
      <c r="Z26" s="760"/>
      <c r="AA26" s="755"/>
      <c r="AB26" s="755"/>
    </row>
    <row r="27" spans="1:28" x14ac:dyDescent="0.25">
      <c r="A27" s="734"/>
      <c r="B27" s="745" t="s">
        <v>582</v>
      </c>
      <c r="C27" s="722">
        <f>IF(C26+C25+C30&gt;0.94,0,C26+C25)</f>
        <v>0.71</v>
      </c>
      <c r="D27" s="722">
        <f t="shared" ref="D27:M27" si="13">IF(D26+D25+D30&gt;0.94,0,D26+D25)</f>
        <v>0.69</v>
      </c>
      <c r="E27" s="722">
        <f t="shared" si="13"/>
        <v>0</v>
      </c>
      <c r="F27" s="722">
        <f t="shared" si="13"/>
        <v>0</v>
      </c>
      <c r="G27" s="722">
        <f t="shared" si="13"/>
        <v>0</v>
      </c>
      <c r="H27" s="722">
        <f t="shared" si="13"/>
        <v>0.66</v>
      </c>
      <c r="I27" s="722">
        <f t="shared" si="13"/>
        <v>0.70000000000000007</v>
      </c>
      <c r="J27" s="722">
        <f t="shared" si="13"/>
        <v>0.47</v>
      </c>
      <c r="K27" s="722">
        <f t="shared" si="13"/>
        <v>0</v>
      </c>
      <c r="L27" s="722">
        <f t="shared" si="13"/>
        <v>0</v>
      </c>
      <c r="M27" s="722">
        <f t="shared" si="13"/>
        <v>0.64</v>
      </c>
      <c r="N27" s="759"/>
      <c r="O27" s="759"/>
      <c r="P27" s="759"/>
      <c r="Q27" s="759"/>
      <c r="R27" s="759"/>
      <c r="S27" s="759"/>
      <c r="T27" s="759"/>
      <c r="U27" s="759"/>
      <c r="V27" s="759"/>
      <c r="W27" s="759"/>
      <c r="X27" s="760"/>
      <c r="Y27" s="760"/>
      <c r="Z27" s="760"/>
      <c r="AA27" s="755"/>
      <c r="AB27" s="755"/>
    </row>
    <row r="28" spans="1:28" x14ac:dyDescent="0.25">
      <c r="A28" s="734"/>
      <c r="B28" s="745" t="s">
        <v>452</v>
      </c>
      <c r="C28" s="723">
        <f>C22</f>
        <v>6</v>
      </c>
      <c r="D28" s="723">
        <f t="shared" ref="D28:H28" si="14">D22</f>
        <v>6</v>
      </c>
      <c r="E28" s="723">
        <v>6</v>
      </c>
      <c r="F28" s="723">
        <v>6</v>
      </c>
      <c r="G28" s="723">
        <v>6</v>
      </c>
      <c r="H28" s="723">
        <f t="shared" si="14"/>
        <v>7</v>
      </c>
      <c r="I28" s="723">
        <f>I22</f>
        <v>6</v>
      </c>
      <c r="J28" s="723">
        <f>J22</f>
        <v>5</v>
      </c>
      <c r="K28" s="723">
        <f t="shared" ref="K28:M28" si="15">K22</f>
        <v>6</v>
      </c>
      <c r="L28" s="723">
        <f t="shared" si="15"/>
        <v>6</v>
      </c>
      <c r="M28" s="723">
        <f t="shared" si="15"/>
        <v>5</v>
      </c>
      <c r="N28" s="759"/>
      <c r="O28" s="759"/>
      <c r="P28" s="759"/>
      <c r="Q28" s="759"/>
      <c r="R28" s="759"/>
      <c r="S28" s="759"/>
      <c r="T28" s="759"/>
      <c r="U28" s="759"/>
      <c r="V28" s="759"/>
      <c r="W28" s="759"/>
      <c r="X28" s="760"/>
      <c r="Y28" s="760"/>
      <c r="Z28" s="760"/>
      <c r="AA28" s="755"/>
      <c r="AB28" s="755"/>
    </row>
    <row r="29" spans="1:28" x14ac:dyDescent="0.25">
      <c r="A29" s="734"/>
      <c r="B29" s="745" t="s">
        <v>581</v>
      </c>
      <c r="C29" s="719">
        <f>IF(C27=0,HLOOKUP(C28,'Parts Cost'!$A$2:$J$13,2,TRUE),0)</f>
        <v>0</v>
      </c>
      <c r="D29" s="719">
        <f>IF(D27=0,HLOOKUP(D28,'Parts Cost'!$A$2:$J$13,3,TRUE),0)</f>
        <v>0</v>
      </c>
      <c r="E29" s="719">
        <f>IF(E27=0,HLOOKUP(E28,'Parts Cost'!$A$2:$J$13,4,TRUE),0)</f>
        <v>4520546.744643773</v>
      </c>
      <c r="F29" s="719">
        <f>IF(F27=0,HLOOKUP(F28,'Parts Cost'!$A$2:$J$13,5,TRUE),0)</f>
        <v>4382927.3607661808</v>
      </c>
      <c r="G29" s="719">
        <f>IF(G27=0,HLOOKUP(G28,'Parts Cost'!$A$2:$J$13,6,TRUE),0)</f>
        <v>1486480.5000996797</v>
      </c>
      <c r="H29" s="719">
        <f>IF(H27=0,HLOOKUP(H28,'Parts Cost'!$A$2:$J$13,7,TRUE),0)</f>
        <v>0</v>
      </c>
      <c r="I29" s="719">
        <f>IF(I27=0,HLOOKUP(I28,'Parts Cost'!$A$2:$J$13,8,TRUE),0)</f>
        <v>0</v>
      </c>
      <c r="J29" s="719">
        <f>IF(J27=0,HLOOKUP(J28,'Parts Cost'!$A$2:$J$13,9,TRUE),0)</f>
        <v>0</v>
      </c>
      <c r="K29" s="719">
        <f>IF(K27=0,HLOOKUP(K28,'Parts Cost'!$A$2:$J$13,10,TRUE),0)</f>
        <v>2032977.5986155318</v>
      </c>
      <c r="L29" s="719">
        <f>IF(L27=0,HLOOKUP(L28,'Parts Cost'!$A$2:$J$13,11,TRUE),0)</f>
        <v>3442946.8731186609</v>
      </c>
      <c r="M29" s="719">
        <f>IF(M27=0,HLOOKUP(M28,'Parts Cost'!$A$2:$J$13,12,TRUE),0)</f>
        <v>0</v>
      </c>
      <c r="N29" s="759">
        <f>SUM(C29:M29)*-1</f>
        <v>-15865879.077243827</v>
      </c>
      <c r="O29" s="759">
        <f t="shared" ref="O29:W29" si="16">O23</f>
        <v>-600000</v>
      </c>
      <c r="P29" s="759">
        <f t="shared" si="16"/>
        <v>-750000</v>
      </c>
      <c r="Q29" s="759">
        <f t="shared" si="16"/>
        <v>-1006307</v>
      </c>
      <c r="R29" s="759">
        <f t="shared" si="16"/>
        <v>-350350</v>
      </c>
      <c r="S29" s="759">
        <f t="shared" si="16"/>
        <v>0</v>
      </c>
      <c r="T29" s="759">
        <f t="shared" si="16"/>
        <v>-391000</v>
      </c>
      <c r="U29" s="759">
        <f t="shared" si="16"/>
        <v>-1000000</v>
      </c>
      <c r="V29" s="759">
        <f t="shared" si="16"/>
        <v>-465000</v>
      </c>
      <c r="W29" s="759">
        <f t="shared" si="16"/>
        <v>-2500000</v>
      </c>
      <c r="X29" s="760">
        <f>X23</f>
        <v>13000000</v>
      </c>
      <c r="Y29" s="760">
        <f>Y23</f>
        <v>810000</v>
      </c>
      <c r="Z29" s="760">
        <v>4081939</v>
      </c>
      <c r="AA29" s="755">
        <f>AB23</f>
        <v>95562024.552238241</v>
      </c>
      <c r="AB29" s="755">
        <f>SUM(N29:AA29)</f>
        <v>90525427.474994421</v>
      </c>
    </row>
    <row r="30" spans="1:28" x14ac:dyDescent="0.25">
      <c r="A30" s="734"/>
      <c r="B30" s="746" t="str">
        <f>VLOOKUP(5,Calendar!$A$1:$B$18,2,FALSE)</f>
        <v>Monte Carlo</v>
      </c>
      <c r="C30" s="720">
        <f>HLOOKUP(C$1,Wear!$A$1:$M$98,VLOOKUP($B30,Wear!$A$1:$M$98,2,FALSE),FALSE)</f>
        <v>0.11</v>
      </c>
      <c r="D30" s="720">
        <f>HLOOKUP(D$1,Wear!$A$1:$M$98,VLOOKUP($B30,Wear!$A$1:$M$98,2,FALSE),FALSE)</f>
        <v>0.14000000000000001</v>
      </c>
      <c r="E30" s="720">
        <f>HLOOKUP(E$1,Wear!$A$1:$M$98,VLOOKUP($B30,Wear!$A$1:$M$98,2,FALSE),FALSE)</f>
        <v>0.38</v>
      </c>
      <c r="F30" s="720">
        <f>HLOOKUP(F$1,Wear!$A$1:$M$98,VLOOKUP($B30,Wear!$A$1:$M$98,2,FALSE),FALSE)</f>
        <v>0.38</v>
      </c>
      <c r="G30" s="720">
        <f>HLOOKUP(G$1,Wear!$A$1:$M$98,VLOOKUP($B30,Wear!$A$1:$M$98,2,FALSE),FALSE)</f>
        <v>0.2</v>
      </c>
      <c r="H30" s="720">
        <f>HLOOKUP(H$1,Wear!$A$1:$M$98,VLOOKUP($B30,Wear!$A$1:$M$98,2,FALSE),FALSE)</f>
        <v>0.08</v>
      </c>
      <c r="I30" s="720">
        <f>HLOOKUP(I$1,Wear!$A$1:$M$98,VLOOKUP($B30,Wear!$A$1:$M$98,2,FALSE),FALSE)</f>
        <v>0.11</v>
      </c>
      <c r="J30" s="720">
        <f>HLOOKUP(J$1,Wear!$A$1:$M$98,VLOOKUP($B30,Wear!$A$1:$M$98,2,FALSE),FALSE)</f>
        <v>0.21</v>
      </c>
      <c r="K30" s="720">
        <f>HLOOKUP(K$1,Wear!$A$1:$M$98,VLOOKUP($B30,Wear!$A$1:$M$98,2,FALSE),FALSE)</f>
        <v>0.33</v>
      </c>
      <c r="L30" s="720">
        <f>HLOOKUP(L$1,Wear!$A$1:$M$98,VLOOKUP($B30,Wear!$A$1:$M$98,2,FALSE),FALSE)</f>
        <v>0.27</v>
      </c>
      <c r="M30" s="720">
        <f>HLOOKUP(M$1,Wear!$A$1:$M$98,VLOOKUP($B30,Wear!$A$1:$M$98,2,FALSE),FALSE)</f>
        <v>0.1</v>
      </c>
      <c r="N30" s="759"/>
      <c r="O30" s="759"/>
      <c r="P30" s="759"/>
      <c r="Q30" s="759"/>
      <c r="R30" s="759"/>
      <c r="S30" s="759"/>
      <c r="T30" s="759"/>
      <c r="U30" s="759"/>
      <c r="V30" s="759"/>
      <c r="W30" s="759"/>
      <c r="X30" s="760"/>
      <c r="Y30" s="760"/>
      <c r="Z30" s="760"/>
      <c r="AA30" s="755"/>
      <c r="AB30" s="755"/>
    </row>
    <row r="31" spans="1:28" s="704" customFormat="1" ht="21.75" thickBot="1" x14ac:dyDescent="0.3">
      <c r="A31" s="735"/>
      <c r="B31" s="747" t="str">
        <f>B25</f>
        <v>After Race</v>
      </c>
      <c r="C31" s="721">
        <f t="shared" ref="C31:M31" si="17">C30+C27</f>
        <v>0.82</v>
      </c>
      <c r="D31" s="721">
        <f t="shared" si="17"/>
        <v>0.83</v>
      </c>
      <c r="E31" s="721">
        <f t="shared" si="17"/>
        <v>0.38</v>
      </c>
      <c r="F31" s="721">
        <f t="shared" si="17"/>
        <v>0.38</v>
      </c>
      <c r="G31" s="721">
        <f t="shared" si="17"/>
        <v>0.2</v>
      </c>
      <c r="H31" s="721">
        <f t="shared" si="17"/>
        <v>0.74</v>
      </c>
      <c r="I31" s="721">
        <f t="shared" si="17"/>
        <v>0.81</v>
      </c>
      <c r="J31" s="721">
        <f t="shared" si="17"/>
        <v>0.67999999999999994</v>
      </c>
      <c r="K31" s="721">
        <f t="shared" si="17"/>
        <v>0.33</v>
      </c>
      <c r="L31" s="721">
        <f t="shared" si="17"/>
        <v>0.27</v>
      </c>
      <c r="M31" s="721">
        <f t="shared" si="17"/>
        <v>0.74</v>
      </c>
      <c r="N31" s="761"/>
      <c r="O31" s="761"/>
      <c r="P31" s="761"/>
      <c r="Q31" s="761"/>
      <c r="R31" s="761"/>
      <c r="S31" s="761"/>
      <c r="T31" s="761"/>
      <c r="U31" s="761"/>
      <c r="V31" s="761"/>
      <c r="W31" s="761"/>
      <c r="X31" s="762"/>
      <c r="Y31" s="762"/>
      <c r="Z31" s="762"/>
      <c r="AA31" s="763"/>
      <c r="AB31" s="763"/>
    </row>
    <row r="32" spans="1:28" x14ac:dyDescent="0.25">
      <c r="A32" s="734">
        <v>6</v>
      </c>
      <c r="B32" s="748" t="s">
        <v>547</v>
      </c>
      <c r="C32" s="712">
        <f>C26</f>
        <v>0</v>
      </c>
      <c r="D32" s="712">
        <f t="shared" ref="D32:M32" si="18">D26</f>
        <v>0</v>
      </c>
      <c r="E32" s="712">
        <f t="shared" si="18"/>
        <v>0</v>
      </c>
      <c r="F32" s="712">
        <f t="shared" si="18"/>
        <v>0</v>
      </c>
      <c r="G32" s="712">
        <f t="shared" si="18"/>
        <v>0</v>
      </c>
      <c r="H32" s="712">
        <f t="shared" si="18"/>
        <v>0</v>
      </c>
      <c r="I32" s="712">
        <f t="shared" si="18"/>
        <v>0</v>
      </c>
      <c r="J32" s="712">
        <f t="shared" si="18"/>
        <v>0</v>
      </c>
      <c r="K32" s="712">
        <f t="shared" si="18"/>
        <v>0</v>
      </c>
      <c r="L32" s="712">
        <f t="shared" si="18"/>
        <v>0</v>
      </c>
      <c r="M32" s="712">
        <f t="shared" si="18"/>
        <v>0</v>
      </c>
      <c r="N32" s="759"/>
      <c r="O32" s="759"/>
      <c r="P32" s="759"/>
      <c r="Q32" s="759"/>
      <c r="R32" s="759"/>
      <c r="S32" s="759"/>
      <c r="T32" s="759"/>
      <c r="U32" s="759"/>
      <c r="V32" s="759"/>
      <c r="W32" s="759"/>
      <c r="X32" s="760"/>
      <c r="Y32" s="760"/>
      <c r="Z32" s="760"/>
      <c r="AA32" s="755"/>
      <c r="AB32" s="755"/>
    </row>
    <row r="33" spans="1:28" x14ac:dyDescent="0.25">
      <c r="A33" s="734"/>
      <c r="B33" s="745" t="s">
        <v>582</v>
      </c>
      <c r="C33" s="722">
        <f>IF(C32+C31+C36&gt;0.94,0,C32+C31)</f>
        <v>0</v>
      </c>
      <c r="D33" s="722">
        <f t="shared" ref="D33:M33" si="19">IF(D32+D31+D36&gt;0.94,0,D32+D31)</f>
        <v>0</v>
      </c>
      <c r="E33" s="722">
        <f t="shared" si="19"/>
        <v>0.38</v>
      </c>
      <c r="F33" s="722">
        <f t="shared" si="19"/>
        <v>0.38</v>
      </c>
      <c r="G33" s="722">
        <f t="shared" si="19"/>
        <v>0.2</v>
      </c>
      <c r="H33" s="722">
        <f t="shared" si="19"/>
        <v>0.74</v>
      </c>
      <c r="I33" s="722">
        <f>IF(I32+I31+I36&gt;0.93,0,I32+I31)</f>
        <v>0</v>
      </c>
      <c r="J33" s="722">
        <f t="shared" si="19"/>
        <v>0.67999999999999994</v>
      </c>
      <c r="K33" s="722">
        <f t="shared" si="19"/>
        <v>0.33</v>
      </c>
      <c r="L33" s="722">
        <f t="shared" si="19"/>
        <v>0.27</v>
      </c>
      <c r="M33" s="722">
        <f t="shared" si="19"/>
        <v>0.74</v>
      </c>
      <c r="N33" s="759"/>
      <c r="O33" s="759"/>
      <c r="P33" s="759"/>
      <c r="Q33" s="759"/>
      <c r="R33" s="759"/>
      <c r="S33" s="759"/>
      <c r="T33" s="759"/>
      <c r="U33" s="759"/>
      <c r="V33" s="759"/>
      <c r="W33" s="759"/>
      <c r="X33" s="760"/>
      <c r="Y33" s="760"/>
      <c r="Z33" s="760"/>
      <c r="AA33" s="755"/>
      <c r="AB33" s="755"/>
    </row>
    <row r="34" spans="1:28" x14ac:dyDescent="0.25">
      <c r="A34" s="734"/>
      <c r="B34" s="745" t="s">
        <v>452</v>
      </c>
      <c r="C34" s="723">
        <v>6</v>
      </c>
      <c r="D34" s="723">
        <v>7</v>
      </c>
      <c r="E34" s="723">
        <v>5</v>
      </c>
      <c r="F34" s="723">
        <f t="shared" ref="F34:M34" si="20">F28</f>
        <v>6</v>
      </c>
      <c r="G34" s="723">
        <f t="shared" si="20"/>
        <v>6</v>
      </c>
      <c r="H34" s="723">
        <f t="shared" si="20"/>
        <v>7</v>
      </c>
      <c r="I34" s="723">
        <v>7</v>
      </c>
      <c r="J34" s="723">
        <f t="shared" si="20"/>
        <v>5</v>
      </c>
      <c r="K34" s="723">
        <f t="shared" si="20"/>
        <v>6</v>
      </c>
      <c r="L34" s="723">
        <f t="shared" si="20"/>
        <v>6</v>
      </c>
      <c r="M34" s="723">
        <f t="shared" si="20"/>
        <v>5</v>
      </c>
      <c r="N34" s="759"/>
      <c r="O34" s="759"/>
      <c r="P34" s="759"/>
      <c r="Q34" s="759"/>
      <c r="R34" s="759"/>
      <c r="S34" s="759"/>
      <c r="T34" s="759"/>
      <c r="U34" s="759"/>
      <c r="V34" s="759"/>
      <c r="W34" s="759"/>
      <c r="X34" s="760"/>
      <c r="Y34" s="760"/>
      <c r="Z34" s="760"/>
      <c r="AA34" s="755"/>
      <c r="AB34" s="755"/>
    </row>
    <row r="35" spans="1:28" x14ac:dyDescent="0.25">
      <c r="A35" s="734"/>
      <c r="B35" s="745" t="s">
        <v>581</v>
      </c>
      <c r="C35" s="719">
        <f>IF(C33=0,HLOOKUP(C34,'Parts Cost'!$A$2:$J$13,2,TRUE),0)</f>
        <v>3766376.3195087109</v>
      </c>
      <c r="D35" s="719">
        <f>IF(D33=0,HLOOKUP(D34,'Parts Cost'!$A$2:$J$13,3,TRUE),0)</f>
        <v>11951761.159004683</v>
      </c>
      <c r="E35" s="719">
        <f>IF(E33=0,HLOOKUP(E34,'Parts Cost'!$A$2:$J$13,4,TRUE),0)</f>
        <v>0</v>
      </c>
      <c r="F35" s="719">
        <f>IF(F33=0,HLOOKUP(F34,'Parts Cost'!$A$2:$J$13,5,TRUE),0)</f>
        <v>0</v>
      </c>
      <c r="G35" s="719">
        <f>IF(G33=0,HLOOKUP(G34,'Parts Cost'!$A$2:$J$13,6,TRUE),0)</f>
        <v>0</v>
      </c>
      <c r="H35" s="719">
        <f>IF(H33=0,HLOOKUP(H34,'Parts Cost'!$A$2:$J$13,7,TRUE),0)</f>
        <v>0</v>
      </c>
      <c r="I35" s="719">
        <f>IF(I33=0,HLOOKUP(I34,'Parts Cost'!$A$2:$J$13,8,TRUE),0)</f>
        <v>1640412.0484264854</v>
      </c>
      <c r="J35" s="719">
        <f>IF(J33=0,HLOOKUP(J34,'Parts Cost'!$A$2:$J$13,9,TRUE),0)</f>
        <v>0</v>
      </c>
      <c r="K35" s="719">
        <f>IF(K33=0,HLOOKUP(K34,'Parts Cost'!$A$2:$J$13,10,TRUE),0)</f>
        <v>0</v>
      </c>
      <c r="L35" s="719">
        <f>IF(L33=0,HLOOKUP(L34,'Parts Cost'!$A$2:$J$13,11,TRUE),0)</f>
        <v>0</v>
      </c>
      <c r="M35" s="719">
        <f>IF(M33=0,HLOOKUP(M34,'Parts Cost'!$A$2:$J$13,12,TRUE),0)</f>
        <v>0</v>
      </c>
      <c r="N35" s="759">
        <f>SUM(C35:M35)*-1</f>
        <v>-17358549.52693988</v>
      </c>
      <c r="O35" s="759">
        <f t="shared" ref="O35:W35" si="21">O29</f>
        <v>-600000</v>
      </c>
      <c r="P35" s="759">
        <f t="shared" si="21"/>
        <v>-750000</v>
      </c>
      <c r="Q35" s="759">
        <f t="shared" si="21"/>
        <v>-1006307</v>
      </c>
      <c r="R35" s="759">
        <f t="shared" si="21"/>
        <v>-350350</v>
      </c>
      <c r="S35" s="759">
        <f t="shared" si="21"/>
        <v>0</v>
      </c>
      <c r="T35" s="759">
        <f t="shared" si="21"/>
        <v>-391000</v>
      </c>
      <c r="U35" s="759">
        <f t="shared" si="21"/>
        <v>-1000000</v>
      </c>
      <c r="V35" s="759">
        <f t="shared" si="21"/>
        <v>-465000</v>
      </c>
      <c r="W35" s="759">
        <f t="shared" si="21"/>
        <v>-2500000</v>
      </c>
      <c r="X35" s="760">
        <f>X29</f>
        <v>13000000</v>
      </c>
      <c r="Y35" s="760">
        <f>Y29</f>
        <v>810000</v>
      </c>
      <c r="Z35" s="760">
        <f>Z29</f>
        <v>4081939</v>
      </c>
      <c r="AA35" s="755">
        <f>AB29</f>
        <v>90525427.474994421</v>
      </c>
      <c r="AB35" s="755">
        <f>SUM(N35:AA35)</f>
        <v>83996159.948054537</v>
      </c>
    </row>
    <row r="36" spans="1:28" x14ac:dyDescent="0.25">
      <c r="A36" s="734"/>
      <c r="B36" s="746" t="str">
        <f>VLOOKUP(6,Calendar!$A$1:$B$18,2,FALSE)</f>
        <v>Indianapolis Oval</v>
      </c>
      <c r="C36" s="720">
        <f>HLOOKUP(C$1,Wear!$A$1:$M$98,VLOOKUP($B36,Wear!$A$1:$M$98,2,FALSE),FALSE)</f>
        <v>0.23</v>
      </c>
      <c r="D36" s="720">
        <f>HLOOKUP(D$1,Wear!$A$1:$M$98,VLOOKUP($B36,Wear!$A$1:$M$98,2,FALSE),FALSE)</f>
        <v>0.77</v>
      </c>
      <c r="E36" s="720">
        <f>HLOOKUP(E$1,Wear!$A$1:$M$98,VLOOKUP($B36,Wear!$A$1:$M$98,2,FALSE),FALSE)</f>
        <v>0.14000000000000001</v>
      </c>
      <c r="F36" s="720">
        <f>HLOOKUP(F$1,Wear!$A$1:$M$98,VLOOKUP($B36,Wear!$A$1:$M$98,2,FALSE),FALSE)</f>
        <v>0.17</v>
      </c>
      <c r="G36" s="720">
        <f>HLOOKUP(G$1,Wear!$A$1:$M$98,VLOOKUP($B36,Wear!$A$1:$M$98,2,FALSE),FALSE)</f>
        <v>0.27</v>
      </c>
      <c r="H36" s="720">
        <f>HLOOKUP(H$1,Wear!$A$1:$M$98,VLOOKUP($B36,Wear!$A$1:$M$98,2,FALSE),FALSE)</f>
        <v>0.18</v>
      </c>
      <c r="I36" s="720">
        <f>HLOOKUP(I$1,Wear!$A$1:$M$98,VLOOKUP($B36,Wear!$A$1:$M$98,2,FALSE),FALSE)</f>
        <v>0.21</v>
      </c>
      <c r="J36" s="720">
        <f>HLOOKUP(J$1,Wear!$A$1:$M$98,VLOOKUP($B36,Wear!$A$1:$M$98,2,FALSE),FALSE)</f>
        <v>0.14000000000000001</v>
      </c>
      <c r="K36" s="720">
        <f>HLOOKUP(K$1,Wear!$A$1:$M$98,VLOOKUP($B36,Wear!$A$1:$M$98,2,FALSE),FALSE)</f>
        <v>0.1</v>
      </c>
      <c r="L36" s="720">
        <f>HLOOKUP(L$1,Wear!$A$1:$M$98,VLOOKUP($B36,Wear!$A$1:$M$98,2,FALSE),FALSE)</f>
        <v>0.25</v>
      </c>
      <c r="M36" s="720">
        <f>HLOOKUP(M$1,Wear!$A$1:$M$98,VLOOKUP($B36,Wear!$A$1:$M$98,2,FALSE),FALSE)</f>
        <v>0.15</v>
      </c>
      <c r="N36" s="759"/>
      <c r="O36" s="759"/>
      <c r="P36" s="759"/>
      <c r="Q36" s="759"/>
      <c r="R36" s="759"/>
      <c r="S36" s="759"/>
      <c r="T36" s="759"/>
      <c r="U36" s="759"/>
      <c r="V36" s="759"/>
      <c r="W36" s="759"/>
      <c r="X36" s="760"/>
      <c r="Y36" s="760"/>
      <c r="Z36" s="760"/>
      <c r="AA36" s="755"/>
      <c r="AB36" s="755"/>
    </row>
    <row r="37" spans="1:28" s="704" customFormat="1" ht="21.75" thickBot="1" x14ac:dyDescent="0.3">
      <c r="A37" s="735"/>
      <c r="B37" s="747" t="str">
        <f>B31</f>
        <v>After Race</v>
      </c>
      <c r="C37" s="721">
        <f t="shared" ref="C37:M37" si="22">C36+C33</f>
        <v>0.23</v>
      </c>
      <c r="D37" s="721">
        <f t="shared" si="22"/>
        <v>0.77</v>
      </c>
      <c r="E37" s="721">
        <f t="shared" si="22"/>
        <v>0.52</v>
      </c>
      <c r="F37" s="721">
        <f t="shared" si="22"/>
        <v>0.55000000000000004</v>
      </c>
      <c r="G37" s="721">
        <f t="shared" si="22"/>
        <v>0.47000000000000003</v>
      </c>
      <c r="H37" s="721">
        <f t="shared" si="22"/>
        <v>0.91999999999999993</v>
      </c>
      <c r="I37" s="721">
        <f t="shared" si="22"/>
        <v>0.21</v>
      </c>
      <c r="J37" s="721">
        <f t="shared" si="22"/>
        <v>0.82</v>
      </c>
      <c r="K37" s="721">
        <f t="shared" si="22"/>
        <v>0.43000000000000005</v>
      </c>
      <c r="L37" s="721">
        <f t="shared" si="22"/>
        <v>0.52</v>
      </c>
      <c r="M37" s="721">
        <f t="shared" si="22"/>
        <v>0.89</v>
      </c>
      <c r="N37" s="761"/>
      <c r="O37" s="761"/>
      <c r="P37" s="761"/>
      <c r="Q37" s="761"/>
      <c r="R37" s="761"/>
      <c r="S37" s="761"/>
      <c r="T37" s="761"/>
      <c r="U37" s="761"/>
      <c r="V37" s="761"/>
      <c r="W37" s="761"/>
      <c r="X37" s="762"/>
      <c r="Y37" s="762"/>
      <c r="Z37" s="762"/>
      <c r="AA37" s="763"/>
      <c r="AB37" s="763"/>
    </row>
    <row r="38" spans="1:28" x14ac:dyDescent="0.25">
      <c r="A38" s="734">
        <v>7</v>
      </c>
      <c r="B38" s="748" t="s">
        <v>547</v>
      </c>
      <c r="C38" s="712">
        <f>C32</f>
        <v>0</v>
      </c>
      <c r="D38" s="712">
        <f t="shared" ref="D38:M38" si="23">D32</f>
        <v>0</v>
      </c>
      <c r="E38" s="712">
        <f t="shared" si="23"/>
        <v>0</v>
      </c>
      <c r="F38" s="712">
        <f t="shared" si="23"/>
        <v>0</v>
      </c>
      <c r="G38" s="712">
        <f t="shared" si="23"/>
        <v>0</v>
      </c>
      <c r="H38" s="712">
        <f t="shared" si="23"/>
        <v>0</v>
      </c>
      <c r="I38" s="712">
        <f t="shared" si="23"/>
        <v>0</v>
      </c>
      <c r="J38" s="712">
        <f t="shared" si="23"/>
        <v>0</v>
      </c>
      <c r="K38" s="712">
        <f t="shared" si="23"/>
        <v>0</v>
      </c>
      <c r="L38" s="712">
        <f t="shared" si="23"/>
        <v>0</v>
      </c>
      <c r="M38" s="712">
        <f t="shared" si="23"/>
        <v>0</v>
      </c>
      <c r="N38" s="759"/>
      <c r="O38" s="759"/>
      <c r="P38" s="759"/>
      <c r="Q38" s="759"/>
      <c r="R38" s="759"/>
      <c r="S38" s="759"/>
      <c r="T38" s="759"/>
      <c r="U38" s="759"/>
      <c r="V38" s="759"/>
      <c r="W38" s="759"/>
      <c r="X38" s="760"/>
      <c r="Y38" s="760"/>
      <c r="Z38" s="760"/>
      <c r="AA38" s="755"/>
      <c r="AB38" s="755"/>
    </row>
    <row r="39" spans="1:28" x14ac:dyDescent="0.25">
      <c r="A39" s="734"/>
      <c r="B39" s="745" t="s">
        <v>582</v>
      </c>
      <c r="C39" s="722">
        <f>IF(C38+C37+C42&gt;0.94,0,C38+C37)</f>
        <v>0.23</v>
      </c>
      <c r="D39" s="722">
        <f t="shared" ref="D39:M39" si="24">IF(D38+D37+D42&gt;0.94,0,D38+D37)</f>
        <v>0</v>
      </c>
      <c r="E39" s="722">
        <f t="shared" si="24"/>
        <v>0.52</v>
      </c>
      <c r="F39" s="722">
        <f t="shared" si="24"/>
        <v>0.55000000000000004</v>
      </c>
      <c r="G39" s="722">
        <f t="shared" si="24"/>
        <v>0.47000000000000003</v>
      </c>
      <c r="H39" s="722">
        <f t="shared" si="24"/>
        <v>0</v>
      </c>
      <c r="I39" s="722">
        <f t="shared" si="24"/>
        <v>0.21</v>
      </c>
      <c r="J39" s="722">
        <f t="shared" si="24"/>
        <v>0</v>
      </c>
      <c r="K39" s="722">
        <f t="shared" si="24"/>
        <v>0.43000000000000005</v>
      </c>
      <c r="L39" s="722">
        <f t="shared" si="24"/>
        <v>0.52</v>
      </c>
      <c r="M39" s="722">
        <f t="shared" si="24"/>
        <v>0</v>
      </c>
      <c r="N39" s="759"/>
      <c r="O39" s="759"/>
      <c r="P39" s="759"/>
      <c r="Q39" s="759"/>
      <c r="R39" s="759"/>
      <c r="S39" s="759"/>
      <c r="T39" s="759"/>
      <c r="U39" s="759"/>
      <c r="V39" s="759"/>
      <c r="W39" s="759"/>
      <c r="X39" s="760"/>
      <c r="Y39" s="760"/>
      <c r="Z39" s="760"/>
      <c r="AA39" s="755"/>
      <c r="AB39" s="755"/>
    </row>
    <row r="40" spans="1:28" x14ac:dyDescent="0.25">
      <c r="A40" s="734"/>
      <c r="B40" s="745" t="s">
        <v>452</v>
      </c>
      <c r="C40" s="723">
        <f>C34</f>
        <v>6</v>
      </c>
      <c r="D40" s="723">
        <f t="shared" ref="D40:L40" si="25">D34</f>
        <v>7</v>
      </c>
      <c r="E40" s="723">
        <f t="shared" si="25"/>
        <v>5</v>
      </c>
      <c r="F40" s="723">
        <f t="shared" si="25"/>
        <v>6</v>
      </c>
      <c r="G40" s="723">
        <f t="shared" si="25"/>
        <v>6</v>
      </c>
      <c r="H40" s="723">
        <f t="shared" si="25"/>
        <v>7</v>
      </c>
      <c r="I40" s="723">
        <f t="shared" si="25"/>
        <v>7</v>
      </c>
      <c r="J40" s="723">
        <f t="shared" si="25"/>
        <v>5</v>
      </c>
      <c r="K40" s="723">
        <f t="shared" si="25"/>
        <v>6</v>
      </c>
      <c r="L40" s="723">
        <f t="shared" si="25"/>
        <v>6</v>
      </c>
      <c r="M40" s="723">
        <f>M34</f>
        <v>5</v>
      </c>
      <c r="N40" s="759"/>
      <c r="O40" s="759"/>
      <c r="P40" s="759"/>
      <c r="Q40" s="759"/>
      <c r="R40" s="759"/>
      <c r="S40" s="759"/>
      <c r="T40" s="759"/>
      <c r="U40" s="759"/>
      <c r="V40" s="759"/>
      <c r="W40" s="759"/>
      <c r="X40" s="760"/>
      <c r="Y40" s="760"/>
      <c r="Z40" s="760"/>
      <c r="AA40" s="755"/>
      <c r="AB40" s="755"/>
    </row>
    <row r="41" spans="1:28" x14ac:dyDescent="0.25">
      <c r="A41" s="734"/>
      <c r="B41" s="745" t="s">
        <v>581</v>
      </c>
      <c r="C41" s="719">
        <f>IF(C39=0,HLOOKUP(C40,'Parts Cost'!$A$2:$J$13,2,TRUE),0)</f>
        <v>0</v>
      </c>
      <c r="D41" s="719">
        <f>IF(D39=0,HLOOKUP(D40,'Parts Cost'!$A$2:$J$13,3,TRUE),0)</f>
        <v>11951761.159004683</v>
      </c>
      <c r="E41" s="719">
        <f>IF(E39=0,HLOOKUP(E40,'Parts Cost'!$A$2:$J$13,4,TRUE),0)</f>
        <v>0</v>
      </c>
      <c r="F41" s="719">
        <f>IF(F39=0,HLOOKUP(F40,'Parts Cost'!$A$2:$J$13,5,TRUE),0)</f>
        <v>0</v>
      </c>
      <c r="G41" s="719">
        <f>IF(G39=0,HLOOKUP(G40,'Parts Cost'!$A$2:$J$13,6,TRUE),0)</f>
        <v>0</v>
      </c>
      <c r="H41" s="719">
        <f>IF(H39=0,HLOOKUP(H40,'Parts Cost'!$A$2:$J$13,7,TRUE),0)</f>
        <v>1659488.7472967457</v>
      </c>
      <c r="I41" s="719">
        <f>IF(I39=0,HLOOKUP(I40,'Parts Cost'!$A$2:$J$13,8,TRUE),0)</f>
        <v>0</v>
      </c>
      <c r="J41" s="719">
        <f>IF(J39=0,HLOOKUP(J40,'Parts Cost'!$A$2:$J$13,9,TRUE),0)</f>
        <v>7289202.8474226771</v>
      </c>
      <c r="K41" s="719">
        <f>IF(K39=0,HLOOKUP(K40,'Parts Cost'!$A$2:$J$13,10,TRUE),0)</f>
        <v>0</v>
      </c>
      <c r="L41" s="719">
        <f>IF(L39=0,HLOOKUP(L40,'Parts Cost'!$A$2:$J$13,11,TRUE),0)</f>
        <v>0</v>
      </c>
      <c r="M41" s="719">
        <f>IF(M39=0,HLOOKUP(M40,'Parts Cost'!$A$2:$J$13,12,TRUE),0)</f>
        <v>2207900.2445582845</v>
      </c>
      <c r="N41" s="759">
        <f>SUM(C41:M41)*-1</f>
        <v>-23108352.998282392</v>
      </c>
      <c r="O41" s="759">
        <f t="shared" ref="O41:W41" si="26">O35</f>
        <v>-600000</v>
      </c>
      <c r="P41" s="759">
        <f t="shared" si="26"/>
        <v>-750000</v>
      </c>
      <c r="Q41" s="759">
        <f t="shared" si="26"/>
        <v>-1006307</v>
      </c>
      <c r="R41" s="759">
        <f t="shared" si="26"/>
        <v>-350350</v>
      </c>
      <c r="S41" s="759">
        <f t="shared" si="26"/>
        <v>0</v>
      </c>
      <c r="T41" s="759">
        <f t="shared" si="26"/>
        <v>-391000</v>
      </c>
      <c r="U41" s="759">
        <f t="shared" si="26"/>
        <v>-1000000</v>
      </c>
      <c r="V41" s="759">
        <f t="shared" si="26"/>
        <v>-465000</v>
      </c>
      <c r="W41" s="759">
        <f t="shared" si="26"/>
        <v>-2500000</v>
      </c>
      <c r="X41" s="760">
        <f>X35</f>
        <v>13000000</v>
      </c>
      <c r="Y41" s="760">
        <f>Y35</f>
        <v>810000</v>
      </c>
      <c r="Z41" s="760">
        <f>Z35</f>
        <v>4081939</v>
      </c>
      <c r="AA41" s="755">
        <f>AB35</f>
        <v>83996159.948054537</v>
      </c>
      <c r="AB41" s="755">
        <f>SUM(N41:AA41)</f>
        <v>71717088.949772149</v>
      </c>
    </row>
    <row r="42" spans="1:28" x14ac:dyDescent="0.25">
      <c r="A42" s="734"/>
      <c r="B42" s="746" t="str">
        <f>VLOOKUP(7,Calendar!$A$1:$B$18,2,FALSE)</f>
        <v>Mexico City</v>
      </c>
      <c r="C42" s="720">
        <f>HLOOKUP(C$1,Wear!$A$1:$M$98,VLOOKUP($B42,Wear!$A$1:$M$98,2,FALSE),FALSE)</f>
        <v>0.09</v>
      </c>
      <c r="D42" s="720">
        <f>HLOOKUP(D$1,Wear!$A$1:$M$98,VLOOKUP($B42,Wear!$A$1:$M$98,2,FALSE),FALSE)</f>
        <v>0.2</v>
      </c>
      <c r="E42" s="720">
        <f>HLOOKUP(E$1,Wear!$A$1:$M$98,VLOOKUP($B42,Wear!$A$1:$M$98,2,FALSE),FALSE)</f>
        <v>0.11</v>
      </c>
      <c r="F42" s="720">
        <f>HLOOKUP(F$1,Wear!$A$1:$M$98,VLOOKUP($B42,Wear!$A$1:$M$98,2,FALSE),FALSE)</f>
        <v>0.1</v>
      </c>
      <c r="G42" s="720">
        <f>HLOOKUP(G$1,Wear!$A$1:$M$98,VLOOKUP($B42,Wear!$A$1:$M$98,2,FALSE),FALSE)</f>
        <v>0.14000000000000001</v>
      </c>
      <c r="H42" s="720">
        <f>HLOOKUP(H$1,Wear!$A$1:$M$98,VLOOKUP($B42,Wear!$A$1:$M$98,2,FALSE),FALSE)</f>
        <v>0.1</v>
      </c>
      <c r="I42" s="720">
        <f>HLOOKUP(I$1,Wear!$A$1:$M$98,VLOOKUP($B42,Wear!$A$1:$M$98,2,FALSE),FALSE)</f>
        <v>0.14000000000000001</v>
      </c>
      <c r="J42" s="720">
        <f>HLOOKUP(J$1,Wear!$A$1:$M$98,VLOOKUP($B42,Wear!$A$1:$M$98,2,FALSE),FALSE)</f>
        <v>0.21</v>
      </c>
      <c r="K42" s="720">
        <f>HLOOKUP(K$1,Wear!$A$1:$M$98,VLOOKUP($B42,Wear!$A$1:$M$98,2,FALSE),FALSE)</f>
        <v>0.1</v>
      </c>
      <c r="L42" s="720">
        <f>HLOOKUP(L$1,Wear!$A$1:$M$98,VLOOKUP($B42,Wear!$A$1:$M$98,2,FALSE),FALSE)</f>
        <v>0.26</v>
      </c>
      <c r="M42" s="720">
        <f>HLOOKUP(M$1,Wear!$A$1:$M$98,VLOOKUP($B42,Wear!$A$1:$M$98,2,FALSE),FALSE)</f>
        <v>0.12</v>
      </c>
      <c r="N42" s="759"/>
      <c r="O42" s="759"/>
      <c r="P42" s="759"/>
      <c r="Q42" s="759"/>
      <c r="R42" s="759"/>
      <c r="S42" s="759"/>
      <c r="T42" s="759"/>
      <c r="U42" s="759"/>
      <c r="V42" s="759"/>
      <c r="W42" s="759"/>
      <c r="X42" s="760"/>
      <c r="Y42" s="760"/>
      <c r="Z42" s="760"/>
      <c r="AA42" s="755"/>
      <c r="AB42" s="755"/>
    </row>
    <row r="43" spans="1:28" s="704" customFormat="1" ht="21.75" thickBot="1" x14ac:dyDescent="0.3">
      <c r="A43" s="735"/>
      <c r="B43" s="747" t="str">
        <f>B37</f>
        <v>After Race</v>
      </c>
      <c r="C43" s="721">
        <f t="shared" ref="C43:M43" si="27">C42+C39</f>
        <v>0.32</v>
      </c>
      <c r="D43" s="721">
        <f t="shared" si="27"/>
        <v>0.2</v>
      </c>
      <c r="E43" s="721">
        <f t="shared" si="27"/>
        <v>0.63</v>
      </c>
      <c r="F43" s="721">
        <f t="shared" si="27"/>
        <v>0.65</v>
      </c>
      <c r="G43" s="721">
        <f t="shared" si="27"/>
        <v>0.6100000000000001</v>
      </c>
      <c r="H43" s="721">
        <f t="shared" si="27"/>
        <v>0.1</v>
      </c>
      <c r="I43" s="721">
        <f t="shared" si="27"/>
        <v>0.35</v>
      </c>
      <c r="J43" s="721">
        <f t="shared" si="27"/>
        <v>0.21</v>
      </c>
      <c r="K43" s="721">
        <f t="shared" si="27"/>
        <v>0.53</v>
      </c>
      <c r="L43" s="721">
        <f t="shared" si="27"/>
        <v>0.78</v>
      </c>
      <c r="M43" s="721">
        <f t="shared" si="27"/>
        <v>0.12</v>
      </c>
      <c r="N43" s="761"/>
      <c r="O43" s="761"/>
      <c r="P43" s="761"/>
      <c r="Q43" s="761"/>
      <c r="R43" s="761"/>
      <c r="S43" s="761"/>
      <c r="T43" s="761"/>
      <c r="U43" s="761"/>
      <c r="V43" s="761"/>
      <c r="W43" s="761"/>
      <c r="X43" s="762"/>
      <c r="Y43" s="762"/>
      <c r="Z43" s="762"/>
      <c r="AA43" s="763"/>
      <c r="AB43" s="763"/>
    </row>
    <row r="44" spans="1:28" x14ac:dyDescent="0.25">
      <c r="A44" s="734">
        <v>8</v>
      </c>
      <c r="B44" s="748" t="s">
        <v>547</v>
      </c>
      <c r="C44" s="712">
        <f>C38</f>
        <v>0</v>
      </c>
      <c r="D44" s="712">
        <f t="shared" ref="D44:M44" si="28">D38</f>
        <v>0</v>
      </c>
      <c r="E44" s="712">
        <f t="shared" si="28"/>
        <v>0</v>
      </c>
      <c r="F44" s="712">
        <f t="shared" si="28"/>
        <v>0</v>
      </c>
      <c r="G44" s="712">
        <f t="shared" si="28"/>
        <v>0</v>
      </c>
      <c r="H44" s="712">
        <f t="shared" si="28"/>
        <v>0</v>
      </c>
      <c r="I44" s="712">
        <f t="shared" si="28"/>
        <v>0</v>
      </c>
      <c r="J44" s="712">
        <f t="shared" si="28"/>
        <v>0</v>
      </c>
      <c r="K44" s="712">
        <f t="shared" si="28"/>
        <v>0</v>
      </c>
      <c r="L44" s="712">
        <f t="shared" si="28"/>
        <v>0</v>
      </c>
      <c r="M44" s="712">
        <f t="shared" si="28"/>
        <v>0</v>
      </c>
      <c r="N44" s="759"/>
      <c r="O44" s="759"/>
      <c r="P44" s="759"/>
      <c r="Q44" s="759"/>
      <c r="R44" s="759"/>
      <c r="S44" s="759"/>
      <c r="T44" s="759"/>
      <c r="U44" s="759"/>
      <c r="V44" s="759"/>
      <c r="W44" s="759"/>
      <c r="X44" s="760"/>
      <c r="Y44" s="760"/>
      <c r="Z44" s="760"/>
      <c r="AA44" s="755"/>
      <c r="AB44" s="755"/>
    </row>
    <row r="45" spans="1:28" x14ac:dyDescent="0.25">
      <c r="A45" s="734"/>
      <c r="B45" s="745" t="s">
        <v>582</v>
      </c>
      <c r="C45" s="722">
        <f>IF(C44+C43+C48&gt;0.94,0,C44+C43)</f>
        <v>0.32</v>
      </c>
      <c r="D45" s="722">
        <f t="shared" ref="D45:M45" si="29">IF(D44+D43+D48&gt;0.94,0,D44+D43)</f>
        <v>0.2</v>
      </c>
      <c r="E45" s="722">
        <f t="shared" si="29"/>
        <v>0.63</v>
      </c>
      <c r="F45" s="722">
        <f t="shared" si="29"/>
        <v>0.65</v>
      </c>
      <c r="G45" s="722">
        <f t="shared" si="29"/>
        <v>0.6100000000000001</v>
      </c>
      <c r="H45" s="722">
        <f t="shared" si="29"/>
        <v>0.1</v>
      </c>
      <c r="I45" s="722">
        <f t="shared" si="29"/>
        <v>0.35</v>
      </c>
      <c r="J45" s="722">
        <f t="shared" si="29"/>
        <v>0.21</v>
      </c>
      <c r="K45" s="722">
        <f t="shared" si="29"/>
        <v>0</v>
      </c>
      <c r="L45" s="722">
        <f t="shared" si="29"/>
        <v>0</v>
      </c>
      <c r="M45" s="722">
        <f t="shared" si="29"/>
        <v>0.12</v>
      </c>
      <c r="N45" s="759"/>
      <c r="O45" s="759"/>
      <c r="P45" s="759"/>
      <c r="Q45" s="759"/>
      <c r="R45" s="759"/>
      <c r="S45" s="759"/>
      <c r="T45" s="759"/>
      <c r="U45" s="759"/>
      <c r="V45" s="759"/>
      <c r="W45" s="759"/>
      <c r="X45" s="760"/>
      <c r="Y45" s="760"/>
      <c r="Z45" s="760"/>
      <c r="AA45" s="755"/>
      <c r="AB45" s="755"/>
    </row>
    <row r="46" spans="1:28" x14ac:dyDescent="0.25">
      <c r="A46" s="734"/>
      <c r="B46" s="745" t="s">
        <v>452</v>
      </c>
      <c r="C46" s="723">
        <f>C40</f>
        <v>6</v>
      </c>
      <c r="D46" s="723">
        <v>6</v>
      </c>
      <c r="E46" s="723">
        <f t="shared" ref="E46:L46" si="30">E40</f>
        <v>5</v>
      </c>
      <c r="F46" s="723">
        <f t="shared" si="30"/>
        <v>6</v>
      </c>
      <c r="G46" s="723">
        <f t="shared" si="30"/>
        <v>6</v>
      </c>
      <c r="H46" s="723">
        <f t="shared" si="30"/>
        <v>7</v>
      </c>
      <c r="I46" s="723">
        <f t="shared" si="30"/>
        <v>7</v>
      </c>
      <c r="J46" s="723">
        <f t="shared" si="30"/>
        <v>5</v>
      </c>
      <c r="K46" s="723">
        <f t="shared" si="30"/>
        <v>6</v>
      </c>
      <c r="L46" s="723">
        <f t="shared" si="30"/>
        <v>6</v>
      </c>
      <c r="M46" s="723">
        <v>5</v>
      </c>
      <c r="N46" s="759"/>
      <c r="O46" s="759"/>
      <c r="P46" s="759"/>
      <c r="Q46" s="759"/>
      <c r="R46" s="759"/>
      <c r="S46" s="759"/>
      <c r="T46" s="759"/>
      <c r="U46" s="759"/>
      <c r="V46" s="759"/>
      <c r="W46" s="759"/>
      <c r="X46" s="760"/>
      <c r="Y46" s="760"/>
      <c r="Z46" s="760"/>
      <c r="AA46" s="755"/>
      <c r="AB46" s="755"/>
    </row>
    <row r="47" spans="1:28" x14ac:dyDescent="0.25">
      <c r="A47" s="734"/>
      <c r="B47" s="745" t="s">
        <v>581</v>
      </c>
      <c r="C47" s="719">
        <f>IF(C45=0,HLOOKUP(C46,'Parts Cost'!$A$2:$J$13,2,TRUE),0)</f>
        <v>0</v>
      </c>
      <c r="D47" s="719">
        <f>IF(D45=0,HLOOKUP(D46,'Parts Cost'!$A$2:$J$13,3,TRUE),0)</f>
        <v>0</v>
      </c>
      <c r="E47" s="719">
        <f>IF(E45=0,HLOOKUP(E46,'Parts Cost'!$A$2:$J$13,4,TRUE),0)</f>
        <v>0</v>
      </c>
      <c r="F47" s="719">
        <f>IF(F45=0,HLOOKUP(F46,'Parts Cost'!$A$2:$J$13,5,TRUE),0)</f>
        <v>0</v>
      </c>
      <c r="G47" s="719">
        <f>IF(G45=0,HLOOKUP(G46,'Parts Cost'!$A$2:$J$13,6,TRUE),0)</f>
        <v>0</v>
      </c>
      <c r="H47" s="719">
        <f>IF(H45=0,HLOOKUP(H46,'Parts Cost'!$A$2:$J$13,7,TRUE),0)</f>
        <v>0</v>
      </c>
      <c r="I47" s="719">
        <f>IF(I45=0,HLOOKUP(I46,'Parts Cost'!$A$2:$J$13,8,TRUE),0)</f>
        <v>0</v>
      </c>
      <c r="J47" s="719">
        <f>IF(J45=0,HLOOKUP(J46,'Parts Cost'!$A$2:$J$13,9,TRUE),0)</f>
        <v>0</v>
      </c>
      <c r="K47" s="719">
        <f>IF(K45=0,HLOOKUP(K46,'Parts Cost'!$A$2:$J$13,10,TRUE),0)</f>
        <v>2032977.5986155318</v>
      </c>
      <c r="L47" s="719">
        <f>IF(L45=0,HLOOKUP(L46,'Parts Cost'!$A$2:$J$13,11,TRUE),0)</f>
        <v>3442946.8731186609</v>
      </c>
      <c r="M47" s="719">
        <f>IF(M45=0,HLOOKUP(M46,'Parts Cost'!$A$2:$J$13,12,TRUE),0)</f>
        <v>0</v>
      </c>
      <c r="N47" s="759">
        <f>SUM(C47:M47)*-1</f>
        <v>-5475924.4717341922</v>
      </c>
      <c r="O47" s="759">
        <f t="shared" ref="O47:W47" si="31">O41</f>
        <v>-600000</v>
      </c>
      <c r="P47" s="759">
        <f t="shared" si="31"/>
        <v>-750000</v>
      </c>
      <c r="Q47" s="759">
        <f t="shared" si="31"/>
        <v>-1006307</v>
      </c>
      <c r="R47" s="759">
        <f t="shared" si="31"/>
        <v>-350350</v>
      </c>
      <c r="S47" s="759">
        <f t="shared" si="31"/>
        <v>0</v>
      </c>
      <c r="T47" s="759">
        <f t="shared" si="31"/>
        <v>-391000</v>
      </c>
      <c r="U47" s="759">
        <f t="shared" si="31"/>
        <v>-1000000</v>
      </c>
      <c r="V47" s="759">
        <f t="shared" si="31"/>
        <v>-465000</v>
      </c>
      <c r="W47" s="759">
        <f t="shared" si="31"/>
        <v>-2500000</v>
      </c>
      <c r="X47" s="760">
        <f>X41</f>
        <v>13000000</v>
      </c>
      <c r="Y47" s="760">
        <f>Y41</f>
        <v>810000</v>
      </c>
      <c r="Z47" s="760">
        <f>Z41</f>
        <v>4081939</v>
      </c>
      <c r="AA47" s="755">
        <f>AB41</f>
        <v>71717088.949772149</v>
      </c>
      <c r="AB47" s="755">
        <f>SUM(N47:AA47)</f>
        <v>77070446.478037953</v>
      </c>
    </row>
    <row r="48" spans="1:28" x14ac:dyDescent="0.25">
      <c r="A48" s="734"/>
      <c r="B48" s="746" t="str">
        <f>VLOOKUP(8,Calendar!$A$1:$B$18,2,FALSE)</f>
        <v>Buenos Aires</v>
      </c>
      <c r="C48" s="720">
        <f>HLOOKUP(C$1,Wear!$A$1:$M$98,VLOOKUP($B48,Wear!$A$1:$M$98,2,FALSE),FALSE)</f>
        <v>0.2</v>
      </c>
      <c r="D48" s="720">
        <f>HLOOKUP(D$1,Wear!$A$1:$M$98,VLOOKUP($B48,Wear!$A$1:$M$98,2,FALSE),FALSE)</f>
        <v>0.36</v>
      </c>
      <c r="E48" s="720">
        <f>HLOOKUP(E$1,Wear!$A$1:$M$98,VLOOKUP($B48,Wear!$A$1:$M$98,2,FALSE),FALSE)</f>
        <v>0.15</v>
      </c>
      <c r="F48" s="720">
        <f>HLOOKUP(F$1,Wear!$A$1:$M$98,VLOOKUP($B48,Wear!$A$1:$M$98,2,FALSE),FALSE)</f>
        <v>0.19</v>
      </c>
      <c r="G48" s="720">
        <f>HLOOKUP(G$1,Wear!$A$1:$M$98,VLOOKUP($B48,Wear!$A$1:$M$98,2,FALSE),FALSE)</f>
        <v>0.14000000000000001</v>
      </c>
      <c r="H48" s="720">
        <f>HLOOKUP(H$1,Wear!$A$1:$M$98,VLOOKUP($B48,Wear!$A$1:$M$98,2,FALSE),FALSE)</f>
        <v>0.12</v>
      </c>
      <c r="I48" s="720">
        <f>HLOOKUP(I$1,Wear!$A$1:$M$98,VLOOKUP($B48,Wear!$A$1:$M$98,2,FALSE),FALSE)</f>
        <v>0.17</v>
      </c>
      <c r="J48" s="720">
        <f>HLOOKUP(J$1,Wear!$A$1:$M$98,VLOOKUP($B48,Wear!$A$1:$M$98,2,FALSE),FALSE)</f>
        <v>0.36</v>
      </c>
      <c r="K48" s="720">
        <f>HLOOKUP(K$1,Wear!$A$1:$M$98,VLOOKUP($B48,Wear!$A$1:$M$98,2,FALSE),FALSE)</f>
        <v>0.45</v>
      </c>
      <c r="L48" s="720">
        <f>HLOOKUP(L$1,Wear!$A$1:$M$98,VLOOKUP($B48,Wear!$A$1:$M$98,2,FALSE),FALSE)</f>
        <v>0.32</v>
      </c>
      <c r="M48" s="720">
        <f>HLOOKUP(M$1,Wear!$A$1:$M$98,VLOOKUP($B48,Wear!$A$1:$M$98,2,FALSE),FALSE)</f>
        <v>0.13</v>
      </c>
      <c r="N48" s="759"/>
      <c r="O48" s="759"/>
      <c r="P48" s="759"/>
      <c r="Q48" s="759"/>
      <c r="R48" s="759"/>
      <c r="S48" s="759"/>
      <c r="T48" s="759"/>
      <c r="U48" s="759"/>
      <c r="V48" s="759"/>
      <c r="W48" s="759"/>
      <c r="X48" s="760"/>
      <c r="Y48" s="760"/>
      <c r="Z48" s="760"/>
      <c r="AA48" s="755"/>
      <c r="AB48" s="755"/>
    </row>
    <row r="49" spans="1:28" s="704" customFormat="1" ht="21.75" thickBot="1" x14ac:dyDescent="0.3">
      <c r="A49" s="735"/>
      <c r="B49" s="747" t="str">
        <f>B43</f>
        <v>After Race</v>
      </c>
      <c r="C49" s="721">
        <f t="shared" ref="C49:M49" si="32">C48+C45</f>
        <v>0.52</v>
      </c>
      <c r="D49" s="721">
        <f t="shared" si="32"/>
        <v>0.56000000000000005</v>
      </c>
      <c r="E49" s="721">
        <f t="shared" si="32"/>
        <v>0.78</v>
      </c>
      <c r="F49" s="721">
        <f t="shared" si="32"/>
        <v>0.84000000000000008</v>
      </c>
      <c r="G49" s="721">
        <f t="shared" si="32"/>
        <v>0.75000000000000011</v>
      </c>
      <c r="H49" s="721">
        <f t="shared" si="32"/>
        <v>0.22</v>
      </c>
      <c r="I49" s="721">
        <f t="shared" si="32"/>
        <v>0.52</v>
      </c>
      <c r="J49" s="721">
        <f t="shared" si="32"/>
        <v>0.56999999999999995</v>
      </c>
      <c r="K49" s="721">
        <f t="shared" si="32"/>
        <v>0.45</v>
      </c>
      <c r="L49" s="721">
        <f t="shared" si="32"/>
        <v>0.32</v>
      </c>
      <c r="M49" s="721">
        <f t="shared" si="32"/>
        <v>0.25</v>
      </c>
      <c r="N49" s="761"/>
      <c r="O49" s="761"/>
      <c r="P49" s="761"/>
      <c r="Q49" s="761"/>
      <c r="R49" s="761"/>
      <c r="S49" s="761"/>
      <c r="T49" s="761"/>
      <c r="U49" s="761"/>
      <c r="V49" s="761"/>
      <c r="W49" s="761"/>
      <c r="X49" s="762"/>
      <c r="Y49" s="762"/>
      <c r="Z49" s="762"/>
      <c r="AA49" s="763"/>
      <c r="AB49" s="763"/>
    </row>
    <row r="50" spans="1:28" x14ac:dyDescent="0.25">
      <c r="A50" s="734">
        <v>9</v>
      </c>
      <c r="B50" s="748" t="s">
        <v>547</v>
      </c>
      <c r="C50" s="712">
        <f>C44</f>
        <v>0</v>
      </c>
      <c r="D50" s="712">
        <f t="shared" ref="D50:M50" si="33">D44</f>
        <v>0</v>
      </c>
      <c r="E50" s="712">
        <f t="shared" si="33"/>
        <v>0</v>
      </c>
      <c r="F50" s="712">
        <f t="shared" si="33"/>
        <v>0</v>
      </c>
      <c r="G50" s="712">
        <f t="shared" si="33"/>
        <v>0</v>
      </c>
      <c r="H50" s="712">
        <f t="shared" si="33"/>
        <v>0</v>
      </c>
      <c r="I50" s="712">
        <f t="shared" si="33"/>
        <v>0</v>
      </c>
      <c r="J50" s="712">
        <f t="shared" si="33"/>
        <v>0</v>
      </c>
      <c r="K50" s="712">
        <f t="shared" si="33"/>
        <v>0</v>
      </c>
      <c r="L50" s="712">
        <f t="shared" si="33"/>
        <v>0</v>
      </c>
      <c r="M50" s="712">
        <f t="shared" si="33"/>
        <v>0</v>
      </c>
      <c r="N50" s="759"/>
      <c r="O50" s="759"/>
      <c r="P50" s="759"/>
      <c r="Q50" s="759"/>
      <c r="R50" s="759"/>
      <c r="S50" s="759"/>
      <c r="T50" s="759"/>
      <c r="U50" s="759"/>
      <c r="V50" s="759"/>
      <c r="W50" s="759"/>
      <c r="X50" s="760"/>
      <c r="Y50" s="760"/>
      <c r="Z50" s="760"/>
      <c r="AA50" s="755"/>
      <c r="AB50" s="755"/>
    </row>
    <row r="51" spans="1:28" x14ac:dyDescent="0.25">
      <c r="A51" s="734"/>
      <c r="B51" s="745" t="s">
        <v>582</v>
      </c>
      <c r="C51" s="722">
        <f>IF(C50+C49+C54&gt;0.94,0,C50+C49)</f>
        <v>0.52</v>
      </c>
      <c r="D51" s="722">
        <f t="shared" ref="D51:M51" si="34">IF(D50+D49+D54&gt;0.94,0,D50+D49)</f>
        <v>0.56000000000000005</v>
      </c>
      <c r="E51" s="722">
        <f t="shared" si="34"/>
        <v>0</v>
      </c>
      <c r="F51" s="722">
        <f t="shared" si="34"/>
        <v>0</v>
      </c>
      <c r="G51" s="722">
        <f t="shared" si="34"/>
        <v>0</v>
      </c>
      <c r="H51" s="722">
        <f t="shared" si="34"/>
        <v>0.22</v>
      </c>
      <c r="I51" s="722">
        <f t="shared" si="34"/>
        <v>0.52</v>
      </c>
      <c r="J51" s="722">
        <f t="shared" si="34"/>
        <v>0.56999999999999995</v>
      </c>
      <c r="K51" s="722">
        <f t="shared" si="34"/>
        <v>0.45</v>
      </c>
      <c r="L51" s="722">
        <f t="shared" si="34"/>
        <v>0.32</v>
      </c>
      <c r="M51" s="722">
        <f t="shared" si="34"/>
        <v>0.25</v>
      </c>
      <c r="N51" s="759"/>
      <c r="O51" s="759"/>
      <c r="P51" s="759"/>
      <c r="Q51" s="759"/>
      <c r="R51" s="759"/>
      <c r="S51" s="759"/>
      <c r="T51" s="759"/>
      <c r="U51" s="759"/>
      <c r="V51" s="759"/>
      <c r="W51" s="759"/>
      <c r="X51" s="760"/>
      <c r="Y51" s="760"/>
      <c r="Z51" s="760"/>
      <c r="AA51" s="755"/>
      <c r="AB51" s="755"/>
    </row>
    <row r="52" spans="1:28" x14ac:dyDescent="0.25">
      <c r="A52" s="734"/>
      <c r="B52" s="745" t="s">
        <v>452</v>
      </c>
      <c r="C52" s="723">
        <f>C46</f>
        <v>6</v>
      </c>
      <c r="D52" s="723">
        <f t="shared" ref="D52:M52" si="35">D46</f>
        <v>6</v>
      </c>
      <c r="E52" s="723">
        <f t="shared" si="35"/>
        <v>5</v>
      </c>
      <c r="F52" s="723">
        <f t="shared" si="35"/>
        <v>6</v>
      </c>
      <c r="G52" s="723">
        <f t="shared" si="35"/>
        <v>6</v>
      </c>
      <c r="H52" s="723">
        <f t="shared" si="35"/>
        <v>7</v>
      </c>
      <c r="I52" s="723">
        <f t="shared" si="35"/>
        <v>7</v>
      </c>
      <c r="J52" s="723">
        <f t="shared" si="35"/>
        <v>5</v>
      </c>
      <c r="K52" s="723">
        <f t="shared" si="35"/>
        <v>6</v>
      </c>
      <c r="L52" s="723">
        <f t="shared" si="35"/>
        <v>6</v>
      </c>
      <c r="M52" s="723">
        <f t="shared" si="35"/>
        <v>5</v>
      </c>
      <c r="N52" s="759"/>
      <c r="O52" s="759"/>
      <c r="P52" s="759"/>
      <c r="Q52" s="759"/>
      <c r="R52" s="759"/>
      <c r="S52" s="759"/>
      <c r="T52" s="759"/>
      <c r="U52" s="759"/>
      <c r="V52" s="759"/>
      <c r="W52" s="759"/>
      <c r="X52" s="760"/>
      <c r="Y52" s="760"/>
      <c r="Z52" s="760"/>
      <c r="AA52" s="755"/>
      <c r="AB52" s="755"/>
    </row>
    <row r="53" spans="1:28" x14ac:dyDescent="0.25">
      <c r="A53" s="734"/>
      <c r="B53" s="745" t="s">
        <v>581</v>
      </c>
      <c r="C53" s="719">
        <f>IF(C51=0,HLOOKUP(C52,'Parts Cost'!$A$2:$J$13,2,TRUE),0)</f>
        <v>0</v>
      </c>
      <c r="D53" s="719">
        <f>IF(D51=0,HLOOKUP(D52,'Parts Cost'!$A$2:$J$13,3,TRUE),0)</f>
        <v>0</v>
      </c>
      <c r="E53" s="719">
        <f>IF(E51=0,HLOOKUP(E52,'Parts Cost'!$A$2:$J$13,4,TRUE),0)</f>
        <v>3650017.5572416415</v>
      </c>
      <c r="F53" s="719">
        <f>IF(F51=0,HLOOKUP(F52,'Parts Cost'!$A$2:$J$13,5,TRUE),0)</f>
        <v>4382927.3607661808</v>
      </c>
      <c r="G53" s="719">
        <f>IF(G51=0,HLOOKUP(G52,'Parts Cost'!$A$2:$J$13,6,TRUE),0)</f>
        <v>1486480.5000996797</v>
      </c>
      <c r="H53" s="719">
        <f>IF(H51=0,HLOOKUP(H52,'Parts Cost'!$A$2:$J$13,7,TRUE),0)</f>
        <v>0</v>
      </c>
      <c r="I53" s="719">
        <f>IF(I51=0,HLOOKUP(I52,'Parts Cost'!$A$2:$J$13,8,TRUE),0)</f>
        <v>0</v>
      </c>
      <c r="J53" s="719">
        <f>IF(J51=0,HLOOKUP(J52,'Parts Cost'!$A$2:$J$13,9,TRUE),0)</f>
        <v>0</v>
      </c>
      <c r="K53" s="719">
        <f>IF(K51=0,HLOOKUP(K52,'Parts Cost'!$A$2:$J$13,10,TRUE),0)</f>
        <v>0</v>
      </c>
      <c r="L53" s="719">
        <f>IF(L51=0,HLOOKUP(L52,'Parts Cost'!$A$2:$J$13,11,TRUE),0)</f>
        <v>0</v>
      </c>
      <c r="M53" s="719">
        <f>IF(M51=0,HLOOKUP(M52,'Parts Cost'!$A$2:$J$13,12,TRUE),0)</f>
        <v>0</v>
      </c>
      <c r="N53" s="759">
        <f>SUM(C53:M53)*-1</f>
        <v>-9519425.4181075022</v>
      </c>
      <c r="O53" s="759">
        <f t="shared" ref="O53:W53" si="36">O47</f>
        <v>-600000</v>
      </c>
      <c r="P53" s="759">
        <f t="shared" si="36"/>
        <v>-750000</v>
      </c>
      <c r="Q53" s="759">
        <f t="shared" si="36"/>
        <v>-1006307</v>
      </c>
      <c r="R53" s="759">
        <f t="shared" si="36"/>
        <v>-350350</v>
      </c>
      <c r="S53" s="759">
        <f t="shared" si="36"/>
        <v>0</v>
      </c>
      <c r="T53" s="759">
        <f t="shared" si="36"/>
        <v>-391000</v>
      </c>
      <c r="U53" s="759">
        <f t="shared" si="36"/>
        <v>-1000000</v>
      </c>
      <c r="V53" s="759">
        <f t="shared" si="36"/>
        <v>-465000</v>
      </c>
      <c r="W53" s="759">
        <f t="shared" si="36"/>
        <v>-2500000</v>
      </c>
      <c r="X53" s="760">
        <f>X47</f>
        <v>13000000</v>
      </c>
      <c r="Y53" s="760">
        <f>Y47</f>
        <v>810000</v>
      </c>
      <c r="Z53" s="760">
        <f>Z47</f>
        <v>4081939</v>
      </c>
      <c r="AA53" s="755">
        <f>AB47</f>
        <v>77070446.478037953</v>
      </c>
      <c r="AB53" s="755">
        <f>SUM(N53:AA53)</f>
        <v>78380303.059930444</v>
      </c>
    </row>
    <row r="54" spans="1:28" x14ac:dyDescent="0.25">
      <c r="A54" s="734"/>
      <c r="B54" s="746" t="str">
        <f>VLOOKUP(9,Calendar!$A$1:$B$18,2,FALSE)</f>
        <v>Adelaide</v>
      </c>
      <c r="C54" s="720">
        <f>HLOOKUP(C$1,Wear!$A$1:$M$98,VLOOKUP($B54,Wear!$A$1:$M$98,2,FALSE),FALSE)</f>
        <v>0.26</v>
      </c>
      <c r="D54" s="720">
        <f>HLOOKUP(D$1,Wear!$A$1:$M$98,VLOOKUP($B54,Wear!$A$1:$M$98,2,FALSE),FALSE)</f>
        <v>0.15</v>
      </c>
      <c r="E54" s="720">
        <f>HLOOKUP(E$1,Wear!$A$1:$M$98,VLOOKUP($B54,Wear!$A$1:$M$98,2,FALSE),FALSE)</f>
        <v>0.27</v>
      </c>
      <c r="F54" s="720">
        <f>HLOOKUP(F$1,Wear!$A$1:$M$98,VLOOKUP($B54,Wear!$A$1:$M$98,2,FALSE),FALSE)</f>
        <v>0.31</v>
      </c>
      <c r="G54" s="720">
        <f>HLOOKUP(G$1,Wear!$A$1:$M$98,VLOOKUP($B54,Wear!$A$1:$M$98,2,FALSE),FALSE)</f>
        <v>0.28999999999999998</v>
      </c>
      <c r="H54" s="720">
        <f>HLOOKUP(H$1,Wear!$A$1:$M$98,VLOOKUP($B54,Wear!$A$1:$M$98,2,FALSE),FALSE)</f>
        <v>0.18</v>
      </c>
      <c r="I54" s="720">
        <f>HLOOKUP(I$1,Wear!$A$1:$M$98,VLOOKUP($B54,Wear!$A$1:$M$98,2,FALSE),FALSE)</f>
        <v>0.21</v>
      </c>
      <c r="J54" s="720">
        <f>HLOOKUP(J$1,Wear!$A$1:$M$98,VLOOKUP($B54,Wear!$A$1:$M$98,2,FALSE),FALSE)</f>
        <v>0.2</v>
      </c>
      <c r="K54" s="720">
        <f>HLOOKUP(K$1,Wear!$A$1:$M$98,VLOOKUP($B54,Wear!$A$1:$M$98,2,FALSE),FALSE)</f>
        <v>0.17</v>
      </c>
      <c r="L54" s="720">
        <f>HLOOKUP(L$1,Wear!$A$1:$M$98,VLOOKUP($B54,Wear!$A$1:$M$98,2,FALSE),FALSE)</f>
        <v>0.11</v>
      </c>
      <c r="M54" s="720">
        <f>HLOOKUP(M$1,Wear!$A$1:$M$98,VLOOKUP($B54,Wear!$A$1:$M$98,2,FALSE),FALSE)</f>
        <v>0.15</v>
      </c>
      <c r="N54" s="759"/>
      <c r="O54" s="759"/>
      <c r="P54" s="759"/>
      <c r="Q54" s="759"/>
      <c r="R54" s="759"/>
      <c r="S54" s="759"/>
      <c r="T54" s="759"/>
      <c r="U54" s="759"/>
      <c r="V54" s="759"/>
      <c r="W54" s="759"/>
      <c r="X54" s="760"/>
      <c r="Y54" s="760"/>
      <c r="Z54" s="760"/>
      <c r="AA54" s="755"/>
      <c r="AB54" s="755"/>
    </row>
    <row r="55" spans="1:28" s="704" customFormat="1" ht="21.75" thickBot="1" x14ac:dyDescent="0.3">
      <c r="A55" s="735"/>
      <c r="B55" s="747" t="str">
        <f>B49</f>
        <v>After Race</v>
      </c>
      <c r="C55" s="721">
        <f t="shared" ref="C55:M55" si="37">C54+C51</f>
        <v>0.78</v>
      </c>
      <c r="D55" s="721">
        <f t="shared" si="37"/>
        <v>0.71000000000000008</v>
      </c>
      <c r="E55" s="721">
        <f t="shared" si="37"/>
        <v>0.27</v>
      </c>
      <c r="F55" s="721">
        <f t="shared" si="37"/>
        <v>0.31</v>
      </c>
      <c r="G55" s="721">
        <f t="shared" si="37"/>
        <v>0.28999999999999998</v>
      </c>
      <c r="H55" s="721">
        <f t="shared" si="37"/>
        <v>0.4</v>
      </c>
      <c r="I55" s="721">
        <f t="shared" si="37"/>
        <v>0.73</v>
      </c>
      <c r="J55" s="721">
        <f t="shared" si="37"/>
        <v>0.77</v>
      </c>
      <c r="K55" s="721">
        <f t="shared" si="37"/>
        <v>0.62</v>
      </c>
      <c r="L55" s="721">
        <f t="shared" si="37"/>
        <v>0.43</v>
      </c>
      <c r="M55" s="721">
        <f t="shared" si="37"/>
        <v>0.4</v>
      </c>
      <c r="N55" s="761"/>
      <c r="O55" s="761"/>
      <c r="P55" s="761"/>
      <c r="Q55" s="761"/>
      <c r="R55" s="761"/>
      <c r="S55" s="761"/>
      <c r="T55" s="761"/>
      <c r="U55" s="761"/>
      <c r="V55" s="761"/>
      <c r="W55" s="761"/>
      <c r="X55" s="762"/>
      <c r="Y55" s="762"/>
      <c r="Z55" s="762"/>
      <c r="AA55" s="763"/>
      <c r="AB55" s="763"/>
    </row>
    <row r="56" spans="1:28" x14ac:dyDescent="0.25">
      <c r="A56" s="734">
        <v>10</v>
      </c>
      <c r="B56" s="748" t="s">
        <v>547</v>
      </c>
      <c r="C56" s="712">
        <f>C50</f>
        <v>0</v>
      </c>
      <c r="D56" s="712">
        <f t="shared" ref="D56:M56" si="38">D50</f>
        <v>0</v>
      </c>
      <c r="E56" s="712">
        <f t="shared" si="38"/>
        <v>0</v>
      </c>
      <c r="F56" s="712">
        <f t="shared" si="38"/>
        <v>0</v>
      </c>
      <c r="G56" s="712">
        <f t="shared" si="38"/>
        <v>0</v>
      </c>
      <c r="H56" s="712">
        <f t="shared" si="38"/>
        <v>0</v>
      </c>
      <c r="I56" s="712">
        <f t="shared" si="38"/>
        <v>0</v>
      </c>
      <c r="J56" s="712">
        <f t="shared" si="38"/>
        <v>0</v>
      </c>
      <c r="K56" s="712">
        <f t="shared" si="38"/>
        <v>0</v>
      </c>
      <c r="L56" s="712">
        <f t="shared" si="38"/>
        <v>0</v>
      </c>
      <c r="M56" s="712">
        <f t="shared" si="38"/>
        <v>0</v>
      </c>
      <c r="N56" s="759"/>
      <c r="O56" s="759"/>
      <c r="P56" s="759"/>
      <c r="Q56" s="759"/>
      <c r="R56" s="759"/>
      <c r="S56" s="759"/>
      <c r="T56" s="759"/>
      <c r="U56" s="759"/>
      <c r="V56" s="759"/>
      <c r="W56" s="759"/>
      <c r="X56" s="760"/>
      <c r="Y56" s="760"/>
      <c r="Z56" s="760"/>
      <c r="AA56" s="755"/>
      <c r="AB56" s="755"/>
    </row>
    <row r="57" spans="1:28" x14ac:dyDescent="0.25">
      <c r="A57" s="734"/>
      <c r="B57" s="745" t="s">
        <v>582</v>
      </c>
      <c r="C57" s="722">
        <f>IF(C56+C55+C60&gt;0.94,0,C56+C55)</f>
        <v>0.78</v>
      </c>
      <c r="D57" s="722">
        <f t="shared" ref="D57:M57" si="39">IF(D56+D55+D60&gt;0.94,0,D56+D55)</f>
        <v>0</v>
      </c>
      <c r="E57" s="722">
        <f t="shared" si="39"/>
        <v>0.27</v>
      </c>
      <c r="F57" s="722">
        <f t="shared" si="39"/>
        <v>0.31</v>
      </c>
      <c r="G57" s="722">
        <f t="shared" si="39"/>
        <v>0.28999999999999998</v>
      </c>
      <c r="H57" s="722">
        <f t="shared" si="39"/>
        <v>0.4</v>
      </c>
      <c r="I57" s="722">
        <f t="shared" si="39"/>
        <v>0.73</v>
      </c>
      <c r="J57" s="722">
        <f t="shared" si="39"/>
        <v>0</v>
      </c>
      <c r="K57" s="722">
        <f t="shared" si="39"/>
        <v>0.62</v>
      </c>
      <c r="L57" s="722">
        <f t="shared" si="39"/>
        <v>0.43</v>
      </c>
      <c r="M57" s="722">
        <f t="shared" si="39"/>
        <v>0.4</v>
      </c>
      <c r="N57" s="759"/>
      <c r="O57" s="759"/>
      <c r="P57" s="759"/>
      <c r="Q57" s="759"/>
      <c r="R57" s="759"/>
      <c r="S57" s="759"/>
      <c r="T57" s="759"/>
      <c r="U57" s="759"/>
      <c r="V57" s="759"/>
      <c r="W57" s="759"/>
      <c r="X57" s="760"/>
      <c r="Y57" s="760"/>
      <c r="Z57" s="760"/>
      <c r="AA57" s="755"/>
      <c r="AB57" s="755"/>
    </row>
    <row r="58" spans="1:28" x14ac:dyDescent="0.25">
      <c r="A58" s="734"/>
      <c r="B58" s="745" t="s">
        <v>452</v>
      </c>
      <c r="C58" s="723">
        <f>C52</f>
        <v>6</v>
      </c>
      <c r="D58" s="723">
        <f>D52</f>
        <v>6</v>
      </c>
      <c r="E58" s="723">
        <f t="shared" ref="E58:M58" si="40">E52</f>
        <v>5</v>
      </c>
      <c r="F58" s="723">
        <f t="shared" si="40"/>
        <v>6</v>
      </c>
      <c r="G58" s="723">
        <f t="shared" si="40"/>
        <v>6</v>
      </c>
      <c r="H58" s="723">
        <f t="shared" si="40"/>
        <v>7</v>
      </c>
      <c r="I58" s="723">
        <f t="shared" si="40"/>
        <v>7</v>
      </c>
      <c r="J58" s="723">
        <f t="shared" si="40"/>
        <v>5</v>
      </c>
      <c r="K58" s="723">
        <f t="shared" si="40"/>
        <v>6</v>
      </c>
      <c r="L58" s="723">
        <f t="shared" si="40"/>
        <v>6</v>
      </c>
      <c r="M58" s="723">
        <f t="shared" si="40"/>
        <v>5</v>
      </c>
      <c r="N58" s="759"/>
      <c r="O58" s="759"/>
      <c r="P58" s="759"/>
      <c r="Q58" s="759"/>
      <c r="R58" s="759"/>
      <c r="S58" s="759"/>
      <c r="T58" s="759"/>
      <c r="U58" s="759"/>
      <c r="V58" s="759"/>
      <c r="W58" s="759"/>
      <c r="X58" s="760"/>
      <c r="Y58" s="760"/>
      <c r="Z58" s="760"/>
      <c r="AA58" s="755"/>
      <c r="AB58" s="755"/>
    </row>
    <row r="59" spans="1:28" x14ac:dyDescent="0.25">
      <c r="A59" s="734"/>
      <c r="B59" s="745" t="s">
        <v>581</v>
      </c>
      <c r="C59" s="719">
        <f>IF(C57=0,HLOOKUP(C58,'Parts Cost'!$A$2:$J$13,2,TRUE),0)</f>
        <v>0</v>
      </c>
      <c r="D59" s="719">
        <f>IF(D57=0,HLOOKUP(D58,'Parts Cost'!$A$2:$J$13,3,TRUE),0)</f>
        <v>9650190.6814733017</v>
      </c>
      <c r="E59" s="719">
        <f>IF(E57=0,HLOOKUP(E58,'Parts Cost'!$A$2:$J$13,4,TRUE),0)</f>
        <v>0</v>
      </c>
      <c r="F59" s="719">
        <f>IF(F57=0,HLOOKUP(F58,'Parts Cost'!$A$2:$J$13,5,TRUE),0)</f>
        <v>0</v>
      </c>
      <c r="G59" s="719">
        <f>IF(G57=0,HLOOKUP(G58,'Parts Cost'!$A$2:$J$13,6,TRUE),0)</f>
        <v>0</v>
      </c>
      <c r="H59" s="719">
        <f>IF(H57=0,HLOOKUP(H58,'Parts Cost'!$A$2:$J$13,7,TRUE),0)</f>
        <v>0</v>
      </c>
      <c r="I59" s="719">
        <f>IF(I57=0,HLOOKUP(I58,'Parts Cost'!$A$2:$J$13,8,TRUE),0)</f>
        <v>0</v>
      </c>
      <c r="J59" s="719">
        <f>IF(J57=0,HLOOKUP(J58,'Parts Cost'!$A$2:$J$13,9,TRUE),0)</f>
        <v>7289202.8474226771</v>
      </c>
      <c r="K59" s="719">
        <f>IF(K57=0,HLOOKUP(K58,'Parts Cost'!$A$2:$J$13,10,TRUE),0)</f>
        <v>0</v>
      </c>
      <c r="L59" s="719">
        <f>IF(L57=0,HLOOKUP(L58,'Parts Cost'!$A$2:$J$13,11,TRUE),0)</f>
        <v>0</v>
      </c>
      <c r="M59" s="719">
        <f>IF(M57=0,HLOOKUP(M58,'Parts Cost'!$A$2:$J$13,12,TRUE),0)</f>
        <v>0</v>
      </c>
      <c r="N59" s="759">
        <f>SUM(C59:M59)*-1</f>
        <v>-16939393.528895978</v>
      </c>
      <c r="O59" s="759">
        <f t="shared" ref="O59:W59" si="41">O53</f>
        <v>-600000</v>
      </c>
      <c r="P59" s="759">
        <f t="shared" si="41"/>
        <v>-750000</v>
      </c>
      <c r="Q59" s="759">
        <f t="shared" si="41"/>
        <v>-1006307</v>
      </c>
      <c r="R59" s="759">
        <f t="shared" si="41"/>
        <v>-350350</v>
      </c>
      <c r="S59" s="759">
        <f t="shared" si="41"/>
        <v>0</v>
      </c>
      <c r="T59" s="759">
        <f t="shared" si="41"/>
        <v>-391000</v>
      </c>
      <c r="U59" s="759">
        <f t="shared" si="41"/>
        <v>-1000000</v>
      </c>
      <c r="V59" s="759">
        <f t="shared" si="41"/>
        <v>-465000</v>
      </c>
      <c r="W59" s="759">
        <f t="shared" si="41"/>
        <v>-2500000</v>
      </c>
      <c r="X59" s="760">
        <f>X53</f>
        <v>13000000</v>
      </c>
      <c r="Y59" s="760">
        <f>Y53</f>
        <v>810000</v>
      </c>
      <c r="Z59" s="760">
        <f>Z53</f>
        <v>4081939</v>
      </c>
      <c r="AA59" s="755">
        <f>AB53</f>
        <v>78380303.059930444</v>
      </c>
      <c r="AB59" s="755">
        <f>SUM(N59:AA59)</f>
        <v>72270191.53103447</v>
      </c>
    </row>
    <row r="60" spans="1:28" x14ac:dyDescent="0.25">
      <c r="A60" s="734"/>
      <c r="B60" s="746" t="str">
        <f>VLOOKUP(10,Calendar!$A$1:$B$18,2,FALSE)</f>
        <v>Baku City</v>
      </c>
      <c r="C60" s="720">
        <f>HLOOKUP(C$1,Wear!$A$1:$M$98,VLOOKUP($B60,Wear!$A$1:$M$98,2,FALSE),FALSE)</f>
        <v>0.14000000000000001</v>
      </c>
      <c r="D60" s="720">
        <f>HLOOKUP(D$1,Wear!$A$1:$M$98,VLOOKUP($B60,Wear!$A$1:$M$98,2,FALSE),FALSE)</f>
        <v>0.41</v>
      </c>
      <c r="E60" s="720">
        <f>HLOOKUP(E$1,Wear!$A$1:$M$98,VLOOKUP($B60,Wear!$A$1:$M$98,2,FALSE),FALSE)</f>
        <v>0.13</v>
      </c>
      <c r="F60" s="720">
        <f>HLOOKUP(F$1,Wear!$A$1:$M$98,VLOOKUP($B60,Wear!$A$1:$M$98,2,FALSE),FALSE)</f>
        <v>0.14000000000000001</v>
      </c>
      <c r="G60" s="720">
        <f>HLOOKUP(G$1,Wear!$A$1:$M$98,VLOOKUP($B60,Wear!$A$1:$M$98,2,FALSE),FALSE)</f>
        <v>0.12</v>
      </c>
      <c r="H60" s="720">
        <f>HLOOKUP(H$1,Wear!$A$1:$M$98,VLOOKUP($B60,Wear!$A$1:$M$98,2,FALSE),FALSE)</f>
        <v>0.15</v>
      </c>
      <c r="I60" s="720">
        <f>HLOOKUP(I$1,Wear!$A$1:$M$98,VLOOKUP($B60,Wear!$A$1:$M$98,2,FALSE),FALSE)</f>
        <v>0.12</v>
      </c>
      <c r="J60" s="720">
        <f>HLOOKUP(J$1,Wear!$A$1:$M$98,VLOOKUP($B60,Wear!$A$1:$M$98,2,FALSE),FALSE)</f>
        <v>0.18</v>
      </c>
      <c r="K60" s="720">
        <f>HLOOKUP(K$1,Wear!$A$1:$M$98,VLOOKUP($B60,Wear!$A$1:$M$98,2,FALSE),FALSE)</f>
        <v>0.31</v>
      </c>
      <c r="L60" s="720">
        <f>HLOOKUP(L$1,Wear!$A$1:$M$98,VLOOKUP($B60,Wear!$A$1:$M$98,2,FALSE),FALSE)</f>
        <v>0.13</v>
      </c>
      <c r="M60" s="720">
        <f>HLOOKUP(M$1,Wear!$A$1:$M$98,VLOOKUP($B60,Wear!$A$1:$M$98,2,FALSE),FALSE)</f>
        <v>0.09</v>
      </c>
      <c r="N60" s="759"/>
      <c r="O60" s="759"/>
      <c r="P60" s="759"/>
      <c r="Q60" s="759"/>
      <c r="R60" s="759"/>
      <c r="S60" s="759"/>
      <c r="T60" s="759"/>
      <c r="U60" s="759"/>
      <c r="V60" s="759"/>
      <c r="W60" s="759"/>
      <c r="X60" s="760"/>
      <c r="Y60" s="760"/>
      <c r="Z60" s="760"/>
      <c r="AA60" s="755"/>
      <c r="AB60" s="755"/>
    </row>
    <row r="61" spans="1:28" s="704" customFormat="1" ht="21.75" thickBot="1" x14ac:dyDescent="0.3">
      <c r="A61" s="735"/>
      <c r="B61" s="747" t="str">
        <f>B55</f>
        <v>After Race</v>
      </c>
      <c r="C61" s="721">
        <f t="shared" ref="C61:M61" si="42">C60+C57</f>
        <v>0.92</v>
      </c>
      <c r="D61" s="721">
        <f t="shared" si="42"/>
        <v>0.41</v>
      </c>
      <c r="E61" s="721">
        <f t="shared" si="42"/>
        <v>0.4</v>
      </c>
      <c r="F61" s="721">
        <f t="shared" si="42"/>
        <v>0.45</v>
      </c>
      <c r="G61" s="721">
        <f t="shared" si="42"/>
        <v>0.41</v>
      </c>
      <c r="H61" s="721">
        <f t="shared" si="42"/>
        <v>0.55000000000000004</v>
      </c>
      <c r="I61" s="721">
        <f t="shared" si="42"/>
        <v>0.85</v>
      </c>
      <c r="J61" s="721">
        <f t="shared" si="42"/>
        <v>0.18</v>
      </c>
      <c r="K61" s="721">
        <f t="shared" si="42"/>
        <v>0.92999999999999994</v>
      </c>
      <c r="L61" s="721">
        <f t="shared" si="42"/>
        <v>0.56000000000000005</v>
      </c>
      <c r="M61" s="721">
        <f t="shared" si="42"/>
        <v>0.49</v>
      </c>
      <c r="N61" s="761"/>
      <c r="O61" s="761"/>
      <c r="P61" s="761"/>
      <c r="Q61" s="761"/>
      <c r="R61" s="761"/>
      <c r="S61" s="761"/>
      <c r="T61" s="761"/>
      <c r="U61" s="761"/>
      <c r="V61" s="761"/>
      <c r="W61" s="761"/>
      <c r="X61" s="762"/>
      <c r="Y61" s="762"/>
      <c r="Z61" s="762"/>
      <c r="AA61" s="763"/>
      <c r="AB61" s="763"/>
    </row>
    <row r="62" spans="1:28" x14ac:dyDescent="0.25">
      <c r="A62" s="734">
        <v>11</v>
      </c>
      <c r="B62" s="748" t="s">
        <v>547</v>
      </c>
      <c r="C62" s="712">
        <f>C56</f>
        <v>0</v>
      </c>
      <c r="D62" s="712">
        <f t="shared" ref="D62:M62" si="43">D56</f>
        <v>0</v>
      </c>
      <c r="E62" s="712">
        <f t="shared" si="43"/>
        <v>0</v>
      </c>
      <c r="F62" s="712">
        <f t="shared" si="43"/>
        <v>0</v>
      </c>
      <c r="G62" s="712">
        <f t="shared" si="43"/>
        <v>0</v>
      </c>
      <c r="H62" s="712">
        <f t="shared" si="43"/>
        <v>0</v>
      </c>
      <c r="I62" s="712">
        <f t="shared" si="43"/>
        <v>0</v>
      </c>
      <c r="J62" s="712">
        <f t="shared" si="43"/>
        <v>0</v>
      </c>
      <c r="K62" s="712">
        <f t="shared" si="43"/>
        <v>0</v>
      </c>
      <c r="L62" s="712">
        <f t="shared" si="43"/>
        <v>0</v>
      </c>
      <c r="M62" s="712">
        <f t="shared" si="43"/>
        <v>0</v>
      </c>
      <c r="N62" s="759"/>
      <c r="O62" s="759"/>
      <c r="P62" s="759"/>
      <c r="Q62" s="759"/>
      <c r="R62" s="759"/>
      <c r="S62" s="759"/>
      <c r="T62" s="759"/>
      <c r="U62" s="759"/>
      <c r="V62" s="759"/>
      <c r="W62" s="759"/>
      <c r="X62" s="760"/>
      <c r="Y62" s="760"/>
      <c r="Z62" s="760"/>
      <c r="AA62" s="755"/>
      <c r="AB62" s="755"/>
    </row>
    <row r="63" spans="1:28" x14ac:dyDescent="0.25">
      <c r="A63" s="734"/>
      <c r="B63" s="745" t="s">
        <v>582</v>
      </c>
      <c r="C63" s="722">
        <f>IF(C62+C61+C66&gt;0.94,0,C62+C61)</f>
        <v>0</v>
      </c>
      <c r="D63" s="722">
        <f t="shared" ref="D63:M63" si="44">IF(D62+D61+D66&gt;0.94,0,D62+D61)</f>
        <v>0.41</v>
      </c>
      <c r="E63" s="722">
        <f t="shared" si="44"/>
        <v>0.4</v>
      </c>
      <c r="F63" s="722">
        <f t="shared" si="44"/>
        <v>0.45</v>
      </c>
      <c r="G63" s="722">
        <f t="shared" si="44"/>
        <v>0.41</v>
      </c>
      <c r="H63" s="722">
        <f t="shared" si="44"/>
        <v>0.55000000000000004</v>
      </c>
      <c r="I63" s="722">
        <f t="shared" si="44"/>
        <v>0</v>
      </c>
      <c r="J63" s="722">
        <f t="shared" si="44"/>
        <v>0.18</v>
      </c>
      <c r="K63" s="722">
        <f t="shared" si="44"/>
        <v>0</v>
      </c>
      <c r="L63" s="722">
        <f t="shared" si="44"/>
        <v>0.56000000000000005</v>
      </c>
      <c r="M63" s="722">
        <f t="shared" si="44"/>
        <v>0.49</v>
      </c>
      <c r="N63" s="759"/>
      <c r="O63" s="759"/>
      <c r="P63" s="759"/>
      <c r="Q63" s="759"/>
      <c r="R63" s="759"/>
      <c r="S63" s="759"/>
      <c r="T63" s="759"/>
      <c r="U63" s="759"/>
      <c r="V63" s="759"/>
      <c r="W63" s="759"/>
      <c r="X63" s="760"/>
      <c r="Y63" s="760"/>
      <c r="Z63" s="760"/>
      <c r="AA63" s="755"/>
      <c r="AB63" s="755"/>
    </row>
    <row r="64" spans="1:28" x14ac:dyDescent="0.25">
      <c r="A64" s="734"/>
      <c r="B64" s="745" t="s">
        <v>452</v>
      </c>
      <c r="C64" s="723">
        <f>C58</f>
        <v>6</v>
      </c>
      <c r="D64" s="723">
        <f t="shared" ref="D64:M64" si="45">D58</f>
        <v>6</v>
      </c>
      <c r="E64" s="723">
        <f t="shared" si="45"/>
        <v>5</v>
      </c>
      <c r="F64" s="723">
        <f t="shared" si="45"/>
        <v>6</v>
      </c>
      <c r="G64" s="723">
        <f t="shared" si="45"/>
        <v>6</v>
      </c>
      <c r="H64" s="723">
        <f t="shared" si="45"/>
        <v>7</v>
      </c>
      <c r="I64" s="723">
        <f t="shared" si="45"/>
        <v>7</v>
      </c>
      <c r="J64" s="723">
        <f t="shared" si="45"/>
        <v>5</v>
      </c>
      <c r="K64" s="723">
        <f t="shared" si="45"/>
        <v>6</v>
      </c>
      <c r="L64" s="723">
        <f t="shared" si="45"/>
        <v>6</v>
      </c>
      <c r="M64" s="723">
        <f t="shared" si="45"/>
        <v>5</v>
      </c>
      <c r="N64" s="759"/>
      <c r="O64" s="759"/>
      <c r="P64" s="759"/>
      <c r="Q64" s="759"/>
      <c r="R64" s="759"/>
      <c r="S64" s="759"/>
      <c r="T64" s="759"/>
      <c r="U64" s="759"/>
      <c r="V64" s="759"/>
      <c r="W64" s="759"/>
      <c r="X64" s="760"/>
      <c r="Y64" s="760"/>
      <c r="Z64" s="760"/>
      <c r="AA64" s="755"/>
      <c r="AB64" s="755"/>
    </row>
    <row r="65" spans="1:28" x14ac:dyDescent="0.25">
      <c r="A65" s="734"/>
      <c r="B65" s="745" t="s">
        <v>581</v>
      </c>
      <c r="C65" s="719">
        <f>IF(C63=0,HLOOKUP(C64,'Parts Cost'!$A$2:$J$13,2,TRUE),0)</f>
        <v>3766376.3195087109</v>
      </c>
      <c r="D65" s="719">
        <f>IF(D63=0,HLOOKUP(D64,'Parts Cost'!$A$2:$J$13,3,TRUE),0)</f>
        <v>0</v>
      </c>
      <c r="E65" s="719">
        <f>IF(E63=0,HLOOKUP(E64,'Parts Cost'!$A$2:$J$13,4,TRUE),0)</f>
        <v>0</v>
      </c>
      <c r="F65" s="719">
        <f>IF(F63=0,HLOOKUP(F64,'Parts Cost'!$A$2:$J$13,5,TRUE),0)</f>
        <v>0</v>
      </c>
      <c r="G65" s="719">
        <f>IF(G63=0,HLOOKUP(G64,'Parts Cost'!$A$2:$J$13,6,TRUE),0)</f>
        <v>0</v>
      </c>
      <c r="H65" s="719">
        <f>IF(H63=0,HLOOKUP(H64,'Parts Cost'!$A$2:$J$13,7,TRUE),0)</f>
        <v>0</v>
      </c>
      <c r="I65" s="719">
        <f>IF(I63=0,HLOOKUP(I64,'Parts Cost'!$A$2:$J$13,8,TRUE),0)</f>
        <v>1640412.0484264854</v>
      </c>
      <c r="J65" s="719">
        <f>IF(J63=0,HLOOKUP(J64,'Parts Cost'!$A$2:$J$13,9,TRUE),0)</f>
        <v>0</v>
      </c>
      <c r="K65" s="719">
        <f>IF(K63=0,HLOOKUP(K64,'Parts Cost'!$A$2:$J$13,10,TRUE),0)</f>
        <v>2032977.5986155318</v>
      </c>
      <c r="L65" s="719">
        <f>IF(L63=0,HLOOKUP(L64,'Parts Cost'!$A$2:$J$13,11,TRUE),0)</f>
        <v>0</v>
      </c>
      <c r="M65" s="719">
        <f>IF(M63=0,HLOOKUP(M64,'Parts Cost'!$A$2:$J$13,12,TRUE),0)</f>
        <v>0</v>
      </c>
      <c r="N65" s="759">
        <f>SUM(C65:M65)*-1</f>
        <v>-7439765.9665507283</v>
      </c>
      <c r="O65" s="759">
        <f t="shared" ref="O65:W65" si="46">O59</f>
        <v>-600000</v>
      </c>
      <c r="P65" s="759">
        <f t="shared" si="46"/>
        <v>-750000</v>
      </c>
      <c r="Q65" s="759">
        <f t="shared" si="46"/>
        <v>-1006307</v>
      </c>
      <c r="R65" s="759">
        <f t="shared" si="46"/>
        <v>-350350</v>
      </c>
      <c r="S65" s="759">
        <f t="shared" si="46"/>
        <v>0</v>
      </c>
      <c r="T65" s="759">
        <f t="shared" si="46"/>
        <v>-391000</v>
      </c>
      <c r="U65" s="759">
        <v>0</v>
      </c>
      <c r="V65" s="759">
        <f t="shared" si="46"/>
        <v>-465000</v>
      </c>
      <c r="W65" s="759">
        <f t="shared" si="46"/>
        <v>-2500000</v>
      </c>
      <c r="X65" s="760">
        <f>X59</f>
        <v>13000000</v>
      </c>
      <c r="Y65" s="760">
        <f>Y59</f>
        <v>810000</v>
      </c>
      <c r="Z65" s="760">
        <f>Z59</f>
        <v>4081939</v>
      </c>
      <c r="AA65" s="755">
        <f>AB59</f>
        <v>72270191.53103447</v>
      </c>
      <c r="AB65" s="755">
        <f>SUM(N65:AA65)</f>
        <v>76659707.564483747</v>
      </c>
    </row>
    <row r="66" spans="1:28" x14ac:dyDescent="0.25">
      <c r="A66" s="734"/>
      <c r="B66" s="746" t="str">
        <f>VLOOKUP(11,Calendar!$A$1:$B$18,2,FALSE)</f>
        <v>New Delhi</v>
      </c>
      <c r="C66" s="720">
        <f>HLOOKUP(C$1,Wear!$A$1:$M$98,VLOOKUP($B66,Wear!$A$1:$M$98,2,FALSE),FALSE)</f>
        <v>0.18</v>
      </c>
      <c r="D66" s="720">
        <f>HLOOKUP(D$1,Wear!$A$1:$M$98,VLOOKUP($B66,Wear!$A$1:$M$98,2,FALSE),FALSE)</f>
        <v>0.34</v>
      </c>
      <c r="E66" s="720">
        <f>HLOOKUP(E$1,Wear!$A$1:$M$98,VLOOKUP($B66,Wear!$A$1:$M$98,2,FALSE),FALSE)</f>
        <v>0.25</v>
      </c>
      <c r="F66" s="720">
        <f>HLOOKUP(F$1,Wear!$A$1:$M$98,VLOOKUP($B66,Wear!$A$1:$M$98,2,FALSE),FALSE)</f>
        <v>0.21</v>
      </c>
      <c r="G66" s="720">
        <f>HLOOKUP(G$1,Wear!$A$1:$M$98,VLOOKUP($B66,Wear!$A$1:$M$98,2,FALSE),FALSE)</f>
        <v>0.16</v>
      </c>
      <c r="H66" s="720">
        <f>HLOOKUP(H$1,Wear!$A$1:$M$98,VLOOKUP($B66,Wear!$A$1:$M$98,2,FALSE),FALSE)</f>
        <v>0.1</v>
      </c>
      <c r="I66" s="720">
        <f>HLOOKUP(I$1,Wear!$A$1:$M$98,VLOOKUP($B66,Wear!$A$1:$M$98,2,FALSE),FALSE)</f>
        <v>0.14000000000000001</v>
      </c>
      <c r="J66" s="720">
        <f>HLOOKUP(J$1,Wear!$A$1:$M$98,VLOOKUP($B66,Wear!$A$1:$M$98,2,FALSE),FALSE)</f>
        <v>0.23</v>
      </c>
      <c r="K66" s="720">
        <f>HLOOKUP(K$1,Wear!$A$1:$M$98,VLOOKUP($B66,Wear!$A$1:$M$98,2,FALSE),FALSE)</f>
        <v>0.31</v>
      </c>
      <c r="L66" s="720">
        <f>HLOOKUP(L$1,Wear!$A$1:$M$98,VLOOKUP($B66,Wear!$A$1:$M$98,2,FALSE),FALSE)</f>
        <v>0.28000000000000003</v>
      </c>
      <c r="M66" s="720">
        <f>HLOOKUP(M$1,Wear!$A$1:$M$98,VLOOKUP($B66,Wear!$A$1:$M$98,2,FALSE),FALSE)</f>
        <v>0.08</v>
      </c>
      <c r="N66" s="759"/>
      <c r="O66" s="759"/>
      <c r="P66" s="759"/>
      <c r="Q66" s="759"/>
      <c r="R66" s="759"/>
      <c r="S66" s="759"/>
      <c r="T66" s="759"/>
      <c r="U66" s="759"/>
      <c r="V66" s="759"/>
      <c r="W66" s="759"/>
      <c r="X66" s="760"/>
      <c r="Y66" s="760"/>
      <c r="Z66" s="760"/>
      <c r="AA66" s="755"/>
      <c r="AB66" s="755"/>
    </row>
    <row r="67" spans="1:28" s="704" customFormat="1" ht="21.75" thickBot="1" x14ac:dyDescent="0.3">
      <c r="A67" s="735"/>
      <c r="B67" s="747" t="str">
        <f>B61</f>
        <v>After Race</v>
      </c>
      <c r="C67" s="721">
        <f t="shared" ref="C67:M67" si="47">C66+C63</f>
        <v>0.18</v>
      </c>
      <c r="D67" s="721">
        <f t="shared" si="47"/>
        <v>0.75</v>
      </c>
      <c r="E67" s="721">
        <f t="shared" si="47"/>
        <v>0.65</v>
      </c>
      <c r="F67" s="721">
        <f t="shared" si="47"/>
        <v>0.66</v>
      </c>
      <c r="G67" s="721">
        <f t="shared" si="47"/>
        <v>0.56999999999999995</v>
      </c>
      <c r="H67" s="721">
        <f t="shared" si="47"/>
        <v>0.65</v>
      </c>
      <c r="I67" s="721">
        <f t="shared" si="47"/>
        <v>0.14000000000000001</v>
      </c>
      <c r="J67" s="721">
        <f t="shared" si="47"/>
        <v>0.41000000000000003</v>
      </c>
      <c r="K67" s="721">
        <f t="shared" si="47"/>
        <v>0.31</v>
      </c>
      <c r="L67" s="721">
        <f t="shared" si="47"/>
        <v>0.84000000000000008</v>
      </c>
      <c r="M67" s="721">
        <f t="shared" si="47"/>
        <v>0.56999999999999995</v>
      </c>
      <c r="N67" s="761"/>
      <c r="O67" s="761"/>
      <c r="P67" s="761"/>
      <c r="Q67" s="761"/>
      <c r="R67" s="761"/>
      <c r="S67" s="761"/>
      <c r="T67" s="761"/>
      <c r="U67" s="761"/>
      <c r="V67" s="761"/>
      <c r="W67" s="761"/>
      <c r="X67" s="762"/>
      <c r="Y67" s="762"/>
      <c r="Z67" s="762"/>
      <c r="AA67" s="763"/>
      <c r="AB67" s="763"/>
    </row>
    <row r="68" spans="1:28" x14ac:dyDescent="0.25">
      <c r="A68" s="734">
        <v>12</v>
      </c>
      <c r="B68" s="748" t="s">
        <v>547</v>
      </c>
      <c r="C68" s="712">
        <f>C62</f>
        <v>0</v>
      </c>
      <c r="D68" s="712">
        <f t="shared" ref="D68:M68" si="48">D62</f>
        <v>0</v>
      </c>
      <c r="E68" s="712">
        <f t="shared" si="48"/>
        <v>0</v>
      </c>
      <c r="F68" s="712">
        <f t="shared" si="48"/>
        <v>0</v>
      </c>
      <c r="G68" s="712">
        <f t="shared" si="48"/>
        <v>0</v>
      </c>
      <c r="H68" s="712">
        <f t="shared" si="48"/>
        <v>0</v>
      </c>
      <c r="I68" s="712">
        <f t="shared" si="48"/>
        <v>0</v>
      </c>
      <c r="J68" s="712">
        <f t="shared" si="48"/>
        <v>0</v>
      </c>
      <c r="K68" s="712">
        <f t="shared" si="48"/>
        <v>0</v>
      </c>
      <c r="L68" s="712">
        <f t="shared" si="48"/>
        <v>0</v>
      </c>
      <c r="M68" s="712">
        <f t="shared" si="48"/>
        <v>0</v>
      </c>
      <c r="N68" s="759"/>
      <c r="O68" s="759"/>
      <c r="P68" s="759"/>
      <c r="Q68" s="759"/>
      <c r="R68" s="759"/>
      <c r="S68" s="759"/>
      <c r="T68" s="759"/>
      <c r="U68" s="759"/>
      <c r="V68" s="759"/>
      <c r="W68" s="759"/>
      <c r="X68" s="760"/>
      <c r="Y68" s="760"/>
      <c r="Z68" s="760"/>
      <c r="AA68" s="755"/>
      <c r="AB68" s="755"/>
    </row>
    <row r="69" spans="1:28" x14ac:dyDescent="0.25">
      <c r="A69" s="734"/>
      <c r="B69" s="745" t="s">
        <v>582</v>
      </c>
      <c r="C69" s="722">
        <f>IF(C68+C67+C72&gt;0.94,0,C68+C67)</f>
        <v>0.18</v>
      </c>
      <c r="D69" s="722">
        <f t="shared" ref="D69:M69" si="49">IF(D68+D67+D72&gt;0.94,0,D68+D67)</f>
        <v>0.75</v>
      </c>
      <c r="E69" s="722">
        <f t="shared" si="49"/>
        <v>0.65</v>
      </c>
      <c r="F69" s="722">
        <f t="shared" si="49"/>
        <v>0.66</v>
      </c>
      <c r="G69" s="722">
        <f t="shared" si="49"/>
        <v>0.56999999999999995</v>
      </c>
      <c r="H69" s="722">
        <f t="shared" si="49"/>
        <v>0.65</v>
      </c>
      <c r="I69" s="722">
        <f t="shared" si="49"/>
        <v>0.14000000000000001</v>
      </c>
      <c r="J69" s="722">
        <f t="shared" si="49"/>
        <v>0.41000000000000003</v>
      </c>
      <c r="K69" s="722">
        <f t="shared" si="49"/>
        <v>0.31</v>
      </c>
      <c r="L69" s="722">
        <f t="shared" si="49"/>
        <v>0</v>
      </c>
      <c r="M69" s="722">
        <f t="shared" si="49"/>
        <v>0.56999999999999995</v>
      </c>
      <c r="N69" s="759"/>
      <c r="O69" s="759"/>
      <c r="P69" s="759"/>
      <c r="Q69" s="759"/>
      <c r="R69" s="759"/>
      <c r="S69" s="759"/>
      <c r="T69" s="759"/>
      <c r="U69" s="759"/>
      <c r="V69" s="759"/>
      <c r="W69" s="759"/>
      <c r="X69" s="760"/>
      <c r="Y69" s="760"/>
      <c r="Z69" s="760"/>
      <c r="AA69" s="755"/>
      <c r="AB69" s="755"/>
    </row>
    <row r="70" spans="1:28" x14ac:dyDescent="0.25">
      <c r="A70" s="734"/>
      <c r="B70" s="745" t="s">
        <v>452</v>
      </c>
      <c r="C70" s="723">
        <f>C64</f>
        <v>6</v>
      </c>
      <c r="D70" s="723">
        <f t="shared" ref="D70:M70" si="50">D64</f>
        <v>6</v>
      </c>
      <c r="E70" s="723">
        <f t="shared" si="50"/>
        <v>5</v>
      </c>
      <c r="F70" s="723">
        <f t="shared" si="50"/>
        <v>6</v>
      </c>
      <c r="G70" s="723">
        <f t="shared" si="50"/>
        <v>6</v>
      </c>
      <c r="H70" s="723">
        <f t="shared" si="50"/>
        <v>7</v>
      </c>
      <c r="I70" s="723">
        <f t="shared" si="50"/>
        <v>7</v>
      </c>
      <c r="J70" s="723">
        <f>J64</f>
        <v>5</v>
      </c>
      <c r="K70" s="723">
        <f t="shared" si="50"/>
        <v>6</v>
      </c>
      <c r="L70" s="723">
        <f t="shared" si="50"/>
        <v>6</v>
      </c>
      <c r="M70" s="723">
        <f t="shared" si="50"/>
        <v>5</v>
      </c>
      <c r="N70" s="759"/>
      <c r="O70" s="759"/>
      <c r="P70" s="759"/>
      <c r="Q70" s="759"/>
      <c r="R70" s="759"/>
      <c r="S70" s="759"/>
      <c r="T70" s="759"/>
      <c r="U70" s="759"/>
      <c r="V70" s="759"/>
      <c r="W70" s="759"/>
      <c r="X70" s="760"/>
      <c r="Y70" s="760"/>
      <c r="Z70" s="760"/>
      <c r="AA70" s="755"/>
      <c r="AB70" s="755"/>
    </row>
    <row r="71" spans="1:28" x14ac:dyDescent="0.25">
      <c r="A71" s="734"/>
      <c r="B71" s="745" t="s">
        <v>581</v>
      </c>
      <c r="C71" s="719">
        <f>IF(C69=0,HLOOKUP(C70,'Parts Cost'!$A$2:$J$13,2,TRUE),0)</f>
        <v>0</v>
      </c>
      <c r="D71" s="719">
        <f>IF(D69=0,HLOOKUP(D70,'Parts Cost'!$A$2:$J$13,3,TRUE),0)</f>
        <v>0</v>
      </c>
      <c r="E71" s="719">
        <f>IF(E69=0,HLOOKUP(E70,'Parts Cost'!$A$2:$J$13,4,TRUE),0)</f>
        <v>0</v>
      </c>
      <c r="F71" s="719">
        <f>IF(F69=0,HLOOKUP(F70,'Parts Cost'!$A$2:$J$13,5,TRUE),0)</f>
        <v>0</v>
      </c>
      <c r="G71" s="719">
        <f>IF(G69=0,HLOOKUP(G70,'Parts Cost'!$A$2:$J$13,6,TRUE),0)</f>
        <v>0</v>
      </c>
      <c r="H71" s="719">
        <f>IF(H69=0,HLOOKUP(H70,'Parts Cost'!$A$2:$J$13,7,TRUE),0)</f>
        <v>0</v>
      </c>
      <c r="I71" s="719">
        <f>IF(I69=0,HLOOKUP(I70,'Parts Cost'!$A$2:$J$13,8,TRUE),0)</f>
        <v>0</v>
      </c>
      <c r="J71" s="719">
        <f>IF(J69=0,HLOOKUP(J70,'Parts Cost'!$A$2:$J$13,9,TRUE),0)</f>
        <v>0</v>
      </c>
      <c r="K71" s="719">
        <f>IF(K69=0,HLOOKUP(K70,'Parts Cost'!$A$2:$J$13,10,TRUE),0)</f>
        <v>0</v>
      </c>
      <c r="L71" s="719">
        <f>IF(L69=0,HLOOKUP(L70,'Parts Cost'!$A$2:$J$13,11,TRUE),0)</f>
        <v>3442946.8731186609</v>
      </c>
      <c r="M71" s="719">
        <f>IF(M69=0,HLOOKUP(M70,'Parts Cost'!$A$2:$J$13,12,TRUE),0)</f>
        <v>0</v>
      </c>
      <c r="N71" s="759">
        <f>SUM(C71:M71)*-1</f>
        <v>-3442946.8731186609</v>
      </c>
      <c r="O71" s="759">
        <f t="shared" ref="O71:W71" si="51">O65</f>
        <v>-600000</v>
      </c>
      <c r="P71" s="759">
        <f t="shared" si="51"/>
        <v>-750000</v>
      </c>
      <c r="Q71" s="759">
        <f t="shared" si="51"/>
        <v>-1006307</v>
      </c>
      <c r="R71" s="759">
        <f t="shared" si="51"/>
        <v>-350350</v>
      </c>
      <c r="S71" s="759">
        <f t="shared" si="51"/>
        <v>0</v>
      </c>
      <c r="T71" s="759">
        <f t="shared" si="51"/>
        <v>-391000</v>
      </c>
      <c r="U71" s="759">
        <f t="shared" si="51"/>
        <v>0</v>
      </c>
      <c r="V71" s="759">
        <f t="shared" si="51"/>
        <v>-465000</v>
      </c>
      <c r="W71" s="759">
        <f t="shared" si="51"/>
        <v>-2500000</v>
      </c>
      <c r="X71" s="760">
        <f>X65</f>
        <v>13000000</v>
      </c>
      <c r="Y71" s="760">
        <f>Y65</f>
        <v>810000</v>
      </c>
      <c r="Z71" s="760">
        <f>Z65</f>
        <v>4081939</v>
      </c>
      <c r="AA71" s="755">
        <f>AB65</f>
        <v>76659707.564483747</v>
      </c>
      <c r="AB71" s="755">
        <f>SUM(N71:AA71)</f>
        <v>85046042.691365093</v>
      </c>
    </row>
    <row r="72" spans="1:28" x14ac:dyDescent="0.25">
      <c r="A72" s="734"/>
      <c r="B72" s="746" t="str">
        <f>VLOOKUP(12,Calendar!$A$1:$B$18,2,FALSE)</f>
        <v>Singapore</v>
      </c>
      <c r="C72" s="720">
        <f>HLOOKUP(C$1,Wear!$A$1:$M$98,VLOOKUP($B72,Wear!$A$1:$M$98,2,FALSE),FALSE)</f>
        <v>0.2</v>
      </c>
      <c r="D72" s="720">
        <f>HLOOKUP(D$1,Wear!$A$1:$M$98,VLOOKUP($B72,Wear!$A$1:$M$98,2,FALSE),FALSE)</f>
        <v>0.16</v>
      </c>
      <c r="E72" s="720">
        <f>HLOOKUP(E$1,Wear!$A$1:$M$98,VLOOKUP($B72,Wear!$A$1:$M$98,2,FALSE),FALSE)</f>
        <v>0.23</v>
      </c>
      <c r="F72" s="720">
        <f>HLOOKUP(F$1,Wear!$A$1:$M$98,VLOOKUP($B72,Wear!$A$1:$M$98,2,FALSE),FALSE)</f>
        <v>0.2</v>
      </c>
      <c r="G72" s="720">
        <f>HLOOKUP(G$1,Wear!$A$1:$M$98,VLOOKUP($B72,Wear!$A$1:$M$98,2,FALSE),FALSE)</f>
        <v>0.23</v>
      </c>
      <c r="H72" s="720">
        <f>HLOOKUP(H$1,Wear!$A$1:$M$98,VLOOKUP($B72,Wear!$A$1:$M$98,2,FALSE),FALSE)</f>
        <v>0.15</v>
      </c>
      <c r="I72" s="720">
        <f>HLOOKUP(I$1,Wear!$A$1:$M$98,VLOOKUP($B72,Wear!$A$1:$M$98,2,FALSE),FALSE)</f>
        <v>0.19</v>
      </c>
      <c r="J72" s="720">
        <f>HLOOKUP(J$1,Wear!$A$1:$M$98,VLOOKUP($B72,Wear!$A$1:$M$98,2,FALSE),FALSE)</f>
        <v>0.19</v>
      </c>
      <c r="K72" s="720">
        <f>HLOOKUP(K$1,Wear!$A$1:$M$98,VLOOKUP($B72,Wear!$A$1:$M$98,2,FALSE),FALSE)</f>
        <v>0.3</v>
      </c>
      <c r="L72" s="720">
        <f>HLOOKUP(L$1,Wear!$A$1:$M$98,VLOOKUP($B72,Wear!$A$1:$M$98,2,FALSE),FALSE)</f>
        <v>0.18</v>
      </c>
      <c r="M72" s="720">
        <f>HLOOKUP(M$1,Wear!$A$1:$M$98,VLOOKUP($B72,Wear!$A$1:$M$98,2,FALSE),FALSE)</f>
        <v>0.17</v>
      </c>
      <c r="N72" s="759"/>
      <c r="O72" s="759"/>
      <c r="P72" s="759"/>
      <c r="Q72" s="759"/>
      <c r="R72" s="759"/>
      <c r="S72" s="759"/>
      <c r="T72" s="759"/>
      <c r="U72" s="759"/>
      <c r="V72" s="759"/>
      <c r="W72" s="759"/>
      <c r="X72" s="760"/>
      <c r="Y72" s="760"/>
      <c r="Z72" s="760"/>
      <c r="AA72" s="755"/>
      <c r="AB72" s="755"/>
    </row>
    <row r="73" spans="1:28" s="704" customFormat="1" ht="21.75" thickBot="1" x14ac:dyDescent="0.3">
      <c r="A73" s="735"/>
      <c r="B73" s="747" t="str">
        <f>B67</f>
        <v>After Race</v>
      </c>
      <c r="C73" s="721">
        <f t="shared" ref="C73:M73" si="52">C72+C69</f>
        <v>0.38</v>
      </c>
      <c r="D73" s="721">
        <f t="shared" si="52"/>
        <v>0.91</v>
      </c>
      <c r="E73" s="721">
        <f t="shared" si="52"/>
        <v>0.88</v>
      </c>
      <c r="F73" s="721">
        <f t="shared" si="52"/>
        <v>0.8600000000000001</v>
      </c>
      <c r="G73" s="721">
        <f t="shared" si="52"/>
        <v>0.79999999999999993</v>
      </c>
      <c r="H73" s="721">
        <f t="shared" si="52"/>
        <v>0.8</v>
      </c>
      <c r="I73" s="721">
        <f t="shared" si="52"/>
        <v>0.33</v>
      </c>
      <c r="J73" s="721">
        <f t="shared" si="52"/>
        <v>0.60000000000000009</v>
      </c>
      <c r="K73" s="721">
        <f t="shared" si="52"/>
        <v>0.61</v>
      </c>
      <c r="L73" s="721">
        <f t="shared" si="52"/>
        <v>0.18</v>
      </c>
      <c r="M73" s="721">
        <f t="shared" si="52"/>
        <v>0.74</v>
      </c>
      <c r="N73" s="761"/>
      <c r="O73" s="761"/>
      <c r="P73" s="761"/>
      <c r="Q73" s="761"/>
      <c r="R73" s="761"/>
      <c r="S73" s="761"/>
      <c r="T73" s="761"/>
      <c r="U73" s="761"/>
      <c r="V73" s="761"/>
      <c r="W73" s="761"/>
      <c r="X73" s="762"/>
      <c r="Y73" s="762"/>
      <c r="Z73" s="762"/>
      <c r="AA73" s="763"/>
      <c r="AB73" s="763"/>
    </row>
    <row r="74" spans="1:28" x14ac:dyDescent="0.25">
      <c r="A74" s="734">
        <v>13</v>
      </c>
      <c r="B74" s="748" t="s">
        <v>547</v>
      </c>
      <c r="C74" s="712">
        <f>C68</f>
        <v>0</v>
      </c>
      <c r="D74" s="712">
        <f t="shared" ref="D74:M74" si="53">D68</f>
        <v>0</v>
      </c>
      <c r="E74" s="712">
        <f t="shared" si="53"/>
        <v>0</v>
      </c>
      <c r="F74" s="712">
        <f t="shared" si="53"/>
        <v>0</v>
      </c>
      <c r="G74" s="712">
        <f t="shared" si="53"/>
        <v>0</v>
      </c>
      <c r="H74" s="712">
        <f t="shared" si="53"/>
        <v>0</v>
      </c>
      <c r="I74" s="712">
        <f t="shared" si="53"/>
        <v>0</v>
      </c>
      <c r="J74" s="712">
        <f t="shared" si="53"/>
        <v>0</v>
      </c>
      <c r="K74" s="712">
        <f t="shared" si="53"/>
        <v>0</v>
      </c>
      <c r="L74" s="712">
        <f t="shared" si="53"/>
        <v>0</v>
      </c>
      <c r="M74" s="712">
        <f t="shared" si="53"/>
        <v>0</v>
      </c>
      <c r="N74" s="759"/>
      <c r="O74" s="759"/>
      <c r="P74" s="759"/>
      <c r="Q74" s="759"/>
      <c r="R74" s="759"/>
      <c r="S74" s="759"/>
      <c r="T74" s="759"/>
      <c r="U74" s="759"/>
      <c r="V74" s="759"/>
      <c r="W74" s="759"/>
      <c r="X74" s="760"/>
      <c r="Y74" s="760"/>
      <c r="Z74" s="760"/>
      <c r="AA74" s="755"/>
      <c r="AB74" s="755"/>
    </row>
    <row r="75" spans="1:28" x14ac:dyDescent="0.25">
      <c r="A75" s="734"/>
      <c r="B75" s="745" t="s">
        <v>582</v>
      </c>
      <c r="C75" s="722">
        <f>IF(C74+C73+C78&gt;0.94,0,C74+C73)</f>
        <v>0.38</v>
      </c>
      <c r="D75" s="722">
        <f t="shared" ref="D75:M75" si="54">IF(D74+D73+D78&gt;0.94,0,D74+D73)</f>
        <v>0</v>
      </c>
      <c r="E75" s="722">
        <f t="shared" si="54"/>
        <v>0</v>
      </c>
      <c r="F75" s="722">
        <f t="shared" si="54"/>
        <v>0</v>
      </c>
      <c r="G75" s="722">
        <f t="shared" si="54"/>
        <v>0</v>
      </c>
      <c r="H75" s="722">
        <f t="shared" si="54"/>
        <v>0.8</v>
      </c>
      <c r="I75" s="722">
        <f t="shared" si="54"/>
        <v>0.33</v>
      </c>
      <c r="J75" s="722">
        <f t="shared" si="54"/>
        <v>0.60000000000000009</v>
      </c>
      <c r="K75" s="722">
        <f t="shared" si="54"/>
        <v>0.61</v>
      </c>
      <c r="L75" s="722">
        <f t="shared" si="54"/>
        <v>0.18</v>
      </c>
      <c r="M75" s="722">
        <f t="shared" si="54"/>
        <v>0.74</v>
      </c>
      <c r="N75" s="759"/>
      <c r="O75" s="759"/>
      <c r="P75" s="759"/>
      <c r="Q75" s="759"/>
      <c r="R75" s="759"/>
      <c r="S75" s="759"/>
      <c r="T75" s="759"/>
      <c r="U75" s="759"/>
      <c r="V75" s="759"/>
      <c r="W75" s="759"/>
      <c r="X75" s="760"/>
      <c r="Y75" s="760"/>
      <c r="Z75" s="760"/>
      <c r="AA75" s="755"/>
      <c r="AB75" s="755"/>
    </row>
    <row r="76" spans="1:28" x14ac:dyDescent="0.25">
      <c r="A76" s="734"/>
      <c r="B76" s="745" t="s">
        <v>452</v>
      </c>
      <c r="C76" s="723">
        <f>C70</f>
        <v>6</v>
      </c>
      <c r="D76" s="723">
        <f t="shared" ref="D76:L76" si="55">D70</f>
        <v>6</v>
      </c>
      <c r="E76" s="723">
        <f t="shared" si="55"/>
        <v>5</v>
      </c>
      <c r="F76" s="723">
        <f t="shared" si="55"/>
        <v>6</v>
      </c>
      <c r="G76" s="723">
        <f t="shared" si="55"/>
        <v>6</v>
      </c>
      <c r="H76" s="723">
        <f t="shared" si="55"/>
        <v>7</v>
      </c>
      <c r="I76" s="723">
        <f t="shared" si="55"/>
        <v>7</v>
      </c>
      <c r="J76" s="723">
        <f t="shared" si="55"/>
        <v>5</v>
      </c>
      <c r="K76" s="723">
        <f t="shared" si="55"/>
        <v>6</v>
      </c>
      <c r="L76" s="723">
        <f t="shared" si="55"/>
        <v>6</v>
      </c>
      <c r="M76" s="723">
        <f>M70</f>
        <v>5</v>
      </c>
      <c r="N76" s="759"/>
      <c r="O76" s="759"/>
      <c r="P76" s="759"/>
      <c r="Q76" s="759"/>
      <c r="R76" s="759"/>
      <c r="S76" s="759"/>
      <c r="T76" s="759"/>
      <c r="U76" s="759"/>
      <c r="V76" s="759"/>
      <c r="W76" s="759"/>
      <c r="X76" s="760"/>
      <c r="Y76" s="760"/>
      <c r="Z76" s="760"/>
      <c r="AA76" s="755"/>
      <c r="AB76" s="755"/>
    </row>
    <row r="77" spans="1:28" x14ac:dyDescent="0.25">
      <c r="A77" s="734"/>
      <c r="B77" s="745" t="s">
        <v>581</v>
      </c>
      <c r="C77" s="719">
        <f>IF(C75=0,HLOOKUP(C76,'Parts Cost'!$A$2:$J$13,2,TRUE),0)</f>
        <v>0</v>
      </c>
      <c r="D77" s="719">
        <f>IF(D75=0,HLOOKUP(D76,'Parts Cost'!$A$2:$J$13,3,TRUE),0)</f>
        <v>9650190.6814733017</v>
      </c>
      <c r="E77" s="719">
        <f>IF(E75=0,HLOOKUP(E76,'Parts Cost'!$A$2:$J$13,4,TRUE),0)</f>
        <v>3650017.5572416415</v>
      </c>
      <c r="F77" s="719">
        <f>IF(F75=0,HLOOKUP(F76,'Parts Cost'!$A$2:$J$13,5,TRUE),0)</f>
        <v>4382927.3607661808</v>
      </c>
      <c r="G77" s="719">
        <f>IF(G75=0,HLOOKUP(G76,'Parts Cost'!$A$2:$J$13,6,TRUE),0)</f>
        <v>1486480.5000996797</v>
      </c>
      <c r="H77" s="719">
        <f>IF(H75=0,HLOOKUP(H76,'Parts Cost'!$A$2:$J$13,7,TRUE),0)</f>
        <v>0</v>
      </c>
      <c r="I77" s="719">
        <f>IF(I75=0,HLOOKUP(I76,'Parts Cost'!$A$2:$J$13,8,TRUE),0)</f>
        <v>0</v>
      </c>
      <c r="J77" s="719">
        <f>IF(J75=0,HLOOKUP(J76,'Parts Cost'!$A$2:$J$13,9,TRUE),0)</f>
        <v>0</v>
      </c>
      <c r="K77" s="719">
        <f>IF(K75=0,HLOOKUP(K76,'Parts Cost'!$A$2:$J$13,10,TRUE),0)</f>
        <v>0</v>
      </c>
      <c r="L77" s="719">
        <f>IF(L75=0,HLOOKUP(L76,'Parts Cost'!$A$2:$J$13,11,TRUE),0)</f>
        <v>0</v>
      </c>
      <c r="M77" s="719">
        <f>IF(M75=0,HLOOKUP(M76,'Parts Cost'!$A$2:$J$13,12,TRUE),0)</f>
        <v>0</v>
      </c>
      <c r="N77" s="759">
        <f>SUM(C77:M77)*-1</f>
        <v>-19169616.099580806</v>
      </c>
      <c r="O77" s="759">
        <f t="shared" ref="O77:W77" si="56">O71</f>
        <v>-600000</v>
      </c>
      <c r="P77" s="759">
        <f t="shared" si="56"/>
        <v>-750000</v>
      </c>
      <c r="Q77" s="759">
        <f t="shared" si="56"/>
        <v>-1006307</v>
      </c>
      <c r="R77" s="759">
        <f t="shared" si="56"/>
        <v>-350350</v>
      </c>
      <c r="S77" s="759">
        <f t="shared" si="56"/>
        <v>0</v>
      </c>
      <c r="T77" s="759">
        <f t="shared" si="56"/>
        <v>-391000</v>
      </c>
      <c r="U77" s="759">
        <f t="shared" si="56"/>
        <v>0</v>
      </c>
      <c r="V77" s="759">
        <f t="shared" si="56"/>
        <v>-465000</v>
      </c>
      <c r="W77" s="759">
        <f t="shared" si="56"/>
        <v>-2500000</v>
      </c>
      <c r="X77" s="760">
        <f>X71</f>
        <v>13000000</v>
      </c>
      <c r="Y77" s="760">
        <f>Y71</f>
        <v>810000</v>
      </c>
      <c r="Z77" s="760">
        <f>Z71</f>
        <v>4081939</v>
      </c>
      <c r="AA77" s="755">
        <f>AB71</f>
        <v>85046042.691365093</v>
      </c>
      <c r="AB77" s="755">
        <f>SUM(N77:AA77)</f>
        <v>77705708.591784284</v>
      </c>
    </row>
    <row r="78" spans="1:28" x14ac:dyDescent="0.25">
      <c r="A78" s="734"/>
      <c r="B78" s="746" t="str">
        <f>VLOOKUP(13,Calendar!$A$1:$B$18,2,FALSE)</f>
        <v>Sepang</v>
      </c>
      <c r="C78" s="720">
        <f>HLOOKUP(C$1,Wear!$A$1:$M$98,VLOOKUP($B78,Wear!$A$1:$M$98,2,FALSE),FALSE)</f>
        <v>0.17</v>
      </c>
      <c r="D78" s="720">
        <f>HLOOKUP(D$1,Wear!$A$1:$M$98,VLOOKUP($B78,Wear!$A$1:$M$98,2,FALSE),FALSE)</f>
        <v>0.35</v>
      </c>
      <c r="E78" s="720">
        <f>HLOOKUP(E$1,Wear!$A$1:$M$98,VLOOKUP($B78,Wear!$A$1:$M$98,2,FALSE),FALSE)</f>
        <v>0.22</v>
      </c>
      <c r="F78" s="720">
        <f>HLOOKUP(F$1,Wear!$A$1:$M$98,VLOOKUP($B78,Wear!$A$1:$M$98,2,FALSE),FALSE)</f>
        <v>0.17</v>
      </c>
      <c r="G78" s="720">
        <f>HLOOKUP(G$1,Wear!$A$1:$M$98,VLOOKUP($B78,Wear!$A$1:$M$98,2,FALSE),FALSE)</f>
        <v>0.22</v>
      </c>
      <c r="H78" s="720">
        <f>HLOOKUP(H$1,Wear!$A$1:$M$98,VLOOKUP($B78,Wear!$A$1:$M$98,2,FALSE),FALSE)</f>
        <v>0.12</v>
      </c>
      <c r="I78" s="720">
        <f>HLOOKUP(I$1,Wear!$A$1:$M$98,VLOOKUP($B78,Wear!$A$1:$M$98,2,FALSE),FALSE)</f>
        <v>0.21</v>
      </c>
      <c r="J78" s="720">
        <f>HLOOKUP(J$1,Wear!$A$1:$M$98,VLOOKUP($B78,Wear!$A$1:$M$98,2,FALSE),FALSE)</f>
        <v>0.26</v>
      </c>
      <c r="K78" s="720">
        <f>HLOOKUP(K$1,Wear!$A$1:$M$98,VLOOKUP($B78,Wear!$A$1:$M$98,2,FALSE),FALSE)</f>
        <v>0.3</v>
      </c>
      <c r="L78" s="720">
        <f>HLOOKUP(L$1,Wear!$A$1:$M$98,VLOOKUP($B78,Wear!$A$1:$M$98,2,FALSE),FALSE)</f>
        <v>0.18</v>
      </c>
      <c r="M78" s="720">
        <f>HLOOKUP(M$1,Wear!$A$1:$M$98,VLOOKUP($B78,Wear!$A$1:$M$98,2,FALSE),FALSE)</f>
        <v>0.12</v>
      </c>
      <c r="N78" s="759"/>
      <c r="O78" s="759"/>
      <c r="P78" s="759"/>
      <c r="Q78" s="759"/>
      <c r="R78" s="759"/>
      <c r="S78" s="759"/>
      <c r="T78" s="759"/>
      <c r="U78" s="759"/>
      <c r="V78" s="759"/>
      <c r="W78" s="759"/>
      <c r="X78" s="760"/>
      <c r="Y78" s="760"/>
      <c r="Z78" s="760"/>
      <c r="AA78" s="755"/>
      <c r="AB78" s="755"/>
    </row>
    <row r="79" spans="1:28" s="704" customFormat="1" ht="21.75" thickBot="1" x14ac:dyDescent="0.3">
      <c r="A79" s="735"/>
      <c r="B79" s="747" t="str">
        <f>B73</f>
        <v>After Race</v>
      </c>
      <c r="C79" s="721">
        <f t="shared" ref="C79:M79" si="57">C78+C75</f>
        <v>0.55000000000000004</v>
      </c>
      <c r="D79" s="721">
        <f t="shared" si="57"/>
        <v>0.35</v>
      </c>
      <c r="E79" s="721">
        <f t="shared" si="57"/>
        <v>0.22</v>
      </c>
      <c r="F79" s="721">
        <f t="shared" si="57"/>
        <v>0.17</v>
      </c>
      <c r="G79" s="721">
        <f t="shared" si="57"/>
        <v>0.22</v>
      </c>
      <c r="H79" s="721">
        <f t="shared" si="57"/>
        <v>0.92</v>
      </c>
      <c r="I79" s="721">
        <f t="shared" si="57"/>
        <v>0.54</v>
      </c>
      <c r="J79" s="721">
        <f t="shared" si="57"/>
        <v>0.8600000000000001</v>
      </c>
      <c r="K79" s="721">
        <f t="shared" si="57"/>
        <v>0.90999999999999992</v>
      </c>
      <c r="L79" s="721">
        <f t="shared" si="57"/>
        <v>0.36</v>
      </c>
      <c r="M79" s="721">
        <f t="shared" si="57"/>
        <v>0.86</v>
      </c>
      <c r="N79" s="761"/>
      <c r="O79" s="761"/>
      <c r="P79" s="761"/>
      <c r="Q79" s="761"/>
      <c r="R79" s="761"/>
      <c r="S79" s="761"/>
      <c r="T79" s="761"/>
      <c r="U79" s="761"/>
      <c r="V79" s="761"/>
      <c r="W79" s="761"/>
      <c r="X79" s="762"/>
      <c r="Y79" s="762"/>
      <c r="Z79" s="762"/>
      <c r="AA79" s="763"/>
      <c r="AB79" s="763"/>
    </row>
    <row r="80" spans="1:28" x14ac:dyDescent="0.25">
      <c r="A80" s="734">
        <v>14</v>
      </c>
      <c r="B80" s="748" t="s">
        <v>547</v>
      </c>
      <c r="C80" s="712">
        <f>C74</f>
        <v>0</v>
      </c>
      <c r="D80" s="712">
        <f t="shared" ref="D80:M80" si="58">D74</f>
        <v>0</v>
      </c>
      <c r="E80" s="712">
        <f t="shared" si="58"/>
        <v>0</v>
      </c>
      <c r="F80" s="712">
        <f t="shared" si="58"/>
        <v>0</v>
      </c>
      <c r="G80" s="712">
        <f t="shared" si="58"/>
        <v>0</v>
      </c>
      <c r="H80" s="712">
        <f t="shared" si="58"/>
        <v>0</v>
      </c>
      <c r="I80" s="712">
        <f t="shared" si="58"/>
        <v>0</v>
      </c>
      <c r="J80" s="712">
        <f t="shared" si="58"/>
        <v>0</v>
      </c>
      <c r="K80" s="712">
        <f t="shared" si="58"/>
        <v>0</v>
      </c>
      <c r="L80" s="712">
        <f t="shared" si="58"/>
        <v>0</v>
      </c>
      <c r="M80" s="712">
        <f t="shared" si="58"/>
        <v>0</v>
      </c>
      <c r="N80" s="759"/>
      <c r="O80" s="759"/>
      <c r="P80" s="759"/>
      <c r="Q80" s="759"/>
      <c r="R80" s="759"/>
      <c r="S80" s="759"/>
      <c r="T80" s="759"/>
      <c r="U80" s="759"/>
      <c r="V80" s="759"/>
      <c r="W80" s="759"/>
      <c r="X80" s="760"/>
      <c r="Y80" s="760"/>
      <c r="Z80" s="760"/>
      <c r="AA80" s="755"/>
      <c r="AB80" s="755"/>
    </row>
    <row r="81" spans="1:28" x14ac:dyDescent="0.25">
      <c r="A81" s="734"/>
      <c r="B81" s="745" t="s">
        <v>582</v>
      </c>
      <c r="C81" s="722">
        <f>IF(C80+C79+C84&gt;0.94,0,C80+C79)</f>
        <v>0.55000000000000004</v>
      </c>
      <c r="D81" s="722">
        <f t="shared" ref="D81:M81" si="59">IF(D80+D79+D84&gt;0.94,0,D80+D79)</f>
        <v>0.35</v>
      </c>
      <c r="E81" s="722">
        <f t="shared" si="59"/>
        <v>0.22</v>
      </c>
      <c r="F81" s="722">
        <f t="shared" si="59"/>
        <v>0.17</v>
      </c>
      <c r="G81" s="722">
        <f t="shared" si="59"/>
        <v>0.22</v>
      </c>
      <c r="H81" s="722">
        <f t="shared" si="59"/>
        <v>0</v>
      </c>
      <c r="I81" s="722">
        <f t="shared" si="59"/>
        <v>0.54</v>
      </c>
      <c r="J81" s="722">
        <f t="shared" si="59"/>
        <v>0</v>
      </c>
      <c r="K81" s="722">
        <f t="shared" si="59"/>
        <v>0</v>
      </c>
      <c r="L81" s="722">
        <f t="shared" si="59"/>
        <v>0.36</v>
      </c>
      <c r="M81" s="722">
        <f t="shared" si="59"/>
        <v>0</v>
      </c>
      <c r="N81" s="759"/>
      <c r="O81" s="759"/>
      <c r="P81" s="759"/>
      <c r="Q81" s="759"/>
      <c r="R81" s="759"/>
      <c r="S81" s="759"/>
      <c r="T81" s="759"/>
      <c r="U81" s="759"/>
      <c r="V81" s="759"/>
      <c r="W81" s="759"/>
      <c r="X81" s="760"/>
      <c r="Y81" s="760"/>
      <c r="Z81" s="760"/>
      <c r="AA81" s="755"/>
      <c r="AB81" s="755"/>
    </row>
    <row r="82" spans="1:28" x14ac:dyDescent="0.25">
      <c r="A82" s="734"/>
      <c r="B82" s="745" t="s">
        <v>452</v>
      </c>
      <c r="C82" s="723">
        <f>C76</f>
        <v>6</v>
      </c>
      <c r="D82" s="723">
        <f t="shared" ref="D82:M82" si="60">D76</f>
        <v>6</v>
      </c>
      <c r="E82" s="723">
        <f t="shared" si="60"/>
        <v>5</v>
      </c>
      <c r="F82" s="723">
        <f t="shared" si="60"/>
        <v>6</v>
      </c>
      <c r="G82" s="723">
        <f t="shared" si="60"/>
        <v>6</v>
      </c>
      <c r="H82" s="723">
        <f t="shared" si="60"/>
        <v>7</v>
      </c>
      <c r="I82" s="723">
        <f t="shared" si="60"/>
        <v>7</v>
      </c>
      <c r="J82" s="723">
        <f t="shared" si="60"/>
        <v>5</v>
      </c>
      <c r="K82" s="723">
        <f t="shared" si="60"/>
        <v>6</v>
      </c>
      <c r="L82" s="723">
        <f t="shared" si="60"/>
        <v>6</v>
      </c>
      <c r="M82" s="723">
        <f t="shared" si="60"/>
        <v>5</v>
      </c>
      <c r="N82" s="759"/>
      <c r="O82" s="759"/>
      <c r="P82" s="759"/>
      <c r="Q82" s="759"/>
      <c r="R82" s="759"/>
      <c r="S82" s="759"/>
      <c r="T82" s="759"/>
      <c r="U82" s="759"/>
      <c r="V82" s="759"/>
      <c r="W82" s="759"/>
      <c r="X82" s="760"/>
      <c r="Y82" s="760"/>
      <c r="Z82" s="760"/>
      <c r="AA82" s="755"/>
      <c r="AB82" s="755"/>
    </row>
    <row r="83" spans="1:28" x14ac:dyDescent="0.25">
      <c r="A83" s="734"/>
      <c r="B83" s="745" t="s">
        <v>581</v>
      </c>
      <c r="C83" s="719">
        <f>IF(C81=0,HLOOKUP(C82,'Parts Cost'!$A$2:$J$13,2,TRUE),0)</f>
        <v>0</v>
      </c>
      <c r="D83" s="719">
        <f>IF(D81=0,HLOOKUP(D82,'Parts Cost'!$A$2:$J$13,3,TRUE),0)</f>
        <v>0</v>
      </c>
      <c r="E83" s="719">
        <f>IF(E81=0,HLOOKUP(E82,'Parts Cost'!$A$2:$J$13,4,TRUE),0)</f>
        <v>0</v>
      </c>
      <c r="F83" s="719">
        <f>IF(F81=0,HLOOKUP(F82,'Parts Cost'!$A$2:$J$13,5,TRUE),0)</f>
        <v>0</v>
      </c>
      <c r="G83" s="719">
        <f>IF(G81=0,HLOOKUP(G82,'Parts Cost'!$A$2:$J$13,6,TRUE),0)</f>
        <v>0</v>
      </c>
      <c r="H83" s="719">
        <f>IF(H81=0,HLOOKUP(H82,'Parts Cost'!$A$2:$J$13,7,TRUE),0)</f>
        <v>1659488.7472967457</v>
      </c>
      <c r="I83" s="719">
        <f>IF(I81=0,HLOOKUP(I82,'Parts Cost'!$A$2:$J$13,8,TRUE),0)</f>
        <v>0</v>
      </c>
      <c r="J83" s="719">
        <f>IF(J81=0,HLOOKUP(J82,'Parts Cost'!$A$2:$J$13,9,TRUE),0)</f>
        <v>7289202.8474226771</v>
      </c>
      <c r="K83" s="719">
        <f>IF(K81=0,HLOOKUP(K82,'Parts Cost'!$A$2:$J$13,10,TRUE),0)</f>
        <v>2032977.5986155318</v>
      </c>
      <c r="L83" s="719">
        <f>IF(L81=0,HLOOKUP(L82,'Parts Cost'!$A$2:$J$13,11,TRUE),0)</f>
        <v>0</v>
      </c>
      <c r="M83" s="719">
        <f>IF(M81=0,HLOOKUP(M82,'Parts Cost'!$A$2:$J$13,12,TRUE),0)</f>
        <v>2207900.2445582845</v>
      </c>
      <c r="N83" s="759">
        <f>SUM(C83:M83)*-1</f>
        <v>-13189569.43789324</v>
      </c>
      <c r="O83" s="759">
        <f t="shared" ref="O83:W83" si="61">O77</f>
        <v>-600000</v>
      </c>
      <c r="P83" s="759">
        <f t="shared" si="61"/>
        <v>-750000</v>
      </c>
      <c r="Q83" s="759">
        <f t="shared" si="61"/>
        <v>-1006307</v>
      </c>
      <c r="R83" s="759">
        <f t="shared" si="61"/>
        <v>-350350</v>
      </c>
      <c r="S83" s="759">
        <f t="shared" si="61"/>
        <v>0</v>
      </c>
      <c r="T83" s="759">
        <f t="shared" si="61"/>
        <v>-391000</v>
      </c>
      <c r="U83" s="759">
        <f t="shared" si="61"/>
        <v>0</v>
      </c>
      <c r="V83" s="759">
        <f t="shared" si="61"/>
        <v>-465000</v>
      </c>
      <c r="W83" s="759">
        <f t="shared" si="61"/>
        <v>-2500000</v>
      </c>
      <c r="X83" s="760">
        <f>X77</f>
        <v>13000000</v>
      </c>
      <c r="Y83" s="760">
        <f>Y77</f>
        <v>810000</v>
      </c>
      <c r="Z83" s="760">
        <f>Z77</f>
        <v>4081939</v>
      </c>
      <c r="AA83" s="755">
        <f>AB77</f>
        <v>77705708.591784284</v>
      </c>
      <c r="AB83" s="755">
        <f>SUM(N83:AA83)</f>
        <v>76345421.153891042</v>
      </c>
    </row>
    <row r="84" spans="1:28" x14ac:dyDescent="0.25">
      <c r="A84" s="734"/>
      <c r="B84" s="746" t="str">
        <f>VLOOKUP(14,Calendar!$A$1:$B$18,2,FALSE)</f>
        <v>Serres</v>
      </c>
      <c r="C84" s="720">
        <f>HLOOKUP(C$1,Wear!$A$1:$M$98,VLOOKUP($B84,Wear!$A$1:$M$98,2,FALSE),FALSE)</f>
        <v>0.18</v>
      </c>
      <c r="D84" s="720">
        <f>HLOOKUP(D$1,Wear!$A$1:$M$98,VLOOKUP($B84,Wear!$A$1:$M$98,2,FALSE),FALSE)</f>
        <v>0.24</v>
      </c>
      <c r="E84" s="720">
        <f>HLOOKUP(E$1,Wear!$A$1:$M$98,VLOOKUP($B84,Wear!$A$1:$M$98,2,FALSE),FALSE)</f>
        <v>0.18</v>
      </c>
      <c r="F84" s="720">
        <f>HLOOKUP(F$1,Wear!$A$1:$M$98,VLOOKUP($B84,Wear!$A$1:$M$98,2,FALSE),FALSE)</f>
        <v>0.19</v>
      </c>
      <c r="G84" s="720">
        <f>HLOOKUP(G$1,Wear!$A$1:$M$98,VLOOKUP($B84,Wear!$A$1:$M$98,2,FALSE),FALSE)</f>
        <v>0.17</v>
      </c>
      <c r="H84" s="720">
        <f>HLOOKUP(H$1,Wear!$A$1:$M$98,VLOOKUP($B84,Wear!$A$1:$M$98,2,FALSE),FALSE)</f>
        <v>0.14000000000000001</v>
      </c>
      <c r="I84" s="720">
        <f>HLOOKUP(I$1,Wear!$A$1:$M$98,VLOOKUP($B84,Wear!$A$1:$M$98,2,FALSE),FALSE)</f>
        <v>0.16</v>
      </c>
      <c r="J84" s="720">
        <f>HLOOKUP(J$1,Wear!$A$1:$M$98,VLOOKUP($B84,Wear!$A$1:$M$98,2,FALSE),FALSE)</f>
        <v>0.24</v>
      </c>
      <c r="K84" s="720">
        <f>HLOOKUP(K$1,Wear!$A$1:$M$98,VLOOKUP($B84,Wear!$A$1:$M$98,2,FALSE),FALSE)</f>
        <v>0.21</v>
      </c>
      <c r="L84" s="720">
        <f>HLOOKUP(L$1,Wear!$A$1:$M$98,VLOOKUP($B84,Wear!$A$1:$M$98,2,FALSE),FALSE)</f>
        <v>0.22</v>
      </c>
      <c r="M84" s="720">
        <f>HLOOKUP(M$1,Wear!$A$1:$M$98,VLOOKUP($B84,Wear!$A$1:$M$98,2,FALSE),FALSE)</f>
        <v>0.15</v>
      </c>
      <c r="N84" s="759"/>
      <c r="O84" s="759"/>
      <c r="P84" s="759"/>
      <c r="Q84" s="759"/>
      <c r="R84" s="759"/>
      <c r="S84" s="759"/>
      <c r="T84" s="759"/>
      <c r="U84" s="759"/>
      <c r="V84" s="759"/>
      <c r="W84" s="759"/>
      <c r="X84" s="760"/>
      <c r="Y84" s="760"/>
      <c r="Z84" s="760"/>
      <c r="AA84" s="755"/>
      <c r="AB84" s="755"/>
    </row>
    <row r="85" spans="1:28" s="704" customFormat="1" ht="21.75" thickBot="1" x14ac:dyDescent="0.3">
      <c r="A85" s="735"/>
      <c r="B85" s="747" t="str">
        <f>B79</f>
        <v>After Race</v>
      </c>
      <c r="C85" s="721">
        <f t="shared" ref="C85:M85" si="62">C84+C81</f>
        <v>0.73</v>
      </c>
      <c r="D85" s="721">
        <f t="shared" si="62"/>
        <v>0.59</v>
      </c>
      <c r="E85" s="721">
        <f t="shared" si="62"/>
        <v>0.4</v>
      </c>
      <c r="F85" s="721">
        <f t="shared" si="62"/>
        <v>0.36</v>
      </c>
      <c r="G85" s="721">
        <f t="shared" si="62"/>
        <v>0.39</v>
      </c>
      <c r="H85" s="721">
        <f t="shared" si="62"/>
        <v>0.14000000000000001</v>
      </c>
      <c r="I85" s="721">
        <f t="shared" si="62"/>
        <v>0.70000000000000007</v>
      </c>
      <c r="J85" s="721">
        <f t="shared" si="62"/>
        <v>0.24</v>
      </c>
      <c r="K85" s="721">
        <f t="shared" si="62"/>
        <v>0.21</v>
      </c>
      <c r="L85" s="721">
        <f t="shared" si="62"/>
        <v>0.57999999999999996</v>
      </c>
      <c r="M85" s="721">
        <f t="shared" si="62"/>
        <v>0.15</v>
      </c>
      <c r="N85" s="761"/>
      <c r="O85" s="761"/>
      <c r="P85" s="761"/>
      <c r="Q85" s="761"/>
      <c r="R85" s="761"/>
      <c r="S85" s="761"/>
      <c r="T85" s="761"/>
      <c r="U85" s="761"/>
      <c r="V85" s="761"/>
      <c r="W85" s="761"/>
      <c r="X85" s="762"/>
      <c r="Y85" s="762"/>
      <c r="Z85" s="762"/>
      <c r="AA85" s="763"/>
      <c r="AB85" s="763"/>
    </row>
    <row r="86" spans="1:28" x14ac:dyDescent="0.25">
      <c r="A86" s="734">
        <v>15</v>
      </c>
      <c r="B86" s="748" t="s">
        <v>547</v>
      </c>
      <c r="C86" s="712">
        <f>C80</f>
        <v>0</v>
      </c>
      <c r="D86" s="712">
        <f t="shared" ref="D86:M86" si="63">D80</f>
        <v>0</v>
      </c>
      <c r="E86" s="712">
        <f t="shared" si="63"/>
        <v>0</v>
      </c>
      <c r="F86" s="712">
        <f t="shared" si="63"/>
        <v>0</v>
      </c>
      <c r="G86" s="712">
        <f t="shared" si="63"/>
        <v>0</v>
      </c>
      <c r="H86" s="712">
        <f t="shared" si="63"/>
        <v>0</v>
      </c>
      <c r="I86" s="712">
        <f t="shared" si="63"/>
        <v>0</v>
      </c>
      <c r="J86" s="712">
        <f t="shared" si="63"/>
        <v>0</v>
      </c>
      <c r="K86" s="712">
        <f t="shared" si="63"/>
        <v>0</v>
      </c>
      <c r="L86" s="712">
        <f t="shared" si="63"/>
        <v>0</v>
      </c>
      <c r="M86" s="712">
        <f t="shared" si="63"/>
        <v>0</v>
      </c>
      <c r="N86" s="759"/>
      <c r="O86" s="759"/>
      <c r="P86" s="759"/>
      <c r="Q86" s="759"/>
      <c r="R86" s="759"/>
      <c r="S86" s="759"/>
      <c r="T86" s="759"/>
      <c r="U86" s="759"/>
      <c r="V86" s="759"/>
      <c r="W86" s="759"/>
      <c r="X86" s="760"/>
      <c r="Y86" s="760"/>
      <c r="Z86" s="760"/>
      <c r="AA86" s="755"/>
      <c r="AB86" s="755"/>
    </row>
    <row r="87" spans="1:28" x14ac:dyDescent="0.25">
      <c r="A87" s="734"/>
      <c r="B87" s="745" t="s">
        <v>582</v>
      </c>
      <c r="C87" s="722">
        <f>IF(C86+C85+C90&gt;0.94,0,C86+C85)</f>
        <v>0.73</v>
      </c>
      <c r="D87" s="722">
        <f t="shared" ref="D87:M87" si="64">IF(D86+D85+D90&gt;0.94,0,D86+D85)</f>
        <v>0</v>
      </c>
      <c r="E87" s="722">
        <f t="shared" si="64"/>
        <v>0.4</v>
      </c>
      <c r="F87" s="722">
        <f t="shared" si="64"/>
        <v>0.36</v>
      </c>
      <c r="G87" s="722">
        <f t="shared" si="64"/>
        <v>0.39</v>
      </c>
      <c r="H87" s="722">
        <f t="shared" si="64"/>
        <v>0.14000000000000001</v>
      </c>
      <c r="I87" s="722">
        <f t="shared" si="64"/>
        <v>0.70000000000000007</v>
      </c>
      <c r="J87" s="722">
        <f t="shared" si="64"/>
        <v>0.24</v>
      </c>
      <c r="K87" s="722">
        <f t="shared" si="64"/>
        <v>0.21</v>
      </c>
      <c r="L87" s="722">
        <f t="shared" si="64"/>
        <v>0.57999999999999996</v>
      </c>
      <c r="M87" s="722">
        <f t="shared" si="64"/>
        <v>0.15</v>
      </c>
      <c r="N87" s="759"/>
      <c r="O87" s="759"/>
      <c r="P87" s="759"/>
      <c r="Q87" s="759"/>
      <c r="R87" s="759"/>
      <c r="S87" s="759"/>
      <c r="T87" s="759"/>
      <c r="U87" s="759"/>
      <c r="V87" s="759"/>
      <c r="W87" s="759"/>
      <c r="X87" s="760"/>
      <c r="Y87" s="760"/>
      <c r="Z87" s="760"/>
      <c r="AA87" s="755"/>
      <c r="AB87" s="755"/>
    </row>
    <row r="88" spans="1:28" x14ac:dyDescent="0.25">
      <c r="A88" s="734"/>
      <c r="B88" s="745" t="s">
        <v>452</v>
      </c>
      <c r="C88" s="723">
        <f>C82</f>
        <v>6</v>
      </c>
      <c r="D88" s="723">
        <f t="shared" ref="D88:M88" si="65">D82</f>
        <v>6</v>
      </c>
      <c r="E88" s="723">
        <f t="shared" si="65"/>
        <v>5</v>
      </c>
      <c r="F88" s="723">
        <f t="shared" si="65"/>
        <v>6</v>
      </c>
      <c r="G88" s="723">
        <f t="shared" si="65"/>
        <v>6</v>
      </c>
      <c r="H88" s="723">
        <f t="shared" si="65"/>
        <v>7</v>
      </c>
      <c r="I88" s="723">
        <f t="shared" si="65"/>
        <v>7</v>
      </c>
      <c r="J88" s="723">
        <f t="shared" si="65"/>
        <v>5</v>
      </c>
      <c r="K88" s="723">
        <f t="shared" si="65"/>
        <v>6</v>
      </c>
      <c r="L88" s="723">
        <f t="shared" si="65"/>
        <v>6</v>
      </c>
      <c r="M88" s="723">
        <f t="shared" si="65"/>
        <v>5</v>
      </c>
      <c r="N88" s="759"/>
      <c r="O88" s="759"/>
      <c r="P88" s="759"/>
      <c r="Q88" s="759"/>
      <c r="R88" s="759"/>
      <c r="S88" s="759"/>
      <c r="T88" s="759"/>
      <c r="U88" s="759"/>
      <c r="V88" s="759"/>
      <c r="W88" s="759"/>
      <c r="X88" s="760"/>
      <c r="Y88" s="760"/>
      <c r="Z88" s="760"/>
      <c r="AA88" s="755"/>
      <c r="AB88" s="755"/>
    </row>
    <row r="89" spans="1:28" x14ac:dyDescent="0.25">
      <c r="A89" s="734"/>
      <c r="B89" s="745" t="s">
        <v>581</v>
      </c>
      <c r="C89" s="719">
        <f>IF(C87=0,HLOOKUP(C88,'Parts Cost'!$A$2:$J$13,2,TRUE),0)</f>
        <v>0</v>
      </c>
      <c r="D89" s="719">
        <f>IF(D87=0,HLOOKUP(D88,'Parts Cost'!$A$2:$J$13,3,TRUE),0)</f>
        <v>9650190.6814733017</v>
      </c>
      <c r="E89" s="719">
        <f>IF(E87=0,HLOOKUP(E88,'Parts Cost'!$A$2:$J$13,4,TRUE),0)</f>
        <v>0</v>
      </c>
      <c r="F89" s="719">
        <f>IF(F87=0,HLOOKUP(F88,'Parts Cost'!$A$2:$J$13,5,TRUE),0)</f>
        <v>0</v>
      </c>
      <c r="G89" s="719">
        <f>IF(G87=0,HLOOKUP(G88,'Parts Cost'!$A$2:$J$13,6,TRUE),0)</f>
        <v>0</v>
      </c>
      <c r="H89" s="719">
        <f>IF(H87=0,HLOOKUP(H88,'Parts Cost'!$A$2:$J$13,7,TRUE),0)</f>
        <v>0</v>
      </c>
      <c r="I89" s="719">
        <f>IF(I87=0,HLOOKUP(I88,'Parts Cost'!$A$2:$J$13,8,TRUE),0)</f>
        <v>0</v>
      </c>
      <c r="J89" s="719">
        <f>IF(J87=0,HLOOKUP(J88,'Parts Cost'!$A$2:$J$13,9,TRUE),0)</f>
        <v>0</v>
      </c>
      <c r="K89" s="719">
        <f>IF(K87=0,HLOOKUP(K88,'Parts Cost'!$A$2:$J$13,10,TRUE),0)</f>
        <v>0</v>
      </c>
      <c r="L89" s="719">
        <f>IF(L87=0,HLOOKUP(L88,'Parts Cost'!$A$2:$J$13,11,TRUE),0)</f>
        <v>0</v>
      </c>
      <c r="M89" s="719">
        <f>IF(M87=0,HLOOKUP(M88,'Parts Cost'!$A$2:$J$13,12,TRUE),0)</f>
        <v>0</v>
      </c>
      <c r="N89" s="759">
        <f>SUM(C89:M89)*-1</f>
        <v>-9650190.6814733017</v>
      </c>
      <c r="O89" s="759">
        <f t="shared" ref="O89:W89" si="66">O83</f>
        <v>-600000</v>
      </c>
      <c r="P89" s="759">
        <f t="shared" si="66"/>
        <v>-750000</v>
      </c>
      <c r="Q89" s="759">
        <f t="shared" si="66"/>
        <v>-1006307</v>
      </c>
      <c r="R89" s="759">
        <f t="shared" si="66"/>
        <v>-350350</v>
      </c>
      <c r="S89" s="759">
        <f t="shared" si="66"/>
        <v>0</v>
      </c>
      <c r="T89" s="759">
        <f t="shared" si="66"/>
        <v>-391000</v>
      </c>
      <c r="U89" s="759">
        <f t="shared" si="66"/>
        <v>0</v>
      </c>
      <c r="V89" s="759">
        <f t="shared" si="66"/>
        <v>-465000</v>
      </c>
      <c r="W89" s="759">
        <f t="shared" si="66"/>
        <v>-2500000</v>
      </c>
      <c r="X89" s="760">
        <f>X83</f>
        <v>13000000</v>
      </c>
      <c r="Y89" s="760">
        <f>Y83</f>
        <v>810000</v>
      </c>
      <c r="Z89" s="760">
        <f>Z83</f>
        <v>4081939</v>
      </c>
      <c r="AA89" s="755">
        <f>AB83</f>
        <v>76345421.153891042</v>
      </c>
      <c r="AB89" s="755">
        <f>SUM(N89:AA89)</f>
        <v>78524512.472417742</v>
      </c>
    </row>
    <row r="90" spans="1:28" x14ac:dyDescent="0.25">
      <c r="A90" s="734"/>
      <c r="B90" s="746" t="str">
        <f>VLOOKUP(15,Calendar!$A$1:$B$18,2,FALSE)</f>
        <v>Barcelona</v>
      </c>
      <c r="C90" s="720">
        <f>HLOOKUP(C$1,Wear!$A$1:$M$98,VLOOKUP($B90,Wear!$A$1:$M$98,2,FALSE),FALSE)</f>
        <v>0.19</v>
      </c>
      <c r="D90" s="720">
        <f>HLOOKUP(D$1,Wear!$A$1:$M$98,VLOOKUP($B90,Wear!$A$1:$M$98,2,FALSE),FALSE)</f>
        <v>0.45</v>
      </c>
      <c r="E90" s="720">
        <f>HLOOKUP(E$1,Wear!$A$1:$M$98,VLOOKUP($B90,Wear!$A$1:$M$98,2,FALSE),FALSE)</f>
        <v>0.3</v>
      </c>
      <c r="F90" s="720">
        <f>HLOOKUP(F$1,Wear!$A$1:$M$98,VLOOKUP($B90,Wear!$A$1:$M$98,2,FALSE),FALSE)</f>
        <v>0.35</v>
      </c>
      <c r="G90" s="720">
        <f>HLOOKUP(G$1,Wear!$A$1:$M$98,VLOOKUP($B90,Wear!$A$1:$M$98,2,FALSE),FALSE)</f>
        <v>0.23</v>
      </c>
      <c r="H90" s="720">
        <f>HLOOKUP(H$1,Wear!$A$1:$M$98,VLOOKUP($B90,Wear!$A$1:$M$98,2,FALSE),FALSE)</f>
        <v>0.16</v>
      </c>
      <c r="I90" s="720">
        <f>HLOOKUP(I$1,Wear!$A$1:$M$98,VLOOKUP($B90,Wear!$A$1:$M$98,2,FALSE),FALSE)</f>
        <v>0.15</v>
      </c>
      <c r="J90" s="720">
        <f>HLOOKUP(J$1,Wear!$A$1:$M$98,VLOOKUP($B90,Wear!$A$1:$M$98,2,FALSE),FALSE)</f>
        <v>0.24</v>
      </c>
      <c r="K90" s="720">
        <f>HLOOKUP(K$1,Wear!$A$1:$M$98,VLOOKUP($B90,Wear!$A$1:$M$98,2,FALSE),FALSE)</f>
        <v>0.37</v>
      </c>
      <c r="L90" s="720">
        <f>HLOOKUP(L$1,Wear!$A$1:$M$98,VLOOKUP($B90,Wear!$A$1:$M$98,2,FALSE),FALSE)</f>
        <v>0.28999999999999998</v>
      </c>
      <c r="M90" s="720">
        <f>HLOOKUP(M$1,Wear!$A$1:$M$98,VLOOKUP($B90,Wear!$A$1:$M$98,2,FALSE),FALSE)</f>
        <v>0.13</v>
      </c>
      <c r="N90" s="759"/>
      <c r="O90" s="759"/>
      <c r="P90" s="759"/>
      <c r="Q90" s="759"/>
      <c r="R90" s="759"/>
      <c r="S90" s="759"/>
      <c r="T90" s="759"/>
      <c r="U90" s="759"/>
      <c r="V90" s="759"/>
      <c r="W90" s="759"/>
      <c r="X90" s="760"/>
      <c r="Y90" s="760"/>
      <c r="Z90" s="760"/>
      <c r="AA90" s="755"/>
      <c r="AB90" s="755"/>
    </row>
    <row r="91" spans="1:28" s="704" customFormat="1" ht="21.75" thickBot="1" x14ac:dyDescent="0.3">
      <c r="A91" s="735"/>
      <c r="B91" s="747" t="str">
        <f>B85</f>
        <v>After Race</v>
      </c>
      <c r="C91" s="721">
        <f t="shared" ref="C91:M91" si="67">C90+C87</f>
        <v>0.91999999999999993</v>
      </c>
      <c r="D91" s="721">
        <f t="shared" si="67"/>
        <v>0.45</v>
      </c>
      <c r="E91" s="721">
        <f t="shared" si="67"/>
        <v>0.7</v>
      </c>
      <c r="F91" s="721">
        <f t="shared" si="67"/>
        <v>0.71</v>
      </c>
      <c r="G91" s="721">
        <f t="shared" si="67"/>
        <v>0.62</v>
      </c>
      <c r="H91" s="721">
        <f t="shared" si="67"/>
        <v>0.30000000000000004</v>
      </c>
      <c r="I91" s="721">
        <f t="shared" si="67"/>
        <v>0.85000000000000009</v>
      </c>
      <c r="J91" s="721">
        <f t="shared" si="67"/>
        <v>0.48</v>
      </c>
      <c r="K91" s="721">
        <f t="shared" si="67"/>
        <v>0.57999999999999996</v>
      </c>
      <c r="L91" s="721">
        <f t="shared" si="67"/>
        <v>0.86999999999999988</v>
      </c>
      <c r="M91" s="721">
        <f t="shared" si="67"/>
        <v>0.28000000000000003</v>
      </c>
      <c r="N91" s="761"/>
      <c r="O91" s="761"/>
      <c r="P91" s="761"/>
      <c r="Q91" s="761"/>
      <c r="R91" s="761"/>
      <c r="S91" s="761"/>
      <c r="T91" s="761"/>
      <c r="U91" s="761"/>
      <c r="V91" s="761"/>
      <c r="W91" s="761"/>
      <c r="X91" s="762"/>
      <c r="Y91" s="762"/>
      <c r="Z91" s="762"/>
      <c r="AA91" s="763"/>
      <c r="AB91" s="763"/>
    </row>
    <row r="92" spans="1:28" x14ac:dyDescent="0.25">
      <c r="A92" s="734">
        <v>16</v>
      </c>
      <c r="B92" s="748" t="s">
        <v>547</v>
      </c>
      <c r="C92" s="712">
        <f>C86</f>
        <v>0</v>
      </c>
      <c r="D92" s="712">
        <f t="shared" ref="D92:M92" si="68">D86</f>
        <v>0</v>
      </c>
      <c r="E92" s="712">
        <f t="shared" si="68"/>
        <v>0</v>
      </c>
      <c r="F92" s="712">
        <f t="shared" si="68"/>
        <v>0</v>
      </c>
      <c r="G92" s="712">
        <f t="shared" si="68"/>
        <v>0</v>
      </c>
      <c r="H92" s="712">
        <f t="shared" si="68"/>
        <v>0</v>
      </c>
      <c r="I92" s="712">
        <f t="shared" si="68"/>
        <v>0</v>
      </c>
      <c r="J92" s="712">
        <f t="shared" si="68"/>
        <v>0</v>
      </c>
      <c r="K92" s="712">
        <f t="shared" si="68"/>
        <v>0</v>
      </c>
      <c r="L92" s="712">
        <f t="shared" si="68"/>
        <v>0</v>
      </c>
      <c r="M92" s="712">
        <f t="shared" si="68"/>
        <v>0</v>
      </c>
      <c r="N92" s="759"/>
      <c r="O92" s="759"/>
      <c r="P92" s="759"/>
      <c r="Q92" s="759"/>
      <c r="R92" s="759"/>
      <c r="S92" s="759"/>
      <c r="T92" s="759"/>
      <c r="U92" s="759"/>
      <c r="V92" s="759"/>
      <c r="W92" s="759"/>
      <c r="X92" s="760"/>
      <c r="Y92" s="760"/>
      <c r="Z92" s="760"/>
      <c r="AA92" s="755"/>
      <c r="AB92" s="755"/>
    </row>
    <row r="93" spans="1:28" x14ac:dyDescent="0.25">
      <c r="A93" s="734"/>
      <c r="B93" s="745" t="s">
        <v>582</v>
      </c>
      <c r="C93" s="722">
        <f>IF(C92+C91+C96&gt;0.94,0,C92+C91)</f>
        <v>0</v>
      </c>
      <c r="D93" s="722">
        <f t="shared" ref="D93:M93" si="69">IF(D92+D91+D96&gt;0.94,0,D92+D91)</f>
        <v>0.45</v>
      </c>
      <c r="E93" s="722">
        <f t="shared" si="69"/>
        <v>0.7</v>
      </c>
      <c r="F93" s="722">
        <f t="shared" si="69"/>
        <v>0.71</v>
      </c>
      <c r="G93" s="722">
        <f t="shared" si="69"/>
        <v>0.62</v>
      </c>
      <c r="H93" s="722">
        <f t="shared" si="69"/>
        <v>0.30000000000000004</v>
      </c>
      <c r="I93" s="722">
        <f t="shared" si="69"/>
        <v>0</v>
      </c>
      <c r="J93" s="722">
        <f t="shared" si="69"/>
        <v>0.48</v>
      </c>
      <c r="K93" s="722">
        <f t="shared" si="69"/>
        <v>0.57999999999999996</v>
      </c>
      <c r="L93" s="722">
        <f t="shared" si="69"/>
        <v>0</v>
      </c>
      <c r="M93" s="722">
        <f t="shared" si="69"/>
        <v>0.28000000000000003</v>
      </c>
      <c r="N93" s="759"/>
      <c r="O93" s="759"/>
      <c r="P93" s="759"/>
      <c r="Q93" s="759"/>
      <c r="R93" s="759"/>
      <c r="S93" s="759"/>
      <c r="T93" s="759"/>
      <c r="U93" s="759"/>
      <c r="V93" s="759"/>
      <c r="W93" s="759"/>
      <c r="X93" s="760"/>
      <c r="Y93" s="760"/>
      <c r="Z93" s="760"/>
      <c r="AA93" s="755"/>
      <c r="AB93" s="755"/>
    </row>
    <row r="94" spans="1:28" x14ac:dyDescent="0.25">
      <c r="A94" s="734"/>
      <c r="B94" s="745" t="s">
        <v>452</v>
      </c>
      <c r="C94" s="723">
        <f>C88</f>
        <v>6</v>
      </c>
      <c r="D94" s="723">
        <f t="shared" ref="D94:M94" si="70">D88</f>
        <v>6</v>
      </c>
      <c r="E94" s="723">
        <f t="shared" si="70"/>
        <v>5</v>
      </c>
      <c r="F94" s="723">
        <f t="shared" si="70"/>
        <v>6</v>
      </c>
      <c r="G94" s="723">
        <f t="shared" si="70"/>
        <v>6</v>
      </c>
      <c r="H94" s="723">
        <f t="shared" si="70"/>
        <v>7</v>
      </c>
      <c r="I94" s="723">
        <f t="shared" si="70"/>
        <v>7</v>
      </c>
      <c r="J94" s="723">
        <f t="shared" si="70"/>
        <v>5</v>
      </c>
      <c r="K94" s="723">
        <f t="shared" si="70"/>
        <v>6</v>
      </c>
      <c r="L94" s="723">
        <f t="shared" si="70"/>
        <v>6</v>
      </c>
      <c r="M94" s="723">
        <f t="shared" si="70"/>
        <v>5</v>
      </c>
      <c r="N94" s="759"/>
      <c r="O94" s="759"/>
      <c r="P94" s="759"/>
      <c r="Q94" s="759"/>
      <c r="R94" s="759"/>
      <c r="S94" s="759"/>
      <c r="T94" s="759"/>
      <c r="U94" s="759"/>
      <c r="V94" s="759"/>
      <c r="W94" s="759"/>
      <c r="X94" s="760"/>
      <c r="Y94" s="760"/>
      <c r="Z94" s="760"/>
      <c r="AA94" s="755"/>
      <c r="AB94" s="755"/>
    </row>
    <row r="95" spans="1:28" x14ac:dyDescent="0.25">
      <c r="A95" s="734"/>
      <c r="B95" s="745" t="s">
        <v>581</v>
      </c>
      <c r="C95" s="719">
        <f>IF(C93=0,HLOOKUP(C94,'Parts Cost'!$A$2:$J$13,2,TRUE),0)</f>
        <v>3766376.3195087109</v>
      </c>
      <c r="D95" s="719">
        <f>IF(D93=0,HLOOKUP(D94,'Parts Cost'!$A$2:$J$13,3,TRUE),0)</f>
        <v>0</v>
      </c>
      <c r="E95" s="719">
        <f>IF(E93=0,HLOOKUP(E94,'Parts Cost'!$A$2:$J$13,4,TRUE),0)</f>
        <v>0</v>
      </c>
      <c r="F95" s="719">
        <f>IF(F93=0,HLOOKUP(F94,'Parts Cost'!$A$2:$J$13,5,TRUE),0)</f>
        <v>0</v>
      </c>
      <c r="G95" s="719">
        <f>IF(G93=0,HLOOKUP(G94,'Parts Cost'!$A$2:$J$13,6,TRUE),0)</f>
        <v>0</v>
      </c>
      <c r="H95" s="719">
        <f>IF(H93=0,HLOOKUP(H94,'Parts Cost'!$A$2:$J$13,7,TRUE),0)</f>
        <v>0</v>
      </c>
      <c r="I95" s="719">
        <f>IF(I93=0,HLOOKUP(I94,'Parts Cost'!$A$2:$J$13,8,TRUE),0)</f>
        <v>1640412.0484264854</v>
      </c>
      <c r="J95" s="719">
        <f>IF(J93=0,HLOOKUP(J94,'Parts Cost'!$A$2:$J$13,9,TRUE),0)</f>
        <v>0</v>
      </c>
      <c r="K95" s="719">
        <f>IF(K93=0,HLOOKUP(K94,'Parts Cost'!$A$2:$J$13,10,TRUE),0)</f>
        <v>0</v>
      </c>
      <c r="L95" s="719">
        <f>IF(L93=0,HLOOKUP(L94,'Parts Cost'!$A$2:$J$13,11,TRUE),0)</f>
        <v>3442946.8731186609</v>
      </c>
      <c r="M95" s="719">
        <f>IF(M93=0,HLOOKUP(M94,'Parts Cost'!$A$2:$J$13,12,TRUE),0)</f>
        <v>0</v>
      </c>
      <c r="N95" s="759">
        <f>SUM(C95:M95)*-1</f>
        <v>-8849735.2410538569</v>
      </c>
      <c r="O95" s="759">
        <f t="shared" ref="O95:W95" si="71">O89</f>
        <v>-600000</v>
      </c>
      <c r="P95" s="759">
        <f t="shared" si="71"/>
        <v>-750000</v>
      </c>
      <c r="Q95" s="759">
        <f t="shared" si="71"/>
        <v>-1006307</v>
      </c>
      <c r="R95" s="759">
        <f t="shared" si="71"/>
        <v>-350350</v>
      </c>
      <c r="S95" s="759">
        <f t="shared" si="71"/>
        <v>0</v>
      </c>
      <c r="T95" s="759">
        <f t="shared" si="71"/>
        <v>-391000</v>
      </c>
      <c r="U95" s="759">
        <f t="shared" si="71"/>
        <v>0</v>
      </c>
      <c r="V95" s="759">
        <f t="shared" si="71"/>
        <v>-465000</v>
      </c>
      <c r="W95" s="759">
        <f t="shared" si="71"/>
        <v>-2500000</v>
      </c>
      <c r="X95" s="760">
        <f>X89</f>
        <v>13000000</v>
      </c>
      <c r="Y95" s="760">
        <f>Y89</f>
        <v>810000</v>
      </c>
      <c r="Z95" s="760">
        <f>Z89</f>
        <v>4081939</v>
      </c>
      <c r="AA95" s="755">
        <f>AB89</f>
        <v>78524512.472417742</v>
      </c>
      <c r="AB95" s="755">
        <f>SUM(N95:AA95)</f>
        <v>81504059.231363893</v>
      </c>
    </row>
    <row r="96" spans="1:28" x14ac:dyDescent="0.25">
      <c r="A96" s="734"/>
      <c r="B96" s="746" t="str">
        <f>VLOOKUP(16,Calendar!$A$1:$B$18,2,FALSE)</f>
        <v>Grobnik</v>
      </c>
      <c r="C96" s="720">
        <f>HLOOKUP(C$1,Wear!$A$1:$M$98,VLOOKUP($B96,Wear!$A$1:$M$98,2,FALSE),FALSE)</f>
        <v>0.19</v>
      </c>
      <c r="D96" s="720">
        <f>HLOOKUP(D$1,Wear!$A$1:$M$98,VLOOKUP($B96,Wear!$A$1:$M$98,2,FALSE),FALSE)</f>
        <v>0.24</v>
      </c>
      <c r="E96" s="720">
        <f>HLOOKUP(E$1,Wear!$A$1:$M$98,VLOOKUP($B96,Wear!$A$1:$M$98,2,FALSE),FALSE)</f>
        <v>0.13</v>
      </c>
      <c r="F96" s="720">
        <f>HLOOKUP(F$1,Wear!$A$1:$M$98,VLOOKUP($B96,Wear!$A$1:$M$98,2,FALSE),FALSE)</f>
        <v>0.13</v>
      </c>
      <c r="G96" s="720">
        <f>HLOOKUP(G$1,Wear!$A$1:$M$98,VLOOKUP($B96,Wear!$A$1:$M$98,2,FALSE),FALSE)</f>
        <v>0.14000000000000001</v>
      </c>
      <c r="H96" s="720">
        <f>HLOOKUP(H$1,Wear!$A$1:$M$98,VLOOKUP($B96,Wear!$A$1:$M$98,2,FALSE),FALSE)</f>
        <v>0.19</v>
      </c>
      <c r="I96" s="720">
        <f>HLOOKUP(I$1,Wear!$A$1:$M$98,VLOOKUP($B96,Wear!$A$1:$M$98,2,FALSE),FALSE)</f>
        <v>0.16</v>
      </c>
      <c r="J96" s="720">
        <f>HLOOKUP(J$1,Wear!$A$1:$M$98,VLOOKUP($B96,Wear!$A$1:$M$98,2,FALSE),FALSE)</f>
        <v>0.25</v>
      </c>
      <c r="K96" s="720">
        <f>HLOOKUP(K$1,Wear!$A$1:$M$98,VLOOKUP($B96,Wear!$A$1:$M$98,2,FALSE),FALSE)</f>
        <v>0.13</v>
      </c>
      <c r="L96" s="720">
        <f>HLOOKUP(L$1,Wear!$A$1:$M$98,VLOOKUP($B96,Wear!$A$1:$M$98,2,FALSE),FALSE)</f>
        <v>0.27</v>
      </c>
      <c r="M96" s="720">
        <f>HLOOKUP(M$1,Wear!$A$1:$M$98,VLOOKUP($B96,Wear!$A$1:$M$98,2,FALSE),FALSE)</f>
        <v>0.1</v>
      </c>
      <c r="N96" s="759"/>
      <c r="O96" s="759"/>
      <c r="P96" s="759"/>
      <c r="Q96" s="759"/>
      <c r="R96" s="759"/>
      <c r="S96" s="759"/>
      <c r="T96" s="759"/>
      <c r="U96" s="759"/>
      <c r="V96" s="759"/>
      <c r="W96" s="759"/>
      <c r="X96" s="760"/>
      <c r="Y96" s="760"/>
      <c r="Z96" s="760"/>
      <c r="AA96" s="755"/>
      <c r="AB96" s="755"/>
    </row>
    <row r="97" spans="1:28" s="704" customFormat="1" ht="21.75" thickBot="1" x14ac:dyDescent="0.3">
      <c r="A97" s="735"/>
      <c r="B97" s="747" t="str">
        <f>B91</f>
        <v>After Race</v>
      </c>
      <c r="C97" s="721">
        <f t="shared" ref="C97:M97" si="72">C96+C93</f>
        <v>0.19</v>
      </c>
      <c r="D97" s="721">
        <f t="shared" si="72"/>
        <v>0.69</v>
      </c>
      <c r="E97" s="721">
        <f t="shared" si="72"/>
        <v>0.83</v>
      </c>
      <c r="F97" s="721">
        <f t="shared" si="72"/>
        <v>0.84</v>
      </c>
      <c r="G97" s="721">
        <f t="shared" si="72"/>
        <v>0.76</v>
      </c>
      <c r="H97" s="721">
        <f t="shared" si="72"/>
        <v>0.49000000000000005</v>
      </c>
      <c r="I97" s="721">
        <f t="shared" si="72"/>
        <v>0.16</v>
      </c>
      <c r="J97" s="721">
        <f t="shared" si="72"/>
        <v>0.73</v>
      </c>
      <c r="K97" s="721">
        <f t="shared" si="72"/>
        <v>0.71</v>
      </c>
      <c r="L97" s="721">
        <f t="shared" si="72"/>
        <v>0.27</v>
      </c>
      <c r="M97" s="721">
        <f t="shared" si="72"/>
        <v>0.38</v>
      </c>
      <c r="N97" s="761"/>
      <c r="O97" s="761"/>
      <c r="P97" s="761"/>
      <c r="Q97" s="761"/>
      <c r="R97" s="761"/>
      <c r="S97" s="761"/>
      <c r="T97" s="761"/>
      <c r="U97" s="761"/>
      <c r="V97" s="761"/>
      <c r="W97" s="761"/>
      <c r="X97" s="762"/>
      <c r="Y97" s="762"/>
      <c r="Z97" s="762"/>
      <c r="AA97" s="763"/>
      <c r="AB97" s="763"/>
    </row>
    <row r="98" spans="1:28" x14ac:dyDescent="0.25">
      <c r="A98" s="734">
        <v>17</v>
      </c>
      <c r="B98" s="748" t="s">
        <v>547</v>
      </c>
      <c r="C98" s="712">
        <f>C92</f>
        <v>0</v>
      </c>
      <c r="D98" s="712">
        <f t="shared" ref="D98:M98" si="73">D92</f>
        <v>0</v>
      </c>
      <c r="E98" s="712">
        <f t="shared" si="73"/>
        <v>0</v>
      </c>
      <c r="F98" s="712">
        <f t="shared" si="73"/>
        <v>0</v>
      </c>
      <c r="G98" s="712">
        <f t="shared" si="73"/>
        <v>0</v>
      </c>
      <c r="H98" s="712">
        <f t="shared" si="73"/>
        <v>0</v>
      </c>
      <c r="I98" s="712">
        <f t="shared" si="73"/>
        <v>0</v>
      </c>
      <c r="J98" s="712">
        <f t="shared" si="73"/>
        <v>0</v>
      </c>
      <c r="K98" s="712">
        <f t="shared" si="73"/>
        <v>0</v>
      </c>
      <c r="L98" s="712">
        <f t="shared" si="73"/>
        <v>0</v>
      </c>
      <c r="M98" s="712">
        <f t="shared" si="73"/>
        <v>0</v>
      </c>
      <c r="N98" s="759"/>
      <c r="O98" s="759"/>
      <c r="P98" s="759"/>
      <c r="Q98" s="759"/>
      <c r="R98" s="759"/>
      <c r="S98" s="759"/>
      <c r="T98" s="759"/>
      <c r="U98" s="759"/>
      <c r="V98" s="759"/>
      <c r="W98" s="759"/>
      <c r="X98" s="760"/>
      <c r="Y98" s="760"/>
      <c r="Z98" s="760"/>
      <c r="AA98" s="755"/>
      <c r="AB98" s="755"/>
    </row>
    <row r="99" spans="1:28" x14ac:dyDescent="0.25">
      <c r="A99" s="734"/>
      <c r="B99" s="745" t="s">
        <v>582</v>
      </c>
      <c r="C99" s="722">
        <f>IF(C98+C97+C102&gt;0.94,0,C98+C97)</f>
        <v>0.19</v>
      </c>
      <c r="D99" s="722">
        <f t="shared" ref="D99:M99" si="74">IF(D98+D97+D102&gt;0.94,0,D98+D97)</f>
        <v>0</v>
      </c>
      <c r="E99" s="722">
        <f t="shared" si="74"/>
        <v>0</v>
      </c>
      <c r="F99" s="722">
        <f t="shared" si="74"/>
        <v>0</v>
      </c>
      <c r="G99" s="722">
        <f t="shared" si="74"/>
        <v>0</v>
      </c>
      <c r="H99" s="722">
        <f t="shared" si="74"/>
        <v>0.49000000000000005</v>
      </c>
      <c r="I99" s="722">
        <f t="shared" si="74"/>
        <v>0.16</v>
      </c>
      <c r="J99" s="722">
        <f t="shared" si="74"/>
        <v>0</v>
      </c>
      <c r="K99" s="722">
        <f t="shared" si="74"/>
        <v>0.71</v>
      </c>
      <c r="L99" s="722">
        <f t="shared" si="74"/>
        <v>0.27</v>
      </c>
      <c r="M99" s="722">
        <f t="shared" si="74"/>
        <v>0.38</v>
      </c>
      <c r="N99" s="759"/>
      <c r="O99" s="759"/>
      <c r="P99" s="759"/>
      <c r="Q99" s="759"/>
      <c r="R99" s="759"/>
      <c r="S99" s="759"/>
      <c r="T99" s="759"/>
      <c r="U99" s="759"/>
      <c r="V99" s="759"/>
      <c r="W99" s="759"/>
      <c r="X99" s="760"/>
      <c r="Y99" s="760"/>
      <c r="Z99" s="760"/>
      <c r="AA99" s="755"/>
      <c r="AB99" s="755"/>
    </row>
    <row r="100" spans="1:28" x14ac:dyDescent="0.25">
      <c r="A100" s="734"/>
      <c r="B100" s="745" t="s">
        <v>452</v>
      </c>
      <c r="C100" s="723">
        <f>C94</f>
        <v>6</v>
      </c>
      <c r="D100" s="723">
        <f t="shared" ref="D100:M100" si="75">D94</f>
        <v>6</v>
      </c>
      <c r="E100" s="723">
        <f t="shared" si="75"/>
        <v>5</v>
      </c>
      <c r="F100" s="723">
        <f t="shared" si="75"/>
        <v>6</v>
      </c>
      <c r="G100" s="723">
        <f t="shared" si="75"/>
        <v>6</v>
      </c>
      <c r="H100" s="723">
        <f t="shared" si="75"/>
        <v>7</v>
      </c>
      <c r="I100" s="723">
        <f t="shared" si="75"/>
        <v>7</v>
      </c>
      <c r="J100" s="723">
        <f t="shared" si="75"/>
        <v>5</v>
      </c>
      <c r="K100" s="723">
        <f t="shared" si="75"/>
        <v>6</v>
      </c>
      <c r="L100" s="723">
        <f t="shared" si="75"/>
        <v>6</v>
      </c>
      <c r="M100" s="723">
        <f t="shared" si="75"/>
        <v>5</v>
      </c>
      <c r="N100" s="759"/>
      <c r="O100" s="759"/>
      <c r="P100" s="759"/>
      <c r="Q100" s="759"/>
      <c r="R100" s="759"/>
      <c r="S100" s="759"/>
      <c r="T100" s="759"/>
      <c r="U100" s="759"/>
      <c r="V100" s="759"/>
      <c r="W100" s="759"/>
      <c r="X100" s="760"/>
      <c r="Y100" s="760"/>
      <c r="Z100" s="760"/>
      <c r="AA100" s="755"/>
      <c r="AB100" s="755"/>
    </row>
    <row r="101" spans="1:28" x14ac:dyDescent="0.25">
      <c r="A101" s="734"/>
      <c r="B101" s="745" t="s">
        <v>581</v>
      </c>
      <c r="C101" s="719">
        <f>IF(C99=0,HLOOKUP(C100,'Parts Cost'!$A$2:$J$13,2,TRUE),0)</f>
        <v>0</v>
      </c>
      <c r="D101" s="719">
        <f>IF(D99=0,HLOOKUP(D100,'Parts Cost'!$A$2:$J$13,3,TRUE),0)</f>
        <v>9650190.6814733017</v>
      </c>
      <c r="E101" s="719">
        <f>IF(E99=0,HLOOKUP(E100,'Parts Cost'!$A$2:$J$13,4,TRUE),0)</f>
        <v>3650017.5572416415</v>
      </c>
      <c r="F101" s="719">
        <f>IF(F99=0,HLOOKUP(F100,'Parts Cost'!$A$2:$J$13,5,TRUE),0)</f>
        <v>4382927.3607661808</v>
      </c>
      <c r="G101" s="719">
        <f>IF(G99=0,HLOOKUP(G100,'Parts Cost'!$A$2:$J$13,6,TRUE),0)</f>
        <v>1486480.5000996797</v>
      </c>
      <c r="H101" s="719">
        <f>IF(H99=0,HLOOKUP(H100,'Parts Cost'!$A$2:$J$13,7,TRUE),0)</f>
        <v>0</v>
      </c>
      <c r="I101" s="719">
        <f>IF(I99=0,HLOOKUP(I100,'Parts Cost'!$A$2:$J$13,8,TRUE),0)</f>
        <v>0</v>
      </c>
      <c r="J101" s="719">
        <f>IF(J99=0,HLOOKUP(J100,'Parts Cost'!$A$2:$J$13,9,TRUE),0)</f>
        <v>7289202.8474226771</v>
      </c>
      <c r="K101" s="719">
        <f>IF(K99=0,HLOOKUP(K100,'Parts Cost'!$A$2:$J$13,10,TRUE),0)</f>
        <v>0</v>
      </c>
      <c r="L101" s="719">
        <f>IF(L99=0,HLOOKUP(L100,'Parts Cost'!$A$2:$J$13,11,TRUE),0)</f>
        <v>0</v>
      </c>
      <c r="M101" s="719">
        <f>IF(M99=0,HLOOKUP(M100,'Parts Cost'!$A$2:$J$13,12,TRUE),0)</f>
        <v>0</v>
      </c>
      <c r="N101" s="759">
        <f>SUM(C101:M101)*-1</f>
        <v>-26458818.947003484</v>
      </c>
      <c r="O101" s="759">
        <f t="shared" ref="O101:W101" si="76">O95</f>
        <v>-600000</v>
      </c>
      <c r="P101" s="759">
        <f t="shared" si="76"/>
        <v>-750000</v>
      </c>
      <c r="Q101" s="759">
        <f t="shared" si="76"/>
        <v>-1006307</v>
      </c>
      <c r="R101" s="759">
        <f t="shared" si="76"/>
        <v>-350350</v>
      </c>
      <c r="S101" s="759">
        <f t="shared" si="76"/>
        <v>0</v>
      </c>
      <c r="T101" s="759">
        <f t="shared" si="76"/>
        <v>-391000</v>
      </c>
      <c r="U101" s="759">
        <f t="shared" si="76"/>
        <v>0</v>
      </c>
      <c r="V101" s="759">
        <f t="shared" si="76"/>
        <v>-465000</v>
      </c>
      <c r="W101" s="759">
        <f t="shared" si="76"/>
        <v>-2500000</v>
      </c>
      <c r="X101" s="760">
        <f>X95</f>
        <v>13000000</v>
      </c>
      <c r="Y101" s="760">
        <f>Y95</f>
        <v>810000</v>
      </c>
      <c r="Z101" s="760">
        <f>Z95</f>
        <v>4081939</v>
      </c>
      <c r="AA101" s="755">
        <f>AB95</f>
        <v>81504059.231363893</v>
      </c>
      <c r="AB101" s="755">
        <f>SUM(N101:AA101)</f>
        <v>66874522.284360409</v>
      </c>
    </row>
    <row r="102" spans="1:28" x14ac:dyDescent="0.25">
      <c r="A102" s="734"/>
      <c r="B102" s="746" t="str">
        <f>VLOOKUP(17,Calendar!$A$1:$B$19,2,FALSE)</f>
        <v>Silverstone</v>
      </c>
      <c r="C102" s="720">
        <f>HLOOKUP(C$1,Wear!$A$1:$M$98,VLOOKUP($B102,Wear!$A$1:$M$98,2,FALSE),FALSE)</f>
        <v>0.16</v>
      </c>
      <c r="D102" s="720">
        <f>HLOOKUP(D$1,Wear!$A$1:$M$98,VLOOKUP($B102,Wear!$A$1:$M$98,2,FALSE),FALSE)</f>
        <v>0.36</v>
      </c>
      <c r="E102" s="720">
        <f>HLOOKUP(E$1,Wear!$A$1:$M$98,VLOOKUP($B102,Wear!$A$1:$M$98,2,FALSE),FALSE)</f>
        <v>0.14000000000000001</v>
      </c>
      <c r="F102" s="720">
        <f>HLOOKUP(F$1,Wear!$A$1:$M$98,VLOOKUP($B102,Wear!$A$1:$M$98,2,FALSE),FALSE)</f>
        <v>0.18</v>
      </c>
      <c r="G102" s="720">
        <f>HLOOKUP(G$1,Wear!$A$1:$M$98,VLOOKUP($B102,Wear!$A$1:$M$98,2,FALSE),FALSE)</f>
        <v>0.19</v>
      </c>
      <c r="H102" s="720">
        <f>HLOOKUP(H$1,Wear!$A$1:$M$98,VLOOKUP($B102,Wear!$A$1:$M$98,2,FALSE),FALSE)</f>
        <v>0.12</v>
      </c>
      <c r="I102" s="720">
        <f>HLOOKUP(I$1,Wear!$A$1:$M$98,VLOOKUP($B102,Wear!$A$1:$M$98,2,FALSE),FALSE)</f>
        <v>0.11</v>
      </c>
      <c r="J102" s="720">
        <f>HLOOKUP(J$1,Wear!$A$1:$M$98,VLOOKUP($B102,Wear!$A$1:$M$98,2,FALSE),FALSE)</f>
        <v>0.25</v>
      </c>
      <c r="K102" s="720">
        <f>HLOOKUP(K$1,Wear!$A$1:$M$98,VLOOKUP($B102,Wear!$A$1:$M$98,2,FALSE),FALSE)</f>
        <v>0.18</v>
      </c>
      <c r="L102" s="720">
        <f>HLOOKUP(L$1,Wear!$A$1:$M$98,VLOOKUP($B102,Wear!$A$1:$M$98,2,FALSE),FALSE)</f>
        <v>0.15</v>
      </c>
      <c r="M102" s="720">
        <f>HLOOKUP(M$1,Wear!$A$1:$M$98,VLOOKUP($B102,Wear!$A$1:$M$98,2,FALSE),FALSE)</f>
        <v>0.09</v>
      </c>
      <c r="N102" s="754"/>
      <c r="O102" s="754"/>
      <c r="P102" s="754"/>
      <c r="Q102" s="754"/>
      <c r="R102" s="754"/>
      <c r="S102" s="754"/>
      <c r="T102" s="754"/>
      <c r="U102" s="754"/>
      <c r="V102" s="754"/>
      <c r="W102" s="754"/>
      <c r="X102" s="764"/>
      <c r="Y102" s="764"/>
      <c r="Z102" s="764"/>
      <c r="AA102" s="754"/>
      <c r="AB102" s="754"/>
    </row>
    <row r="103" spans="1:28" s="704" customFormat="1" ht="21.75" thickBot="1" x14ac:dyDescent="0.3">
      <c r="A103" s="735"/>
      <c r="B103" s="747" t="str">
        <f>B97</f>
        <v>After Race</v>
      </c>
      <c r="C103" s="724">
        <f t="shared" ref="C103:M103" si="77">C102+C99</f>
        <v>0.35</v>
      </c>
      <c r="D103" s="724">
        <f t="shared" si="77"/>
        <v>0.36</v>
      </c>
      <c r="E103" s="724">
        <f t="shared" si="77"/>
        <v>0.14000000000000001</v>
      </c>
      <c r="F103" s="724">
        <f t="shared" si="77"/>
        <v>0.18</v>
      </c>
      <c r="G103" s="724">
        <f t="shared" si="77"/>
        <v>0.19</v>
      </c>
      <c r="H103" s="724">
        <f t="shared" si="77"/>
        <v>0.6100000000000001</v>
      </c>
      <c r="I103" s="724">
        <f t="shared" si="77"/>
        <v>0.27</v>
      </c>
      <c r="J103" s="724">
        <f t="shared" si="77"/>
        <v>0.25</v>
      </c>
      <c r="K103" s="724">
        <f t="shared" si="77"/>
        <v>0.8899999999999999</v>
      </c>
      <c r="L103" s="724">
        <f t="shared" si="77"/>
        <v>0.42000000000000004</v>
      </c>
      <c r="M103" s="724">
        <f t="shared" si="77"/>
        <v>0.47</v>
      </c>
      <c r="N103" s="765"/>
      <c r="O103" s="765"/>
      <c r="P103" s="765"/>
      <c r="Q103" s="765"/>
      <c r="R103" s="765"/>
      <c r="S103" s="765"/>
      <c r="T103" s="765"/>
      <c r="U103" s="765"/>
      <c r="V103" s="765"/>
      <c r="W103" s="765"/>
      <c r="X103" s="766"/>
      <c r="Y103" s="766"/>
      <c r="Z103" s="766"/>
      <c r="AA103" s="765"/>
      <c r="AB103" s="765"/>
    </row>
    <row r="104" spans="1:28" x14ac:dyDescent="0.25">
      <c r="C104" s="725"/>
      <c r="D104" s="725"/>
      <c r="E104" s="725"/>
      <c r="F104" s="725"/>
      <c r="G104" s="725"/>
      <c r="H104" s="725"/>
      <c r="I104" s="725"/>
      <c r="J104" s="725"/>
      <c r="K104" s="725"/>
      <c r="L104" s="725"/>
      <c r="M104" s="725"/>
      <c r="N104" s="754"/>
      <c r="O104" s="754"/>
      <c r="P104" s="754"/>
      <c r="Q104" s="754"/>
      <c r="R104" s="754"/>
      <c r="S104" s="754"/>
      <c r="T104" s="754"/>
      <c r="U104" s="754"/>
      <c r="V104" s="754"/>
      <c r="W104" s="754"/>
      <c r="X104" s="764"/>
      <c r="Y104" s="764"/>
      <c r="Z104" s="764"/>
      <c r="AA104" s="754"/>
      <c r="AB104" s="754"/>
    </row>
    <row r="105" spans="1:28" x14ac:dyDescent="0.25">
      <c r="N105" s="767"/>
      <c r="O105" s="759"/>
      <c r="P105" s="759"/>
      <c r="Q105" s="759"/>
      <c r="R105" s="759"/>
      <c r="S105" s="759"/>
      <c r="T105" s="759"/>
      <c r="U105" s="759"/>
      <c r="V105" s="759"/>
      <c r="W105" s="759"/>
      <c r="X105" s="760"/>
      <c r="Y105" s="760"/>
      <c r="Z105" s="760"/>
      <c r="AA105" s="755"/>
      <c r="AB105" s="755"/>
    </row>
    <row r="106" spans="1:28" ht="30" x14ac:dyDescent="0.25">
      <c r="M106" s="706" t="s">
        <v>866</v>
      </c>
      <c r="N106" s="771">
        <f>SUM(N11:N101)</f>
        <v>-216099159.71563962</v>
      </c>
      <c r="O106" s="771"/>
      <c r="P106" s="754"/>
      <c r="Q106" s="754"/>
      <c r="R106" s="754"/>
      <c r="S106" s="754"/>
      <c r="T106" s="754"/>
      <c r="U106" s="754"/>
      <c r="V106" s="754"/>
      <c r="W106" s="754"/>
      <c r="X106" s="754"/>
      <c r="Y106" s="754"/>
      <c r="Z106" s="754"/>
      <c r="AA106" s="754"/>
      <c r="AB106" s="754"/>
    </row>
    <row r="107" spans="1:28" ht="30" x14ac:dyDescent="0.25">
      <c r="M107" s="706" t="s">
        <v>867</v>
      </c>
      <c r="N107" s="771">
        <f>SUM(N5:W105)</f>
        <v>-332080097.71563965</v>
      </c>
      <c r="O107" s="771"/>
      <c r="P107" s="754"/>
      <c r="Q107" s="754"/>
      <c r="R107" s="754"/>
      <c r="S107" s="754"/>
      <c r="T107" s="754"/>
      <c r="U107" s="754"/>
      <c r="V107" s="754"/>
      <c r="W107" s="754"/>
      <c r="X107" s="754"/>
      <c r="Y107" s="754"/>
      <c r="Z107" s="754"/>
      <c r="AA107" s="754"/>
      <c r="AB107" s="754"/>
    </row>
    <row r="108" spans="1:28" ht="30" x14ac:dyDescent="0.25">
      <c r="B108" s="749"/>
      <c r="M108" s="706" t="s">
        <v>868</v>
      </c>
      <c r="N108" s="771">
        <f>SUM(X5:Z105)</f>
        <v>298043845</v>
      </c>
      <c r="O108" s="771"/>
    </row>
  </sheetData>
  <sheetProtection selectLockedCells="1"/>
  <customSheetViews>
    <customSheetView guid="{58F65609-3622-42C4-9926-1A56B88F9C36}">
      <selection activeCell="C5" sqref="C5"/>
      <pageMargins left="0.7" right="0.7" top="0.75" bottom="0.75" header="0.3" footer="0.3"/>
    </customSheetView>
  </customSheetViews>
  <mergeCells count="3">
    <mergeCell ref="N106:O106"/>
    <mergeCell ref="N107:O107"/>
    <mergeCell ref="N108:O108"/>
  </mergeCells>
  <conditionalFormatting sqref="C3:M3 C5:M5">
    <cfRule type="cellIs" dxfId="93" priority="75" stopIfTrue="1" operator="between">
      <formula>0.95</formula>
      <formula>1</formula>
    </cfRule>
    <cfRule type="cellIs" dxfId="92" priority="76" stopIfTrue="1" operator="between">
      <formula>0.95</formula>
      <formula>1.5</formula>
    </cfRule>
  </conditionalFormatting>
  <conditionalFormatting sqref="B18:B19 A14:A15 B24:B25 A20:A21 B30:B31 A26:A27 B36:B37 A32:A33 B42:B43 A38:A39 B48:B49 A44:A45 B54:B55 A50:A51 B60:B61 A56:A57 B66:B67 A62:A63 B72:B73 A68:A69 B84:B85 A80:A81 B90:B91 A86:A87 B96:B97 A92:A93 B102:B103 A98:A99 B12:B13 A8:A9 B9:B10 A7:B8 B6 A4">
    <cfRule type="cellIs" dxfId="91" priority="77" stopIfTrue="1" operator="equal">
      <formula>"""0.0"""</formula>
    </cfRule>
  </conditionalFormatting>
  <conditionalFormatting sqref="A74:A75 B78">
    <cfRule type="cellIs" dxfId="90" priority="78" stopIfTrue="1" operator="equal">
      <formula>"""0.0"""</formula>
    </cfRule>
  </conditionalFormatting>
  <conditionalFormatting sqref="B79">
    <cfRule type="cellIs" dxfId="89" priority="79" stopIfTrue="1" operator="equal">
      <formula>"""0.0"""</formula>
    </cfRule>
  </conditionalFormatting>
  <conditionalFormatting sqref="B15">
    <cfRule type="cellIs" dxfId="88" priority="80" stopIfTrue="1" operator="equal">
      <formula>"""0.0"""</formula>
    </cfRule>
  </conditionalFormatting>
  <conditionalFormatting sqref="B21">
    <cfRule type="cellIs" dxfId="87" priority="81" stopIfTrue="1" operator="equal">
      <formula>"""0.0"""</formula>
    </cfRule>
  </conditionalFormatting>
  <conditionalFormatting sqref="B27">
    <cfRule type="cellIs" dxfId="86" priority="82" stopIfTrue="1" operator="equal">
      <formula>"""0.0"""</formula>
    </cfRule>
  </conditionalFormatting>
  <conditionalFormatting sqref="B33">
    <cfRule type="cellIs" dxfId="85" priority="83" stopIfTrue="1" operator="equal">
      <formula>"""0.0"""</formula>
    </cfRule>
  </conditionalFormatting>
  <conditionalFormatting sqref="B39">
    <cfRule type="cellIs" dxfId="84" priority="84" stopIfTrue="1" operator="equal">
      <formula>"""0.0"""</formula>
    </cfRule>
  </conditionalFormatting>
  <conditionalFormatting sqref="B45">
    <cfRule type="cellIs" dxfId="83" priority="85" stopIfTrue="1" operator="equal">
      <formula>"""0.0"""</formula>
    </cfRule>
  </conditionalFormatting>
  <conditionalFormatting sqref="B51">
    <cfRule type="cellIs" dxfId="82" priority="86" stopIfTrue="1" operator="equal">
      <formula>"""0.0"""</formula>
    </cfRule>
  </conditionalFormatting>
  <conditionalFormatting sqref="B57">
    <cfRule type="cellIs" dxfId="81" priority="87" stopIfTrue="1" operator="equal">
      <formula>"""0.0"""</formula>
    </cfRule>
  </conditionalFormatting>
  <conditionalFormatting sqref="B63">
    <cfRule type="cellIs" dxfId="80" priority="88" stopIfTrue="1" operator="equal">
      <formula>"""0.0"""</formula>
    </cfRule>
  </conditionalFormatting>
  <conditionalFormatting sqref="B69">
    <cfRule type="cellIs" dxfId="79" priority="89" stopIfTrue="1" operator="equal">
      <formula>"""0.0"""</formula>
    </cfRule>
  </conditionalFormatting>
  <conditionalFormatting sqref="B75">
    <cfRule type="cellIs" dxfId="78" priority="90" stopIfTrue="1" operator="equal">
      <formula>"""0.0"""</formula>
    </cfRule>
  </conditionalFormatting>
  <conditionalFormatting sqref="B81">
    <cfRule type="cellIs" dxfId="77" priority="91" stopIfTrue="1" operator="equal">
      <formula>"""0.0"""</formula>
    </cfRule>
  </conditionalFormatting>
  <conditionalFormatting sqref="B87">
    <cfRule type="cellIs" dxfId="76" priority="92" stopIfTrue="1" operator="equal">
      <formula>"""0.0"""</formula>
    </cfRule>
  </conditionalFormatting>
  <conditionalFormatting sqref="B93">
    <cfRule type="cellIs" dxfId="75" priority="93" stopIfTrue="1" operator="equal">
      <formula>"""0.0"""</formula>
    </cfRule>
  </conditionalFormatting>
  <conditionalFormatting sqref="B99">
    <cfRule type="cellIs" dxfId="74" priority="94" stopIfTrue="1" operator="equal">
      <formula>"""0.0"""</formula>
    </cfRule>
  </conditionalFormatting>
  <conditionalFormatting sqref="B105">
    <cfRule type="cellIs" dxfId="73" priority="95" stopIfTrue="1" operator="equal">
      <formula>"""0.0"""</formula>
    </cfRule>
  </conditionalFormatting>
  <conditionalFormatting sqref="B17">
    <cfRule type="cellIs" dxfId="72" priority="97" stopIfTrue="1" operator="equal">
      <formula>"""0.0"""</formula>
    </cfRule>
  </conditionalFormatting>
  <conditionalFormatting sqref="B23">
    <cfRule type="cellIs" dxfId="71" priority="98" stopIfTrue="1" operator="equal">
      <formula>"""0.0"""</formula>
    </cfRule>
  </conditionalFormatting>
  <conditionalFormatting sqref="B29">
    <cfRule type="cellIs" dxfId="70" priority="99" stopIfTrue="1" operator="equal">
      <formula>"""0.0"""</formula>
    </cfRule>
  </conditionalFormatting>
  <conditionalFormatting sqref="B35">
    <cfRule type="cellIs" dxfId="69" priority="100" stopIfTrue="1" operator="equal">
      <formula>"""0.0"""</formula>
    </cfRule>
  </conditionalFormatting>
  <conditionalFormatting sqref="B101">
    <cfRule type="cellIs" dxfId="68" priority="101" stopIfTrue="1" operator="equal">
      <formula>"""0.0"""</formula>
    </cfRule>
  </conditionalFormatting>
  <conditionalFormatting sqref="B41">
    <cfRule type="cellIs" dxfId="67" priority="102" stopIfTrue="1" operator="equal">
      <formula>"""0.0"""</formula>
    </cfRule>
  </conditionalFormatting>
  <conditionalFormatting sqref="B47">
    <cfRule type="cellIs" dxfId="66" priority="103" stopIfTrue="1" operator="equal">
      <formula>"""0.0"""</formula>
    </cfRule>
  </conditionalFormatting>
  <conditionalFormatting sqref="B53">
    <cfRule type="cellIs" dxfId="65" priority="104" stopIfTrue="1" operator="equal">
      <formula>"""0.0"""</formula>
    </cfRule>
  </conditionalFormatting>
  <conditionalFormatting sqref="B59">
    <cfRule type="cellIs" dxfId="64" priority="105" stopIfTrue="1" operator="equal">
      <formula>"""0.0"""</formula>
    </cfRule>
  </conditionalFormatting>
  <conditionalFormatting sqref="B65">
    <cfRule type="cellIs" dxfId="63" priority="106" stopIfTrue="1" operator="equal">
      <formula>"""0.0"""</formula>
    </cfRule>
  </conditionalFormatting>
  <conditionalFormatting sqref="B71">
    <cfRule type="cellIs" dxfId="62" priority="107" stopIfTrue="1" operator="equal">
      <formula>"""0.0"""</formula>
    </cfRule>
  </conditionalFormatting>
  <conditionalFormatting sqref="B77">
    <cfRule type="cellIs" dxfId="61" priority="108" stopIfTrue="1" operator="equal">
      <formula>"""0.0"""</formula>
    </cfRule>
  </conditionalFormatting>
  <conditionalFormatting sqref="B83">
    <cfRule type="cellIs" dxfId="60" priority="109" stopIfTrue="1" operator="equal">
      <formula>"""0.0"""</formula>
    </cfRule>
  </conditionalFormatting>
  <conditionalFormatting sqref="B89">
    <cfRule type="cellIs" dxfId="59" priority="110" stopIfTrue="1" operator="equal">
      <formula>"""0.0"""</formula>
    </cfRule>
  </conditionalFormatting>
  <conditionalFormatting sqref="B95">
    <cfRule type="cellIs" dxfId="58" priority="111" stopIfTrue="1" operator="equal">
      <formula>"""0.0"""</formula>
    </cfRule>
  </conditionalFormatting>
  <conditionalFormatting sqref="B16">
    <cfRule type="cellIs" dxfId="57" priority="112" stopIfTrue="1" operator="equal">
      <formula>"""0.0"""</formula>
    </cfRule>
  </conditionalFormatting>
  <conditionalFormatting sqref="B22">
    <cfRule type="cellIs" dxfId="56" priority="113" stopIfTrue="1" operator="equal">
      <formula>"""0.0"""</formula>
    </cfRule>
  </conditionalFormatting>
  <conditionalFormatting sqref="B28">
    <cfRule type="cellIs" dxfId="55" priority="114" stopIfTrue="1" operator="equal">
      <formula>"""0.0"""</formula>
    </cfRule>
  </conditionalFormatting>
  <conditionalFormatting sqref="B34">
    <cfRule type="cellIs" dxfId="54" priority="115" stopIfTrue="1" operator="equal">
      <formula>"""0.0"""</formula>
    </cfRule>
  </conditionalFormatting>
  <conditionalFormatting sqref="B40">
    <cfRule type="cellIs" dxfId="53" priority="116" stopIfTrue="1" operator="equal">
      <formula>"""0.0"""</formula>
    </cfRule>
  </conditionalFormatting>
  <conditionalFormatting sqref="B46">
    <cfRule type="cellIs" dxfId="52" priority="117" stopIfTrue="1" operator="equal">
      <formula>"""0.0"""</formula>
    </cfRule>
  </conditionalFormatting>
  <conditionalFormatting sqref="B52">
    <cfRule type="cellIs" dxfId="51" priority="118" stopIfTrue="1" operator="equal">
      <formula>"""0.0"""</formula>
    </cfRule>
  </conditionalFormatting>
  <conditionalFormatting sqref="B58">
    <cfRule type="cellIs" dxfId="50" priority="119" stopIfTrue="1" operator="equal">
      <formula>"""0.0"""</formula>
    </cfRule>
  </conditionalFormatting>
  <conditionalFormatting sqref="B64">
    <cfRule type="cellIs" dxfId="49" priority="120" stopIfTrue="1" operator="equal">
      <formula>"""0.0"""</formula>
    </cfRule>
  </conditionalFormatting>
  <conditionalFormatting sqref="B70">
    <cfRule type="cellIs" dxfId="48" priority="121" stopIfTrue="1" operator="equal">
      <formula>"""0.0"""</formula>
    </cfRule>
  </conditionalFormatting>
  <conditionalFormatting sqref="B76">
    <cfRule type="cellIs" dxfId="47" priority="122" stopIfTrue="1" operator="equal">
      <formula>"""0.0"""</formula>
    </cfRule>
  </conditionalFormatting>
  <conditionalFormatting sqref="B82">
    <cfRule type="cellIs" dxfId="46" priority="123" stopIfTrue="1" operator="equal">
      <formula>"""0.0"""</formula>
    </cfRule>
  </conditionalFormatting>
  <conditionalFormatting sqref="B88">
    <cfRule type="cellIs" dxfId="45" priority="124" stopIfTrue="1" operator="equal">
      <formula>"""0.0"""</formula>
    </cfRule>
  </conditionalFormatting>
  <conditionalFormatting sqref="B94">
    <cfRule type="cellIs" dxfId="44" priority="125" stopIfTrue="1" operator="equal">
      <formula>"""0.0"""</formula>
    </cfRule>
  </conditionalFormatting>
  <conditionalFormatting sqref="B100">
    <cfRule type="cellIs" dxfId="43" priority="126" stopIfTrue="1" operator="equal">
      <formula>"""0.0"""</formula>
    </cfRule>
  </conditionalFormatting>
  <conditionalFormatting sqref="B11">
    <cfRule type="cellIs" dxfId="42" priority="74" stopIfTrue="1" operator="equal">
      <formula>"""0.0"""</formula>
    </cfRule>
  </conditionalFormatting>
  <conditionalFormatting sqref="C7:M7 C13:M13 C19:M19 C25:M25 C31:M31 C37:M37 C43:M43 C49:M49 C55:M55 C61:M61 C67:M67 C73:M73 C79:M79 C85:M85 C91:M91 C97:M97 C103:M103">
    <cfRule type="colorScale" priority="73">
      <colorScale>
        <cfvo type="min"/>
        <cfvo type="num" val="0.7"/>
        <cfvo type="max"/>
        <color rgb="FF00B050"/>
        <color rgb="FFFFFF00"/>
        <color rgb="FFC00000"/>
      </colorScale>
    </cfRule>
  </conditionalFormatting>
  <conditionalFormatting sqref="B4">
    <cfRule type="cellIs" dxfId="41" priority="72" stopIfTrue="1" operator="equal">
      <formula>"""0.0"""</formula>
    </cfRule>
  </conditionalFormatting>
  <conditionalFormatting sqref="N2:AB2 Y3:AB3 N3:W3 N106:N108 P106:AB108 N4:AB105">
    <cfRule type="cellIs" dxfId="40" priority="71" operator="lessThan">
      <formula>0</formula>
    </cfRule>
  </conditionalFormatting>
  <conditionalFormatting sqref="C8:M8">
    <cfRule type="cellIs" dxfId="39" priority="67" stopIfTrue="1" operator="between">
      <formula>0.95</formula>
      <formula>1</formula>
    </cfRule>
    <cfRule type="cellIs" dxfId="38" priority="68" stopIfTrue="1" operator="between">
      <formula>0.95</formula>
      <formula>1.5</formula>
    </cfRule>
  </conditionalFormatting>
  <conditionalFormatting sqref="C4:M4">
    <cfRule type="cellIs" dxfId="37" priority="35" stopIfTrue="1" operator="between">
      <formula>0.95</formula>
      <formula>1</formula>
    </cfRule>
    <cfRule type="cellIs" dxfId="36" priority="36" stopIfTrue="1" operator="between">
      <formula>0.95</formula>
      <formula>1.5</formula>
    </cfRule>
  </conditionalFormatting>
  <conditionalFormatting sqref="C14:M14">
    <cfRule type="cellIs" dxfId="35" priority="33" stopIfTrue="1" operator="between">
      <formula>0.95</formula>
      <formula>1</formula>
    </cfRule>
    <cfRule type="cellIs" dxfId="34" priority="34" stopIfTrue="1" operator="between">
      <formula>0.95</formula>
      <formula>1.5</formula>
    </cfRule>
  </conditionalFormatting>
  <conditionalFormatting sqref="C20:M20">
    <cfRule type="cellIs" dxfId="33" priority="31" stopIfTrue="1" operator="between">
      <formula>0.95</formula>
      <formula>1</formula>
    </cfRule>
    <cfRule type="cellIs" dxfId="32" priority="32" stopIfTrue="1" operator="between">
      <formula>0.95</formula>
      <formula>1.5</formula>
    </cfRule>
  </conditionalFormatting>
  <conditionalFormatting sqref="C26:M26">
    <cfRule type="cellIs" dxfId="31" priority="29" stopIfTrue="1" operator="between">
      <formula>0.95</formula>
      <formula>1</formula>
    </cfRule>
    <cfRule type="cellIs" dxfId="30" priority="30" stopIfTrue="1" operator="between">
      <formula>0.95</formula>
      <formula>1.5</formula>
    </cfRule>
  </conditionalFormatting>
  <conditionalFormatting sqref="C32:M32">
    <cfRule type="cellIs" dxfId="29" priority="27" stopIfTrue="1" operator="between">
      <formula>0.95</formula>
      <formula>1</formula>
    </cfRule>
    <cfRule type="cellIs" dxfId="28" priority="28" stopIfTrue="1" operator="between">
      <formula>0.95</formula>
      <formula>1.5</formula>
    </cfRule>
  </conditionalFormatting>
  <conditionalFormatting sqref="C38:M38">
    <cfRule type="cellIs" dxfId="27" priority="25" stopIfTrue="1" operator="between">
      <formula>0.95</formula>
      <formula>1</formula>
    </cfRule>
    <cfRule type="cellIs" dxfId="26" priority="26" stopIfTrue="1" operator="between">
      <formula>0.95</formula>
      <formula>1.5</formula>
    </cfRule>
  </conditionalFormatting>
  <conditionalFormatting sqref="C44:M44">
    <cfRule type="cellIs" dxfId="25" priority="23" stopIfTrue="1" operator="between">
      <formula>0.95</formula>
      <formula>1</formula>
    </cfRule>
    <cfRule type="cellIs" dxfId="24" priority="24" stopIfTrue="1" operator="between">
      <formula>0.95</formula>
      <formula>1.5</formula>
    </cfRule>
  </conditionalFormatting>
  <conditionalFormatting sqref="C50:M50">
    <cfRule type="cellIs" dxfId="23" priority="21" stopIfTrue="1" operator="between">
      <formula>0.95</formula>
      <formula>1</formula>
    </cfRule>
    <cfRule type="cellIs" dxfId="22" priority="22" stopIfTrue="1" operator="between">
      <formula>0.95</formula>
      <formula>1.5</formula>
    </cfRule>
  </conditionalFormatting>
  <conditionalFormatting sqref="C56:M56">
    <cfRule type="cellIs" dxfId="21" priority="19" stopIfTrue="1" operator="between">
      <formula>0.95</formula>
      <formula>1</formula>
    </cfRule>
    <cfRule type="cellIs" dxfId="20" priority="20" stopIfTrue="1" operator="between">
      <formula>0.95</formula>
      <formula>1.5</formula>
    </cfRule>
  </conditionalFormatting>
  <conditionalFormatting sqref="C62:M62">
    <cfRule type="cellIs" dxfId="19" priority="17" stopIfTrue="1" operator="between">
      <formula>0.95</formula>
      <formula>1</formula>
    </cfRule>
    <cfRule type="cellIs" dxfId="18" priority="18" stopIfTrue="1" operator="between">
      <formula>0.95</formula>
      <formula>1.5</formula>
    </cfRule>
  </conditionalFormatting>
  <conditionalFormatting sqref="C68:M68">
    <cfRule type="cellIs" dxfId="17" priority="15" stopIfTrue="1" operator="between">
      <formula>0.95</formula>
      <formula>1</formula>
    </cfRule>
    <cfRule type="cellIs" dxfId="16" priority="16" stopIfTrue="1" operator="between">
      <formula>0.95</formula>
      <formula>1.5</formula>
    </cfRule>
  </conditionalFormatting>
  <conditionalFormatting sqref="C74:M74">
    <cfRule type="cellIs" dxfId="15" priority="13" stopIfTrue="1" operator="between">
      <formula>0.95</formula>
      <formula>1</formula>
    </cfRule>
    <cfRule type="cellIs" dxfId="14" priority="14" stopIfTrue="1" operator="between">
      <formula>0.95</formula>
      <formula>1.5</formula>
    </cfRule>
  </conditionalFormatting>
  <conditionalFormatting sqref="C80:M80">
    <cfRule type="cellIs" dxfId="13" priority="11" stopIfTrue="1" operator="between">
      <formula>0.95</formula>
      <formula>1</formula>
    </cfRule>
    <cfRule type="cellIs" dxfId="12" priority="12" stopIfTrue="1" operator="between">
      <formula>0.95</formula>
      <formula>1.5</formula>
    </cfRule>
  </conditionalFormatting>
  <conditionalFormatting sqref="C86:M86">
    <cfRule type="cellIs" dxfId="11" priority="9" stopIfTrue="1" operator="between">
      <formula>0.95</formula>
      <formula>1</formula>
    </cfRule>
    <cfRule type="cellIs" dxfId="10" priority="10" stopIfTrue="1" operator="between">
      <formula>0.95</formula>
      <formula>1.5</formula>
    </cfRule>
  </conditionalFormatting>
  <conditionalFormatting sqref="C92:M92">
    <cfRule type="cellIs" dxfId="9" priority="7" stopIfTrue="1" operator="between">
      <formula>0.95</formula>
      <formula>1</formula>
    </cfRule>
    <cfRule type="cellIs" dxfId="8" priority="8" stopIfTrue="1" operator="between">
      <formula>0.95</formula>
      <formula>1.5</formula>
    </cfRule>
  </conditionalFormatting>
  <conditionalFormatting sqref="C98:M98">
    <cfRule type="cellIs" dxfId="7" priority="5" stopIfTrue="1" operator="between">
      <formula>0.95</formula>
      <formula>1</formula>
    </cfRule>
    <cfRule type="cellIs" dxfId="6" priority="6" stopIfTrue="1" operator="between">
      <formula>0.95</formula>
      <formula>1.5</formula>
    </cfRule>
  </conditionalFormatting>
  <conditionalFormatting sqref="C2:M2">
    <cfRule type="cellIs" dxfId="5" priority="1" stopIfTrue="1" operator="between">
      <formula>0.95</formula>
      <formula>1</formula>
    </cfRule>
    <cfRule type="cellIs" dxfId="4" priority="2" stopIfTrue="1" operator="between">
      <formula>0.95</formula>
      <formula>1.5</formula>
    </cfRule>
  </conditionalFormatting>
  <pageMargins left="0.7" right="0.7" top="0.75" bottom="0.75" header="0.3" footer="0.3"/>
  <ignoredErrors>
    <ignoredError sqref="C23 D23" evalError="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V159"/>
  <sheetViews>
    <sheetView workbookViewId="0">
      <selection activeCell="F6" sqref="F6"/>
    </sheetView>
  </sheetViews>
  <sheetFormatPr defaultRowHeight="15" x14ac:dyDescent="0.25"/>
  <cols>
    <col min="1" max="2" width="1.42578125" style="1" customWidth="1"/>
    <col min="3" max="3" width="11" style="1" customWidth="1"/>
    <col min="4" max="4" width="1" style="2" customWidth="1"/>
    <col min="5" max="5" width="7.5703125" style="1" customWidth="1"/>
    <col min="6" max="6" width="38.85546875" style="2" customWidth="1"/>
    <col min="7" max="7" width="8.42578125" style="1" customWidth="1"/>
    <col min="8" max="8" width="4.42578125" style="1" customWidth="1"/>
    <col min="9" max="9" width="3.28515625" style="1" customWidth="1"/>
    <col min="10" max="10" width="4.42578125" style="2" customWidth="1"/>
    <col min="11" max="11" width="7" style="1" customWidth="1"/>
    <col min="12" max="12" width="6.28515625" style="1" customWidth="1"/>
    <col min="13" max="13" width="1.28515625" style="1" customWidth="1"/>
    <col min="14" max="14" width="11.85546875" style="1" customWidth="1"/>
    <col min="15" max="15" width="9.28515625" style="1" customWidth="1"/>
    <col min="16" max="17" width="8.85546875" style="1" customWidth="1"/>
    <col min="18" max="18" width="9.140625" style="1" customWidth="1"/>
    <col min="19" max="21" width="8.85546875" style="1" customWidth="1"/>
    <col min="22" max="25" width="5.7109375" style="1" customWidth="1"/>
    <col min="26" max="26" width="61.7109375" style="1" customWidth="1"/>
    <col min="27" max="38" width="9.140625" style="1" customWidth="1"/>
    <col min="39" max="39" width="20" style="1" customWidth="1"/>
    <col min="40" max="40" width="30.85546875" style="1" customWidth="1"/>
    <col min="41" max="41" width="44.7109375" style="1" customWidth="1"/>
    <col min="42" max="42" width="27.140625" style="1" customWidth="1"/>
    <col min="43" max="43" width="28.5703125" style="1" customWidth="1"/>
    <col min="44" max="44" width="12.7109375" style="1" bestFit="1" customWidth="1"/>
    <col min="45" max="16384" width="9.140625" style="1"/>
  </cols>
  <sheetData>
    <row r="1" spans="1:74" ht="9" customHeight="1" thickBot="1" x14ac:dyDescent="0.3">
      <c r="A1" s="4"/>
      <c r="B1" s="4"/>
      <c r="C1" s="4"/>
      <c r="D1" s="5"/>
      <c r="E1" s="4"/>
      <c r="F1" s="5"/>
      <c r="G1" s="4"/>
      <c r="H1" s="4"/>
      <c r="I1" s="4"/>
      <c r="J1" s="5"/>
      <c r="K1" s="4"/>
      <c r="L1" s="4"/>
      <c r="M1" s="4"/>
      <c r="N1" s="4"/>
      <c r="O1" s="4"/>
      <c r="P1" s="4"/>
      <c r="Q1" s="4"/>
      <c r="R1" s="4"/>
      <c r="S1" s="4"/>
      <c r="T1" s="4"/>
      <c r="U1" s="4"/>
      <c r="V1" s="4"/>
      <c r="W1" s="4"/>
      <c r="X1" s="4"/>
      <c r="Y1" s="122"/>
      <c r="Z1" s="12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row>
    <row r="2" spans="1:74" ht="23.25" customHeight="1" thickBot="1" x14ac:dyDescent="0.45">
      <c r="A2" s="4"/>
      <c r="B2" s="4"/>
      <c r="C2" s="169" t="s">
        <v>14</v>
      </c>
      <c r="D2" s="170"/>
      <c r="E2" s="171"/>
      <c r="F2" s="172"/>
      <c r="G2" s="4"/>
      <c r="H2" s="4"/>
      <c r="I2" s="4"/>
      <c r="J2" s="5"/>
      <c r="K2" s="4"/>
      <c r="L2" s="4"/>
      <c r="M2" s="4"/>
      <c r="N2" s="4"/>
      <c r="O2" s="4"/>
      <c r="P2" s="4"/>
      <c r="Q2" s="4"/>
      <c r="R2" s="4"/>
      <c r="S2" s="4"/>
      <c r="T2" s="4"/>
      <c r="U2" s="4"/>
      <c r="V2" s="4"/>
      <c r="W2" s="4"/>
      <c r="X2" s="4"/>
      <c r="Y2" s="122"/>
      <c r="Z2" s="124" t="s">
        <v>17</v>
      </c>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row>
    <row r="3" spans="1:74" ht="9" customHeight="1" thickBot="1" x14ac:dyDescent="0.3">
      <c r="A3" s="4"/>
      <c r="B3" s="4"/>
      <c r="C3" s="4"/>
      <c r="D3" s="5"/>
      <c r="E3" s="4"/>
      <c r="F3" s="5"/>
      <c r="G3" s="4"/>
      <c r="H3" s="4"/>
      <c r="I3" s="4"/>
      <c r="J3" s="5"/>
      <c r="K3" s="4"/>
      <c r="L3" s="4"/>
      <c r="M3" s="4"/>
      <c r="N3" s="4"/>
      <c r="O3" s="4"/>
      <c r="P3" s="4"/>
      <c r="Q3" s="4"/>
      <c r="R3" s="4"/>
      <c r="S3" s="4"/>
      <c r="T3" s="4"/>
      <c r="U3" s="4"/>
      <c r="V3" s="4"/>
      <c r="W3" s="4"/>
      <c r="X3" s="4"/>
      <c r="Y3" s="122"/>
      <c r="Z3" s="12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row>
    <row r="4" spans="1:74" ht="15.75" thickBot="1" x14ac:dyDescent="0.3">
      <c r="A4" s="4"/>
      <c r="B4" s="4"/>
      <c r="C4" s="550" t="s">
        <v>6</v>
      </c>
      <c r="D4" s="178"/>
      <c r="E4" s="551">
        <f>AT5</f>
        <v>7</v>
      </c>
      <c r="F4" s="129"/>
      <c r="G4" s="4"/>
      <c r="H4" s="4"/>
      <c r="I4" s="4"/>
      <c r="J4" s="4"/>
      <c r="K4" s="4"/>
      <c r="L4" s="4"/>
      <c r="M4" s="4"/>
      <c r="N4" s="4"/>
      <c r="O4" s="4"/>
      <c r="P4" s="4"/>
      <c r="Q4" s="4"/>
      <c r="R4" s="4"/>
      <c r="S4" s="4"/>
      <c r="T4" s="4"/>
      <c r="U4" s="4"/>
      <c r="V4" s="4"/>
      <c r="W4" s="4"/>
      <c r="X4" s="4"/>
      <c r="Y4" s="122"/>
      <c r="Z4" s="125" t="s">
        <v>16</v>
      </c>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row>
    <row r="5" spans="1:74" ht="18" customHeight="1" thickBot="1" x14ac:dyDescent="0.35">
      <c r="A5" s="4"/>
      <c r="B5" s="4"/>
      <c r="C5" s="121"/>
      <c r="D5" s="129"/>
      <c r="E5" s="121"/>
      <c r="F5" s="552" t="s">
        <v>13</v>
      </c>
      <c r="G5" s="4"/>
      <c r="H5" s="166" t="s">
        <v>8</v>
      </c>
      <c r="I5" s="167"/>
      <c r="J5" s="167"/>
      <c r="K5" s="168"/>
      <c r="L5" s="4"/>
      <c r="M5" s="4"/>
      <c r="N5" s="4"/>
      <c r="O5" s="4"/>
      <c r="P5" s="4"/>
      <c r="Q5" s="4"/>
      <c r="R5" s="4"/>
      <c r="S5" s="4"/>
      <c r="T5" s="4"/>
      <c r="U5" s="4"/>
      <c r="V5" s="4"/>
      <c r="W5" s="4"/>
      <c r="X5" s="4"/>
      <c r="Y5" s="122"/>
      <c r="Z5" s="123"/>
      <c r="AA5" s="3"/>
      <c r="AB5" s="3"/>
      <c r="AC5" s="3"/>
      <c r="AD5" s="3"/>
      <c r="AE5" s="3"/>
      <c r="AF5" s="3"/>
      <c r="AG5" s="3"/>
      <c r="AH5" s="3"/>
      <c r="AI5" s="3"/>
      <c r="AJ5" s="3"/>
      <c r="AK5" s="3"/>
      <c r="AL5" s="3"/>
      <c r="AM5" s="3" t="s">
        <v>11</v>
      </c>
      <c r="AN5" s="3" t="s">
        <v>2</v>
      </c>
      <c r="AO5" s="3" t="s">
        <v>3</v>
      </c>
      <c r="AP5" s="3" t="s">
        <v>12</v>
      </c>
      <c r="AQ5" s="3" t="s">
        <v>5</v>
      </c>
      <c r="AR5" s="3" t="s">
        <v>32</v>
      </c>
      <c r="AS5" s="3"/>
      <c r="AT5" s="8">
        <v>7</v>
      </c>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row>
    <row r="6" spans="1:74" x14ac:dyDescent="0.25">
      <c r="A6" s="4"/>
      <c r="B6" s="4"/>
      <c r="C6" s="553" t="s">
        <v>0</v>
      </c>
      <c r="D6" s="173" t="s">
        <v>7</v>
      </c>
      <c r="E6" s="176">
        <v>731.203125</v>
      </c>
      <c r="F6" s="540"/>
      <c r="G6" s="4"/>
      <c r="H6" s="158"/>
      <c r="I6" s="121"/>
      <c r="J6" s="129"/>
      <c r="K6" s="159"/>
      <c r="L6" s="4"/>
      <c r="M6" s="4"/>
      <c r="N6" s="4"/>
      <c r="O6" s="4"/>
      <c r="P6" s="4"/>
      <c r="Q6" s="4"/>
      <c r="R6" s="4"/>
      <c r="S6" s="4"/>
      <c r="T6" s="4"/>
      <c r="U6" s="4"/>
      <c r="V6" s="4"/>
      <c r="W6" s="4"/>
      <c r="X6" s="4"/>
      <c r="Y6" s="122"/>
      <c r="Z6" s="123"/>
      <c r="AA6" s="8">
        <v>744</v>
      </c>
      <c r="AB6" s="8">
        <v>698.5</v>
      </c>
      <c r="AC6" s="8">
        <v>721.25</v>
      </c>
      <c r="AD6" s="8">
        <v>732.625</v>
      </c>
      <c r="AE6" s="8">
        <v>726.9375</v>
      </c>
      <c r="AF6" s="8">
        <v>729.78125</v>
      </c>
      <c r="AG6" s="8"/>
      <c r="AH6" s="8"/>
      <c r="AI6" s="3"/>
      <c r="AJ6" s="3"/>
      <c r="AK6" s="3">
        <f t="shared" ref="AK6:AK11" si="0">SUM(AK15:AN15)</f>
        <v>731.203125</v>
      </c>
      <c r="AL6" s="3"/>
      <c r="AM6" s="9" t="s">
        <v>26</v>
      </c>
      <c r="AN6" s="3" t="s">
        <v>37</v>
      </c>
      <c r="AO6" s="3" t="s">
        <v>47</v>
      </c>
      <c r="AP6" s="3" t="s">
        <v>42</v>
      </c>
      <c r="AQ6" s="3" t="s">
        <v>43</v>
      </c>
      <c r="AR6" s="3" t="s">
        <v>32</v>
      </c>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row>
    <row r="7" spans="1:74" x14ac:dyDescent="0.25">
      <c r="A7" s="4"/>
      <c r="B7" s="4"/>
      <c r="C7" s="554" t="s">
        <v>1</v>
      </c>
      <c r="D7" s="174" t="s">
        <v>7</v>
      </c>
      <c r="E7" s="126">
        <v>731.203125</v>
      </c>
      <c r="F7" s="540"/>
      <c r="G7" s="4"/>
      <c r="H7" s="560" t="s">
        <v>358</v>
      </c>
      <c r="I7" s="561"/>
      <c r="J7" s="561"/>
      <c r="K7" s="164">
        <v>126</v>
      </c>
      <c r="L7" s="127"/>
      <c r="M7" s="4"/>
      <c r="N7" s="4"/>
      <c r="O7" s="4"/>
      <c r="P7" s="4"/>
      <c r="Q7" s="4"/>
      <c r="R7" s="4"/>
      <c r="S7" s="4"/>
      <c r="T7" s="4"/>
      <c r="U7" s="4"/>
      <c r="V7" s="4"/>
      <c r="W7" s="4"/>
      <c r="X7" s="4"/>
      <c r="Y7" s="122"/>
      <c r="Z7" s="123"/>
      <c r="AA7" s="8">
        <v>744</v>
      </c>
      <c r="AB7" s="8">
        <v>698.5</v>
      </c>
      <c r="AC7" s="8">
        <v>721.25</v>
      </c>
      <c r="AD7" s="8">
        <v>732.625</v>
      </c>
      <c r="AE7" s="8">
        <v>726.9375</v>
      </c>
      <c r="AF7" s="8">
        <v>729.78125</v>
      </c>
      <c r="AG7" s="8"/>
      <c r="AH7" s="8"/>
      <c r="AI7" s="3"/>
      <c r="AJ7" s="3"/>
      <c r="AK7" s="3">
        <f t="shared" si="0"/>
        <v>731.203125</v>
      </c>
      <c r="AL7" s="3"/>
      <c r="AM7" s="9" t="s">
        <v>27</v>
      </c>
      <c r="AN7" s="9" t="s">
        <v>29</v>
      </c>
      <c r="AO7" s="9" t="s">
        <v>31</v>
      </c>
      <c r="AP7" s="3" t="s">
        <v>36</v>
      </c>
      <c r="AQ7" s="9" t="s">
        <v>34</v>
      </c>
      <c r="AR7" s="3" t="s">
        <v>32</v>
      </c>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row>
    <row r="8" spans="1:74" x14ac:dyDescent="0.25">
      <c r="A8" s="4"/>
      <c r="B8" s="4"/>
      <c r="C8" s="554" t="s">
        <v>2</v>
      </c>
      <c r="D8" s="174" t="s">
        <v>7</v>
      </c>
      <c r="E8" s="126">
        <v>440.734375</v>
      </c>
      <c r="F8" s="540"/>
      <c r="G8" s="4"/>
      <c r="H8" s="560" t="s">
        <v>357</v>
      </c>
      <c r="I8" s="561"/>
      <c r="J8" s="561"/>
      <c r="K8" s="164">
        <v>2</v>
      </c>
      <c r="L8" s="127"/>
      <c r="M8" s="4"/>
      <c r="N8" s="4"/>
      <c r="O8" s="4"/>
      <c r="P8" s="4"/>
      <c r="Q8" s="4"/>
      <c r="R8" s="4"/>
      <c r="S8" s="4"/>
      <c r="T8" s="4"/>
      <c r="U8" s="4"/>
      <c r="V8" s="4"/>
      <c r="W8" s="4"/>
      <c r="X8" s="4"/>
      <c r="Y8" s="122"/>
      <c r="Z8" s="123"/>
      <c r="AA8" s="8">
        <v>445</v>
      </c>
      <c r="AB8" s="8">
        <v>399.5</v>
      </c>
      <c r="AC8" s="8">
        <v>422.25</v>
      </c>
      <c r="AD8" s="8">
        <v>433.625</v>
      </c>
      <c r="AE8" s="8">
        <v>439.3125</v>
      </c>
      <c r="AF8" s="8">
        <v>442.15625</v>
      </c>
      <c r="AG8" s="8"/>
      <c r="AH8" s="8"/>
      <c r="AI8" s="3"/>
      <c r="AJ8" s="3"/>
      <c r="AK8" s="3">
        <f t="shared" si="0"/>
        <v>440.734375</v>
      </c>
      <c r="AL8" s="3"/>
      <c r="AM8" s="3" t="s">
        <v>33</v>
      </c>
      <c r="AN8" s="3" t="s">
        <v>33</v>
      </c>
      <c r="AO8" s="3" t="s">
        <v>33</v>
      </c>
      <c r="AP8" s="3" t="s">
        <v>33</v>
      </c>
      <c r="AQ8" s="3" t="s">
        <v>33</v>
      </c>
      <c r="AR8" s="3" t="s">
        <v>32</v>
      </c>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row>
    <row r="9" spans="1:74" x14ac:dyDescent="0.25">
      <c r="A9" s="4"/>
      <c r="B9" s="4"/>
      <c r="C9" s="554" t="s">
        <v>3</v>
      </c>
      <c r="D9" s="174" t="s">
        <v>7</v>
      </c>
      <c r="E9" s="126">
        <v>646.265625</v>
      </c>
      <c r="F9" s="540"/>
      <c r="G9" s="4"/>
      <c r="H9" s="162"/>
      <c r="I9" s="163"/>
      <c r="J9" s="163"/>
      <c r="K9" s="165"/>
      <c r="L9" s="127"/>
      <c r="M9" s="4"/>
      <c r="N9" s="4"/>
      <c r="O9" s="4"/>
      <c r="P9" s="4"/>
      <c r="Q9" s="4"/>
      <c r="R9" s="4"/>
      <c r="S9" s="4"/>
      <c r="T9" s="4"/>
      <c r="U9" s="4"/>
      <c r="V9" s="4"/>
      <c r="W9" s="4"/>
      <c r="X9" s="4"/>
      <c r="Y9" s="122"/>
      <c r="Z9" s="123"/>
      <c r="AA9" s="8">
        <v>642</v>
      </c>
      <c r="AB9" s="8">
        <v>687.5</v>
      </c>
      <c r="AC9" s="8">
        <v>664.75</v>
      </c>
      <c r="AD9" s="8">
        <v>653.375</v>
      </c>
      <c r="AE9" s="8">
        <v>647.6875</v>
      </c>
      <c r="AF9" s="8">
        <v>644.84375</v>
      </c>
      <c r="AG9" s="8"/>
      <c r="AH9" s="8"/>
      <c r="AI9" s="3"/>
      <c r="AJ9" s="3"/>
      <c r="AK9" s="3">
        <f t="shared" si="0"/>
        <v>646.265625</v>
      </c>
      <c r="AL9" s="3"/>
      <c r="AM9" s="3" t="s">
        <v>35</v>
      </c>
      <c r="AN9" s="3" t="s">
        <v>40</v>
      </c>
      <c r="AO9" s="3" t="s">
        <v>45</v>
      </c>
      <c r="AP9" s="9" t="s">
        <v>30</v>
      </c>
      <c r="AQ9" s="3" t="s">
        <v>41</v>
      </c>
      <c r="AR9" s="3" t="s">
        <v>32</v>
      </c>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row>
    <row r="10" spans="1:74" ht="15.75" thickBot="1" x14ac:dyDescent="0.3">
      <c r="A10" s="4"/>
      <c r="B10" s="4"/>
      <c r="C10" s="554" t="s">
        <v>4</v>
      </c>
      <c r="D10" s="174" t="s">
        <v>7</v>
      </c>
      <c r="E10" s="126">
        <v>421.203125</v>
      </c>
      <c r="F10" s="540"/>
      <c r="G10" s="4"/>
      <c r="H10" s="562" t="s">
        <v>359</v>
      </c>
      <c r="I10" s="563"/>
      <c r="J10" s="563"/>
      <c r="K10" s="542">
        <f>ROUNDUP(SUM(135.0107-(K7*0.10172)-(K8*0.30014)),0)</f>
        <v>122</v>
      </c>
      <c r="L10" s="7"/>
      <c r="M10" s="4"/>
      <c r="N10" s="4"/>
      <c r="O10" s="4"/>
      <c r="P10" s="4"/>
      <c r="Q10" s="4"/>
      <c r="R10" s="4"/>
      <c r="S10" s="4"/>
      <c r="T10" s="4"/>
      <c r="U10" s="4"/>
      <c r="V10" s="4"/>
      <c r="W10" s="4"/>
      <c r="X10" s="4"/>
      <c r="Y10" s="122"/>
      <c r="Z10" s="123"/>
      <c r="AA10" s="8">
        <v>434</v>
      </c>
      <c r="AB10" s="8">
        <v>388.5</v>
      </c>
      <c r="AC10" s="8">
        <v>411.25</v>
      </c>
      <c r="AD10" s="8">
        <v>422.625</v>
      </c>
      <c r="AE10" s="8">
        <v>416.9375</v>
      </c>
      <c r="AF10" s="8">
        <v>419.78125</v>
      </c>
      <c r="AG10" s="8"/>
      <c r="AH10" s="8"/>
      <c r="AI10" s="3"/>
      <c r="AJ10" s="3"/>
      <c r="AK10" s="3">
        <f t="shared" si="0"/>
        <v>421.203125</v>
      </c>
      <c r="AL10" s="3"/>
      <c r="AM10" s="3" t="s">
        <v>44</v>
      </c>
      <c r="AN10" s="3" t="s">
        <v>38</v>
      </c>
      <c r="AO10" s="3" t="s">
        <v>46</v>
      </c>
      <c r="AP10" s="9" t="s">
        <v>28</v>
      </c>
      <c r="AQ10" s="3" t="s">
        <v>39</v>
      </c>
      <c r="AR10" s="3" t="s">
        <v>32</v>
      </c>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row>
    <row r="11" spans="1:74" ht="15.75" thickBot="1" x14ac:dyDescent="0.3">
      <c r="A11" s="4"/>
      <c r="B11" s="4"/>
      <c r="C11" s="555" t="s">
        <v>5</v>
      </c>
      <c r="D11" s="175" t="s">
        <v>7</v>
      </c>
      <c r="E11" s="177">
        <v>72.671875</v>
      </c>
      <c r="F11" s="541"/>
      <c r="G11" s="4"/>
      <c r="H11" s="4"/>
      <c r="I11" s="4"/>
      <c r="J11" s="5"/>
      <c r="K11" s="4"/>
      <c r="L11" s="4"/>
      <c r="M11" s="4"/>
      <c r="N11" s="4"/>
      <c r="O11" s="4"/>
      <c r="P11" s="4"/>
      <c r="Q11" s="4"/>
      <c r="R11" s="4"/>
      <c r="S11" s="4"/>
      <c r="T11" s="4"/>
      <c r="U11" s="4"/>
      <c r="V11" s="4"/>
      <c r="W11" s="4"/>
      <c r="X11" s="4"/>
      <c r="Y11" s="122"/>
      <c r="Z11" s="123"/>
      <c r="AA11" s="8">
        <v>94</v>
      </c>
      <c r="AB11" s="8">
        <v>48.5</v>
      </c>
      <c r="AC11" s="8">
        <v>71.25</v>
      </c>
      <c r="AD11" s="8">
        <v>82.625</v>
      </c>
      <c r="AE11" s="8">
        <v>76.9375</v>
      </c>
      <c r="AF11" s="8">
        <v>74.09375</v>
      </c>
      <c r="AG11" s="8"/>
      <c r="AH11" s="8"/>
      <c r="AI11" s="3"/>
      <c r="AJ11" s="3"/>
      <c r="AK11" s="3">
        <f t="shared" si="0"/>
        <v>72.671875</v>
      </c>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row>
    <row r="12" spans="1:74" ht="19.5" customHeight="1" x14ac:dyDescent="0.3">
      <c r="A12" s="4"/>
      <c r="B12" s="4"/>
      <c r="C12" s="4"/>
      <c r="D12" s="5"/>
      <c r="E12" s="4"/>
      <c r="F12" s="5"/>
      <c r="G12" s="4"/>
      <c r="H12" s="4"/>
      <c r="I12" s="4"/>
      <c r="J12" s="5"/>
      <c r="K12" s="4"/>
      <c r="L12" s="4"/>
      <c r="M12" s="4"/>
      <c r="N12" s="181" t="s">
        <v>362</v>
      </c>
      <c r="O12" s="182"/>
      <c r="P12" s="168"/>
      <c r="Q12" s="4"/>
      <c r="R12" s="4"/>
      <c r="S12" s="4"/>
      <c r="T12" s="4"/>
      <c r="U12" s="4"/>
      <c r="V12" s="4"/>
      <c r="W12" s="4"/>
      <c r="X12" s="4"/>
      <c r="Y12" s="122"/>
      <c r="Z12" s="123"/>
      <c r="AA12" s="8"/>
      <c r="AB12" s="8"/>
      <c r="AC12" s="8"/>
      <c r="AD12" s="8"/>
      <c r="AE12" s="8"/>
      <c r="AF12" s="8"/>
      <c r="AG12" s="8"/>
      <c r="AH12" s="8"/>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row>
    <row r="13" spans="1:74" x14ac:dyDescent="0.25">
      <c r="A13" s="4"/>
      <c r="B13" s="4"/>
      <c r="C13" s="4"/>
      <c r="D13" s="5"/>
      <c r="E13" s="4"/>
      <c r="F13" s="5"/>
      <c r="G13" s="4"/>
      <c r="H13" s="4"/>
      <c r="I13" s="4"/>
      <c r="J13" s="5"/>
      <c r="K13" s="4"/>
      <c r="L13" s="4"/>
      <c r="M13" s="4"/>
      <c r="N13" s="140"/>
      <c r="O13" s="4"/>
      <c r="P13" s="141"/>
      <c r="Q13" s="4"/>
      <c r="R13" s="4"/>
      <c r="S13" s="4"/>
      <c r="T13" s="4"/>
      <c r="U13" s="4"/>
      <c r="V13" s="4"/>
      <c r="W13" s="4"/>
      <c r="X13" s="4"/>
      <c r="Y13" s="122"/>
      <c r="Z13" s="125" t="s">
        <v>15</v>
      </c>
      <c r="AA13" s="8"/>
      <c r="AB13" s="8"/>
      <c r="AC13" s="8"/>
      <c r="AD13" s="8"/>
      <c r="AE13" s="8"/>
      <c r="AF13" s="8"/>
      <c r="AG13" s="8"/>
      <c r="AH13" s="8"/>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row>
    <row r="14" spans="1:74" x14ac:dyDescent="0.25">
      <c r="A14" s="4"/>
      <c r="B14" s="4"/>
      <c r="C14" s="4"/>
      <c r="D14" s="5"/>
      <c r="E14" s="4"/>
      <c r="F14" s="5"/>
      <c r="G14" s="4"/>
      <c r="H14" s="4"/>
      <c r="I14" s="4"/>
      <c r="J14" s="5"/>
      <c r="K14" s="4"/>
      <c r="L14" s="4"/>
      <c r="M14" s="4"/>
      <c r="N14" s="772" t="s">
        <v>348</v>
      </c>
      <c r="O14" s="773"/>
      <c r="P14" s="179">
        <v>36</v>
      </c>
      <c r="Q14" s="4"/>
      <c r="R14" s="4"/>
      <c r="S14" s="4"/>
      <c r="T14" s="4"/>
      <c r="U14" s="4"/>
      <c r="V14" s="4"/>
      <c r="W14" s="4"/>
      <c r="X14" s="4"/>
      <c r="Y14" s="122"/>
      <c r="Z14" s="123"/>
      <c r="AA14" s="8"/>
      <c r="AB14" s="8"/>
      <c r="AC14" s="8"/>
      <c r="AD14" s="8"/>
      <c r="AE14" s="8"/>
      <c r="AF14" s="8"/>
      <c r="AG14" s="8"/>
      <c r="AH14" s="8"/>
      <c r="AI14" s="3"/>
      <c r="AJ14" s="3"/>
      <c r="AK14" s="3"/>
      <c r="AL14" s="3" t="s">
        <v>23</v>
      </c>
      <c r="AM14" s="3" t="s">
        <v>24</v>
      </c>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row>
    <row r="15" spans="1:74" x14ac:dyDescent="0.25">
      <c r="A15" s="4"/>
      <c r="B15" s="4"/>
      <c r="C15" s="4"/>
      <c r="D15" s="5"/>
      <c r="E15" s="4"/>
      <c r="F15" s="5"/>
      <c r="G15" s="4"/>
      <c r="H15" s="4"/>
      <c r="I15" s="4"/>
      <c r="J15" s="5"/>
      <c r="K15" s="4"/>
      <c r="L15" s="4"/>
      <c r="M15" s="4"/>
      <c r="N15" s="772" t="s">
        <v>193</v>
      </c>
      <c r="O15" s="773"/>
      <c r="P15" s="179">
        <v>30</v>
      </c>
      <c r="Q15" s="4"/>
      <c r="R15" s="4"/>
      <c r="S15" s="4"/>
      <c r="T15" s="4"/>
      <c r="U15" s="4"/>
      <c r="V15" s="4"/>
      <c r="W15" s="4"/>
      <c r="X15" s="4"/>
      <c r="Y15" s="122"/>
      <c r="Z15" s="123"/>
      <c r="AA15" s="8">
        <v>3</v>
      </c>
      <c r="AB15" s="8">
        <v>2</v>
      </c>
      <c r="AC15" s="8">
        <v>2</v>
      </c>
      <c r="AD15" s="8">
        <v>3</v>
      </c>
      <c r="AE15" s="8">
        <v>2</v>
      </c>
      <c r="AF15" s="8">
        <v>2</v>
      </c>
      <c r="AG15" s="8"/>
      <c r="AH15" s="8"/>
      <c r="AI15" s="3">
        <f t="shared" ref="AI15:AI20" si="1">IF(Z23="LOWER",MAX(AA15:AH15),MIN(AA15:AH15))</f>
        <v>3</v>
      </c>
      <c r="AJ15" s="3"/>
      <c r="AK15" s="3">
        <f t="shared" ref="AK15:AK20" si="2">IF(H21&gt;0,IF(J21&lt;999,AVERAGE(H21,J21),""),"")</f>
        <v>731.203125</v>
      </c>
      <c r="AL15" s="3" t="str">
        <f>IF(H21&gt;0,IF(J21=999,IF(AI15=1,H21+(K10),IF(AI15=2,H21+(K10/2),"")),""),"")</f>
        <v/>
      </c>
      <c r="AM15" s="3" t="str">
        <f>IF(H21=0,IF(J21&lt;999,IF(AI15=5,J21-(K10),IF(AI15=4,J21-(K10/2),"")),""),"")</f>
        <v/>
      </c>
      <c r="AN15" s="3" t="str">
        <f>IF(H21=0,IF(AI15=3,IF(AD15=3,J21-(K10/8),IF(AC15=3,J21-(K10/8),IF(AB15=3,J21-(K10/4),J21-(K10/2)))),""),"")</f>
        <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row>
    <row r="16" spans="1:74" ht="15.75" thickBot="1" x14ac:dyDescent="0.3">
      <c r="A16" s="4"/>
      <c r="B16" s="4"/>
      <c r="C16" s="4"/>
      <c r="D16" s="5"/>
      <c r="E16" s="4"/>
      <c r="F16" s="5"/>
      <c r="G16" s="4"/>
      <c r="H16" s="4"/>
      <c r="I16" s="4"/>
      <c r="J16" s="5"/>
      <c r="K16" s="4"/>
      <c r="L16" s="4"/>
      <c r="M16" s="4"/>
      <c r="N16" s="774" t="s">
        <v>188</v>
      </c>
      <c r="O16" s="775"/>
      <c r="P16" s="180">
        <v>34</v>
      </c>
      <c r="Q16" s="4"/>
      <c r="R16" s="4"/>
      <c r="S16" s="4"/>
      <c r="T16" s="4"/>
      <c r="U16" s="4"/>
      <c r="V16" s="4"/>
      <c r="W16" s="4"/>
      <c r="X16" s="4"/>
      <c r="Y16" s="122"/>
      <c r="Z16" s="123"/>
      <c r="AA16" s="8">
        <v>3</v>
      </c>
      <c r="AB16" s="8">
        <v>2</v>
      </c>
      <c r="AC16" s="8">
        <v>2</v>
      </c>
      <c r="AD16" s="8">
        <v>3</v>
      </c>
      <c r="AE16" s="8">
        <v>2</v>
      </c>
      <c r="AF16" s="8">
        <v>2</v>
      </c>
      <c r="AG16" s="8"/>
      <c r="AH16" s="8"/>
      <c r="AI16" s="3">
        <f t="shared" si="1"/>
        <v>3</v>
      </c>
      <c r="AJ16" s="3"/>
      <c r="AK16" s="3">
        <f t="shared" si="2"/>
        <v>731.203125</v>
      </c>
      <c r="AL16" s="3" t="str">
        <f>IF(H22&gt;0,IF(J22=999,IF(AI16=1,H22+(K10),IF(AI16=2,H22+(K10/2),"")),""),"")</f>
        <v/>
      </c>
      <c r="AM16" s="3" t="str">
        <f>IF(H22=0,IF(J22&lt;999,IF(AI16=5,J22-(K10),IF(AI16=4,J22-(K10/2),"")),""),"")</f>
        <v/>
      </c>
      <c r="AN16" s="3" t="str">
        <f>IF(H22=0,IF(AI16=3,IF(AD16=3,J22-(K10/8),IF(AC16=3,J22-(K10/8),IF(AB16=3,J22-(K10/4),J22-(K10/2)))),""),"")</f>
        <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row>
    <row r="17" spans="1:74" ht="15.75" customHeight="1" thickBot="1" x14ac:dyDescent="0.3">
      <c r="A17" s="4"/>
      <c r="B17" s="4"/>
      <c r="C17" s="4"/>
      <c r="D17" s="5"/>
      <c r="E17" s="4"/>
      <c r="F17" s="5"/>
      <c r="G17" s="4"/>
      <c r="H17" s="4"/>
      <c r="I17" s="4"/>
      <c r="J17" s="5"/>
      <c r="K17" s="4"/>
      <c r="L17" s="4"/>
      <c r="M17" s="4"/>
      <c r="N17" s="4"/>
      <c r="O17" s="4"/>
      <c r="P17" s="4"/>
      <c r="Q17" s="4"/>
      <c r="R17" s="4"/>
      <c r="S17" s="4"/>
      <c r="T17" s="4"/>
      <c r="U17" s="4"/>
      <c r="V17" s="4"/>
      <c r="W17" s="4"/>
      <c r="X17" s="4"/>
      <c r="Y17" s="122"/>
      <c r="Z17" s="123"/>
      <c r="AA17" s="8">
        <v>3</v>
      </c>
      <c r="AB17" s="8">
        <v>2</v>
      </c>
      <c r="AC17" s="8">
        <v>2</v>
      </c>
      <c r="AD17" s="8">
        <v>2</v>
      </c>
      <c r="AE17" s="8">
        <v>2</v>
      </c>
      <c r="AF17" s="8">
        <v>3</v>
      </c>
      <c r="AG17" s="8"/>
      <c r="AH17" s="8"/>
      <c r="AI17" s="3">
        <f t="shared" si="1"/>
        <v>3</v>
      </c>
      <c r="AJ17" s="3"/>
      <c r="AK17" s="3">
        <f t="shared" si="2"/>
        <v>440.734375</v>
      </c>
      <c r="AL17" s="3" t="str">
        <f>IF(H23&gt;0,IF(J23=999,IF(AI17=1,H23+(K10),IF(AI17=2,H23+(K10/2),"")),""),"")</f>
        <v/>
      </c>
      <c r="AM17" s="3" t="str">
        <f>IF(H23=0,IF(J23&lt;999,IF(AI17=5,J23-(K10),IF(AI17=4,J23-(K10/2),"")),""),"")</f>
        <v/>
      </c>
      <c r="AN17" s="3" t="str">
        <f>IF(H23=0,IF(AI17=3,IF(AD17=3,J23-(K10/8),IF(AC17=3,J23-(K10/8),IF(AB17=3,J23-(K10/4),J23-(K10/2)))),""),"")</f>
        <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row>
    <row r="18" spans="1:74" ht="19.5" customHeight="1" thickBot="1" x14ac:dyDescent="0.35">
      <c r="A18" s="4"/>
      <c r="B18" s="4"/>
      <c r="C18" s="135" t="s">
        <v>360</v>
      </c>
      <c r="D18" s="136"/>
      <c r="E18" s="137"/>
      <c r="F18" s="129"/>
      <c r="G18" s="135" t="s">
        <v>20</v>
      </c>
      <c r="H18" s="142"/>
      <c r="I18" s="143"/>
      <c r="J18" s="142"/>
      <c r="K18" s="142"/>
      <c r="L18" s="144"/>
      <c r="M18" s="128"/>
      <c r="N18" s="154" t="s">
        <v>25</v>
      </c>
      <c r="O18" s="137"/>
      <c r="P18" s="121"/>
      <c r="Q18" s="121"/>
      <c r="R18" s="121"/>
      <c r="S18" s="4"/>
      <c r="T18" s="4"/>
      <c r="U18" s="4"/>
      <c r="V18" s="4"/>
      <c r="W18" s="4"/>
      <c r="X18" s="4"/>
      <c r="Y18" s="121"/>
      <c r="Z18" s="123"/>
      <c r="AA18" s="8">
        <v>2</v>
      </c>
      <c r="AB18" s="8">
        <v>3</v>
      </c>
      <c r="AC18" s="8">
        <v>3</v>
      </c>
      <c r="AD18" s="8">
        <v>3</v>
      </c>
      <c r="AE18" s="8">
        <v>3</v>
      </c>
      <c r="AF18" s="8">
        <v>2</v>
      </c>
      <c r="AG18" s="8"/>
      <c r="AH18" s="8"/>
      <c r="AI18" s="3">
        <f t="shared" si="1"/>
        <v>3</v>
      </c>
      <c r="AJ18" s="3"/>
      <c r="AK18" s="3">
        <f t="shared" si="2"/>
        <v>646.265625</v>
      </c>
      <c r="AL18" s="3" t="str">
        <f>IF(H24&gt;0,IF(J24=999,IF(AI18=1,H24+(K10),IF(AI18=2,H24+(K10/2),"")),""),"")</f>
        <v/>
      </c>
      <c r="AM18" s="3" t="str">
        <f>IF(H24=0,IF(J24&lt;999,IF(AI18=5,J24-(K10),IF(AI18=4,J24-(K10/2),"")),""),"")</f>
        <v/>
      </c>
      <c r="AN18" s="3" t="str">
        <f>IF(H24=0,IF(AI18=3,IF(AD18=3,J24-(K10/8),IF(AC18=3,J24-(K10/8),IF(AB18=3,J24-(K10/4),J24-(K10/2)))),""),"")</f>
        <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row>
    <row r="19" spans="1:74" ht="16.5" customHeight="1" thickBot="1" x14ac:dyDescent="0.3">
      <c r="A19" s="4"/>
      <c r="B19" s="4"/>
      <c r="C19" s="138" t="s">
        <v>361</v>
      </c>
      <c r="D19" s="133"/>
      <c r="E19" s="139"/>
      <c r="F19" s="129"/>
      <c r="G19" s="145" t="s">
        <v>363</v>
      </c>
      <c r="H19" s="134"/>
      <c r="I19" s="134"/>
      <c r="J19" s="134"/>
      <c r="K19" s="134"/>
      <c r="L19" s="139"/>
      <c r="M19" s="121"/>
      <c r="N19" s="161" t="s">
        <v>349</v>
      </c>
      <c r="O19" s="153"/>
      <c r="P19" s="780" t="s">
        <v>350</v>
      </c>
      <c r="Q19" s="781"/>
      <c r="R19" s="777" t="s">
        <v>768</v>
      </c>
      <c r="S19" s="778"/>
      <c r="T19" s="777" t="s">
        <v>769</v>
      </c>
      <c r="U19" s="779"/>
      <c r="V19" s="776"/>
      <c r="W19" s="776"/>
      <c r="X19" s="776"/>
      <c r="Y19" s="776"/>
      <c r="Z19" s="123"/>
      <c r="AA19" s="8">
        <v>3</v>
      </c>
      <c r="AB19" s="8">
        <v>2</v>
      </c>
      <c r="AC19" s="8">
        <v>2</v>
      </c>
      <c r="AD19" s="8">
        <v>3</v>
      </c>
      <c r="AE19" s="8">
        <v>2</v>
      </c>
      <c r="AF19" s="8">
        <v>2</v>
      </c>
      <c r="AG19" s="8"/>
      <c r="AH19" s="8"/>
      <c r="AI19" s="3">
        <f t="shared" si="1"/>
        <v>3</v>
      </c>
      <c r="AJ19" s="3"/>
      <c r="AK19" s="3">
        <f t="shared" si="2"/>
        <v>421.203125</v>
      </c>
      <c r="AL19" s="3" t="str">
        <f>IF(H25&gt;0,IF(J25=999,IF(AI19=1,H25+(K10),IF(AI19=2,H25+(K10/2),"")),""),"")</f>
        <v/>
      </c>
      <c r="AM19" s="3" t="str">
        <f>IF(H25=0,IF(J25&lt;999,IF(AI19=5,J25-(K10),IF(AI19=4,J25-(K10/2),"")),""),"")</f>
        <v/>
      </c>
      <c r="AN19" s="3" t="str">
        <f>IF(H25=0,IF(AI19=3,IF(AD19=3,J25-(K10/8),IF(AC19=3,J25-(K10/8),IF(AB19=3,J25-(K10/4),J25-(K10/2)))),""),"")</f>
        <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row>
    <row r="20" spans="1:74" x14ac:dyDescent="0.25">
      <c r="A20" s="4"/>
      <c r="B20" s="4"/>
      <c r="C20" s="158"/>
      <c r="D20" s="129"/>
      <c r="E20" s="159"/>
      <c r="F20" s="5"/>
      <c r="G20" s="155"/>
      <c r="H20" s="156"/>
      <c r="I20" s="156"/>
      <c r="J20" s="156"/>
      <c r="K20" s="156"/>
      <c r="L20" s="157"/>
      <c r="M20" s="4"/>
      <c r="N20" s="160"/>
      <c r="O20" s="564" t="s">
        <v>191</v>
      </c>
      <c r="P20" s="501" t="s">
        <v>190</v>
      </c>
      <c r="Q20" s="502" t="s">
        <v>189</v>
      </c>
      <c r="R20" s="501" t="s">
        <v>190</v>
      </c>
      <c r="S20" s="575" t="s">
        <v>189</v>
      </c>
      <c r="T20" s="501" t="s">
        <v>190</v>
      </c>
      <c r="U20" s="502" t="s">
        <v>189</v>
      </c>
      <c r="V20" s="594"/>
      <c r="W20" s="594"/>
      <c r="X20" s="594"/>
      <c r="Y20" s="594"/>
      <c r="Z20" s="125"/>
      <c r="AA20" s="8">
        <v>3</v>
      </c>
      <c r="AB20" s="8">
        <v>2</v>
      </c>
      <c r="AC20" s="8">
        <v>2</v>
      </c>
      <c r="AD20" s="8">
        <v>3</v>
      </c>
      <c r="AE20" s="8">
        <v>3</v>
      </c>
      <c r="AF20" s="8">
        <v>3</v>
      </c>
      <c r="AG20" s="8"/>
      <c r="AH20" s="8"/>
      <c r="AI20" s="3">
        <f t="shared" si="1"/>
        <v>3</v>
      </c>
      <c r="AJ20" s="3"/>
      <c r="AK20" s="3">
        <f t="shared" si="2"/>
        <v>72.671875</v>
      </c>
      <c r="AL20" s="3" t="str">
        <f>IF(H26&gt;0,IF(J26=999,IF(AI20=1,H26+(K10),IF(AI20=2,H26+(K10/2),"")),""),"")</f>
        <v/>
      </c>
      <c r="AM20" s="3" t="str">
        <f>IF(H26=0,IF(J26&lt;999,IF(AI20=5,J26-(K10),IF(AI20=4,J26-(K10/2),"")),""),"")</f>
        <v/>
      </c>
      <c r="AN20" s="3" t="str">
        <f>IF(H26=0,IF(AI20=3,IF(AD20=3,J26-(K10/8),IF(AC20=3,J26-(K10/8),IF(AB20=3,J26-(K10/4),J26-(K10/2)))),""),"")</f>
        <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row>
    <row r="21" spans="1:74" x14ac:dyDescent="0.25">
      <c r="A21" s="4"/>
      <c r="B21" s="4"/>
      <c r="C21" s="556" t="s">
        <v>0</v>
      </c>
      <c r="D21" s="557" t="s">
        <v>7</v>
      </c>
      <c r="E21" s="543">
        <f>IF(AK6&gt;0,IF(E4="Complete","-",AK6),"-")</f>
        <v>731.203125</v>
      </c>
      <c r="F21" s="5"/>
      <c r="G21" s="146" t="s">
        <v>18</v>
      </c>
      <c r="H21" s="130">
        <f t="shared" ref="H21:H26" si="3">IF(Z23="LOWER",MAX(AA23:AP23),MAX(AA23:AX23))</f>
        <v>729.78125</v>
      </c>
      <c r="I21" s="131" t="s">
        <v>19</v>
      </c>
      <c r="J21" s="130">
        <f t="shared" ref="J21:J26" si="4">IF(Z23="LOWER",MIN(AQ23:BO23),MIN(AY23:BO23))</f>
        <v>732.625</v>
      </c>
      <c r="K21" s="132" t="str">
        <f t="shared" ref="K21:K26" si="5">Z23</f>
        <v>LOWER</v>
      </c>
      <c r="L21" s="147" t="s">
        <v>21</v>
      </c>
      <c r="M21" s="6"/>
      <c r="N21" s="548" t="s">
        <v>351</v>
      </c>
      <c r="O21" s="545">
        <f>ROUND(IF(E4&gt;5,IF(K21="LOWER",AK6+(K10/2),AK6-(K10/2)),""),0)</f>
        <v>792</v>
      </c>
      <c r="P21" s="527">
        <f>ROUND(O21+(Resources!S17)*(P16-P15),0)</f>
        <v>810</v>
      </c>
      <c r="Q21" s="528">
        <f>ROUND(O21+(Resources!S17)*(P14-P15),0)</f>
        <v>820</v>
      </c>
      <c r="R21" s="27">
        <f>ROUND(SUM(O21+(189-(P16*3.115))),0)</f>
        <v>875</v>
      </c>
      <c r="S21" s="583">
        <f>ROUND(SUM(O21+(189-(P14*3.115))),0)</f>
        <v>869</v>
      </c>
      <c r="T21" s="585">
        <f>ROUND(SUM(O21-(210-(P16*4.117))),0)</f>
        <v>722</v>
      </c>
      <c r="U21" s="586">
        <f>ROUND(SUM(O21-(210-(P14*4.117))),0)</f>
        <v>730</v>
      </c>
      <c r="V21" s="595"/>
      <c r="W21" s="595"/>
      <c r="X21" s="595"/>
      <c r="Y21" s="596"/>
      <c r="Z21" s="125"/>
      <c r="AA21" s="3"/>
      <c r="AB21" s="3"/>
      <c r="AC21" s="3"/>
      <c r="AD21" s="3"/>
      <c r="AE21" s="3"/>
      <c r="AF21" s="3"/>
      <c r="AG21" s="3"/>
      <c r="AH21" s="3"/>
      <c r="AI21" s="3"/>
      <c r="AJ21" s="3"/>
      <c r="AK21" s="3" t="str">
        <f>IF(G28&gt;0,IF(I28&lt;999,AVERAGE(G28,I28),""),"")</f>
        <v/>
      </c>
      <c r="AL21" s="3" t="str">
        <f>IF(G27&gt;0,IF(I27=999,IF(AI21=1,G27+(K10),IF(AI21=2,G27+(K10/2),"")),""),"")</f>
        <v/>
      </c>
      <c r="AM21" s="3" t="str">
        <f>IF(G27=0,IF(I27&lt;999,IF(AI21=5,G27-(K10),IF(AI21=4,G27-(K10/2),"")),""),"")</f>
        <v/>
      </c>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row>
    <row r="22" spans="1:74" x14ac:dyDescent="0.25">
      <c r="A22" s="4"/>
      <c r="B22" s="4"/>
      <c r="C22" s="556" t="s">
        <v>1</v>
      </c>
      <c r="D22" s="557" t="s">
        <v>7</v>
      </c>
      <c r="E22" s="543">
        <f>IF(AK7&gt;0,IF(E4="Complete","-",AK7),"-")</f>
        <v>731.203125</v>
      </c>
      <c r="F22" s="5"/>
      <c r="G22" s="146" t="s">
        <v>18</v>
      </c>
      <c r="H22" s="130">
        <f t="shared" si="3"/>
        <v>729.78125</v>
      </c>
      <c r="I22" s="131" t="s">
        <v>19</v>
      </c>
      <c r="J22" s="130">
        <f t="shared" si="4"/>
        <v>732.625</v>
      </c>
      <c r="K22" s="132" t="str">
        <f t="shared" si="5"/>
        <v>LOWER</v>
      </c>
      <c r="L22" s="147" t="s">
        <v>21</v>
      </c>
      <c r="M22" s="6"/>
      <c r="N22" s="548" t="s">
        <v>352</v>
      </c>
      <c r="O22" s="546">
        <f>ROUND(IF(E4&gt;5,IF(K22="LOWER",AK7+(K10/2),AK7-(K10/2)),""),0)</f>
        <v>792</v>
      </c>
      <c r="P22" s="527">
        <f>ROUND(O22+(Resources!S18)*(P16-P15),0)</f>
        <v>810</v>
      </c>
      <c r="Q22" s="528">
        <f>ROUND(O22+(Resources!S18)*(P14-P15),0)</f>
        <v>820</v>
      </c>
      <c r="R22" s="27">
        <f>ROUND(SUM(O22+(189-(P16*3.115))),0)</f>
        <v>875</v>
      </c>
      <c r="S22" s="583">
        <f>ROUND(SUM(O22+(189-(P14*3.115))),0)</f>
        <v>869</v>
      </c>
      <c r="T22" s="585">
        <f>ROUND(SUM(O22-(210-(P16*4.117))),0)</f>
        <v>722</v>
      </c>
      <c r="U22" s="586">
        <f>ROUND(SUM(O22-(210-(P14*4.117))),0)</f>
        <v>730</v>
      </c>
      <c r="V22" s="595"/>
      <c r="W22" s="595"/>
      <c r="X22" s="595"/>
      <c r="Y22" s="596"/>
      <c r="Z22" s="125"/>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row>
    <row r="23" spans="1:74" x14ac:dyDescent="0.25">
      <c r="A23" s="4"/>
      <c r="B23" s="4"/>
      <c r="C23" s="556" t="s">
        <v>2</v>
      </c>
      <c r="D23" s="557" t="s">
        <v>7</v>
      </c>
      <c r="E23" s="543">
        <f>IF(AK8&gt;0,IF(E4="Complete","-",AK8),"-")</f>
        <v>440.734375</v>
      </c>
      <c r="F23" s="5"/>
      <c r="G23" s="146" t="s">
        <v>18</v>
      </c>
      <c r="H23" s="130">
        <f t="shared" si="3"/>
        <v>439.3125</v>
      </c>
      <c r="I23" s="131" t="s">
        <v>19</v>
      </c>
      <c r="J23" s="130">
        <f t="shared" si="4"/>
        <v>442.15625</v>
      </c>
      <c r="K23" s="132" t="str">
        <f t="shared" si="5"/>
        <v>LOWER</v>
      </c>
      <c r="L23" s="147" t="s">
        <v>21</v>
      </c>
      <c r="M23" s="6"/>
      <c r="N23" s="548" t="s">
        <v>356</v>
      </c>
      <c r="O23" s="546">
        <f>ROUND(IF(E4&gt;5,IF(K23="LOWER",AK8+(K10/2),AK8-(K10/2)),""),0)</f>
        <v>502</v>
      </c>
      <c r="P23" s="527">
        <f>ROUND(O23+(Resources!S19)*(P16-P15),0)</f>
        <v>487</v>
      </c>
      <c r="Q23" s="528">
        <f>ROUND(O23+(Resources!S19)*(P14-P15),0)</f>
        <v>479</v>
      </c>
      <c r="R23" s="27">
        <f>ROUND(SUM(O23-(216-(P16*3.845))),0)</f>
        <v>417</v>
      </c>
      <c r="S23" s="583">
        <f>ROUND(SUM(O23-(216-(P14*3.845))),0)</f>
        <v>424</v>
      </c>
      <c r="T23" s="585">
        <f>ROUND(SUM(O23+(228-(P16*4.43))),0)</f>
        <v>579</v>
      </c>
      <c r="U23" s="586">
        <f>ROUND(SUM(O23+(228-(P14*4.43))),0)</f>
        <v>571</v>
      </c>
      <c r="V23" s="595"/>
      <c r="W23" s="595"/>
      <c r="X23" s="595"/>
      <c r="Y23" s="596"/>
      <c r="Z23" s="125" t="str">
        <f t="shared" ref="Z23:Z28" si="6">IF(AA15&gt;0,IF(AA15&gt;3,"HIGHER","LOWER")," ")</f>
        <v>LOWER</v>
      </c>
      <c r="AA23" s="3" t="str">
        <f>IF(AA15=1,AA6," ")</f>
        <v xml:space="preserve"> </v>
      </c>
      <c r="AB23" s="3" t="str">
        <f t="shared" ref="AB23:AH23" si="7">IF(AB15=1,AB6," ")</f>
        <v xml:space="preserve"> </v>
      </c>
      <c r="AC23" s="3" t="str">
        <f t="shared" si="7"/>
        <v xml:space="preserve"> </v>
      </c>
      <c r="AD23" s="3" t="str">
        <f t="shared" si="7"/>
        <v xml:space="preserve"> </v>
      </c>
      <c r="AE23" s="3" t="str">
        <f t="shared" si="7"/>
        <v xml:space="preserve"> </v>
      </c>
      <c r="AF23" s="3" t="str">
        <f t="shared" si="7"/>
        <v xml:space="preserve"> </v>
      </c>
      <c r="AG23" s="3" t="str">
        <f t="shared" si="7"/>
        <v xml:space="preserve"> </v>
      </c>
      <c r="AH23" s="3" t="str">
        <f t="shared" si="7"/>
        <v xml:space="preserve"> </v>
      </c>
      <c r="AI23" s="3" t="str">
        <f t="shared" ref="AI23:AI28" si="8">IF(AA15=2,AA6," ")</f>
        <v xml:space="preserve"> </v>
      </c>
      <c r="AJ23" s="3">
        <f t="shared" ref="AJ23:AP28" si="9">IF(AB15=2,AB6," ")</f>
        <v>698.5</v>
      </c>
      <c r="AK23" s="3">
        <f t="shared" si="9"/>
        <v>721.25</v>
      </c>
      <c r="AL23" s="3" t="str">
        <f t="shared" si="9"/>
        <v xml:space="preserve"> </v>
      </c>
      <c r="AM23" s="3">
        <f t="shared" si="9"/>
        <v>726.9375</v>
      </c>
      <c r="AN23" s="3">
        <f t="shared" si="9"/>
        <v>729.78125</v>
      </c>
      <c r="AO23" s="3" t="str">
        <f t="shared" si="9"/>
        <v xml:space="preserve"> </v>
      </c>
      <c r="AP23" s="3" t="str">
        <f t="shared" si="9"/>
        <v xml:space="preserve"> </v>
      </c>
      <c r="AQ23" s="3">
        <f t="shared" ref="AQ23:AQ28" si="10">IF(AA15=3,AA6," ")</f>
        <v>744</v>
      </c>
      <c r="AR23" s="3" t="str">
        <f t="shared" ref="AR23:AX28" si="11">IF(AB15=3,AB6," ")</f>
        <v xml:space="preserve"> </v>
      </c>
      <c r="AS23" s="3" t="str">
        <f t="shared" si="11"/>
        <v xml:space="preserve"> </v>
      </c>
      <c r="AT23" s="3">
        <f t="shared" si="11"/>
        <v>732.625</v>
      </c>
      <c r="AU23" s="3" t="str">
        <f t="shared" si="11"/>
        <v xml:space="preserve"> </v>
      </c>
      <c r="AV23" s="3" t="str">
        <f t="shared" si="11"/>
        <v xml:space="preserve"> </v>
      </c>
      <c r="AW23" s="3" t="str">
        <f t="shared" si="11"/>
        <v xml:space="preserve"> </v>
      </c>
      <c r="AX23" s="3" t="str">
        <f t="shared" si="11"/>
        <v xml:space="preserve"> </v>
      </c>
      <c r="AY23" s="3" t="str">
        <f t="shared" ref="AY23:AY28" si="12">IF(AA15=4,AA6," ")</f>
        <v xml:space="preserve"> </v>
      </c>
      <c r="AZ23" s="3" t="str">
        <f t="shared" ref="AZ23:BF28" si="13">IF(AB15=4,AB6," ")</f>
        <v xml:space="preserve"> </v>
      </c>
      <c r="BA23" s="3" t="str">
        <f t="shared" si="13"/>
        <v xml:space="preserve"> </v>
      </c>
      <c r="BB23" s="3" t="str">
        <f t="shared" si="13"/>
        <v xml:space="preserve"> </v>
      </c>
      <c r="BC23" s="3" t="str">
        <f t="shared" si="13"/>
        <v xml:space="preserve"> </v>
      </c>
      <c r="BD23" s="3" t="str">
        <f t="shared" si="13"/>
        <v xml:space="preserve"> </v>
      </c>
      <c r="BE23" s="3" t="str">
        <f t="shared" si="13"/>
        <v xml:space="preserve"> </v>
      </c>
      <c r="BF23" s="3" t="str">
        <f t="shared" si="13"/>
        <v xml:space="preserve"> </v>
      </c>
      <c r="BG23" s="3" t="str">
        <f t="shared" ref="BG23:BG28" si="14">IF(AA15=5,AA6," ")</f>
        <v xml:space="preserve"> </v>
      </c>
      <c r="BH23" s="3" t="str">
        <f t="shared" ref="BH23:BN28" si="15">IF(AB15=5,AB6," ")</f>
        <v xml:space="preserve"> </v>
      </c>
      <c r="BI23" s="3" t="str">
        <f t="shared" si="15"/>
        <v xml:space="preserve"> </v>
      </c>
      <c r="BJ23" s="3" t="str">
        <f t="shared" si="15"/>
        <v xml:space="preserve"> </v>
      </c>
      <c r="BK23" s="3" t="str">
        <f t="shared" si="15"/>
        <v xml:space="preserve"> </v>
      </c>
      <c r="BL23" s="3" t="str">
        <f t="shared" si="15"/>
        <v xml:space="preserve"> </v>
      </c>
      <c r="BM23" s="3" t="str">
        <f t="shared" si="15"/>
        <v xml:space="preserve"> </v>
      </c>
      <c r="BN23" s="3" t="str">
        <f t="shared" si="15"/>
        <v xml:space="preserve"> </v>
      </c>
      <c r="BO23" s="3">
        <v>999</v>
      </c>
      <c r="BP23" s="3"/>
      <c r="BQ23" s="3"/>
      <c r="BR23" s="3"/>
      <c r="BS23" s="3"/>
      <c r="BT23" s="3"/>
      <c r="BU23" s="3"/>
      <c r="BV23" s="3"/>
    </row>
    <row r="24" spans="1:74" x14ac:dyDescent="0.25">
      <c r="A24" s="4"/>
      <c r="B24" s="4"/>
      <c r="C24" s="556" t="s">
        <v>3</v>
      </c>
      <c r="D24" s="557" t="s">
        <v>7</v>
      </c>
      <c r="E24" s="543">
        <f>IF(AK9&gt;0,IF(E4="Complete","-",AK9),"-")</f>
        <v>646.265625</v>
      </c>
      <c r="F24" s="5"/>
      <c r="G24" s="146" t="s">
        <v>18</v>
      </c>
      <c r="H24" s="130">
        <f t="shared" si="3"/>
        <v>644.84375</v>
      </c>
      <c r="I24" s="131" t="s">
        <v>19</v>
      </c>
      <c r="J24" s="130">
        <f t="shared" si="4"/>
        <v>647.6875</v>
      </c>
      <c r="K24" s="132" t="str">
        <f t="shared" si="5"/>
        <v>LOWER</v>
      </c>
      <c r="L24" s="147" t="s">
        <v>21</v>
      </c>
      <c r="M24" s="6"/>
      <c r="N24" s="548" t="s">
        <v>353</v>
      </c>
      <c r="O24" s="546">
        <f>ROUND(IF(E4&gt;5,IF(K24="LOWER",AK9+(K10/2),AK9-(K10/2)),""),0)</f>
        <v>707</v>
      </c>
      <c r="P24" s="527">
        <f>ROUND(O24+(Resources!S20)*(P16-P15),0)</f>
        <v>731</v>
      </c>
      <c r="Q24" s="528">
        <f>ROUND(O24+(Resources!S20)*(P14-P15),0)</f>
        <v>743</v>
      </c>
      <c r="R24" s="27">
        <f>ROUND(SUM(O24+(77-(P16*0.725))),0)</f>
        <v>759</v>
      </c>
      <c r="S24" s="583">
        <f>ROUND(SUM(O24+(77-(P14*0.725))),0)</f>
        <v>758</v>
      </c>
      <c r="T24" s="585">
        <f>ROUND(SUM(O24-(119-(P16*2.725))),0)</f>
        <v>681</v>
      </c>
      <c r="U24" s="586">
        <f>ROUND(SUM(O24-(119-(P14*2.725))),0)</f>
        <v>686</v>
      </c>
      <c r="V24" s="595"/>
      <c r="W24" s="595"/>
      <c r="X24" s="595"/>
      <c r="Y24" s="596"/>
      <c r="Z24" s="125" t="str">
        <f t="shared" si="6"/>
        <v>LOWER</v>
      </c>
      <c r="AA24" s="3" t="str">
        <f t="shared" ref="AA24:AH28" si="16">IF(AA16=1,AA7," ")</f>
        <v xml:space="preserve"> </v>
      </c>
      <c r="AB24" s="3" t="str">
        <f t="shared" si="16"/>
        <v xml:space="preserve"> </v>
      </c>
      <c r="AC24" s="3" t="str">
        <f t="shared" si="16"/>
        <v xml:space="preserve"> </v>
      </c>
      <c r="AD24" s="3" t="str">
        <f t="shared" si="16"/>
        <v xml:space="preserve"> </v>
      </c>
      <c r="AE24" s="3" t="str">
        <f t="shared" si="16"/>
        <v xml:space="preserve"> </v>
      </c>
      <c r="AF24" s="3" t="str">
        <f t="shared" si="16"/>
        <v xml:space="preserve"> </v>
      </c>
      <c r="AG24" s="3" t="str">
        <f t="shared" si="16"/>
        <v xml:space="preserve"> </v>
      </c>
      <c r="AH24" s="3" t="str">
        <f t="shared" si="16"/>
        <v xml:space="preserve"> </v>
      </c>
      <c r="AI24" s="3" t="str">
        <f t="shared" si="8"/>
        <v xml:space="preserve"> </v>
      </c>
      <c r="AJ24" s="3">
        <f t="shared" si="9"/>
        <v>698.5</v>
      </c>
      <c r="AK24" s="3">
        <f t="shared" si="9"/>
        <v>721.25</v>
      </c>
      <c r="AL24" s="3" t="str">
        <f t="shared" si="9"/>
        <v xml:space="preserve"> </v>
      </c>
      <c r="AM24" s="3">
        <f t="shared" si="9"/>
        <v>726.9375</v>
      </c>
      <c r="AN24" s="3">
        <f t="shared" si="9"/>
        <v>729.78125</v>
      </c>
      <c r="AO24" s="3" t="str">
        <f t="shared" si="9"/>
        <v xml:space="preserve"> </v>
      </c>
      <c r="AP24" s="3" t="str">
        <f t="shared" si="9"/>
        <v xml:space="preserve"> </v>
      </c>
      <c r="AQ24" s="3">
        <f t="shared" si="10"/>
        <v>744</v>
      </c>
      <c r="AR24" s="3" t="str">
        <f t="shared" si="11"/>
        <v xml:space="preserve"> </v>
      </c>
      <c r="AS24" s="3" t="str">
        <f t="shared" si="11"/>
        <v xml:space="preserve"> </v>
      </c>
      <c r="AT24" s="3">
        <f t="shared" si="11"/>
        <v>732.625</v>
      </c>
      <c r="AU24" s="3" t="str">
        <f t="shared" si="11"/>
        <v xml:space="preserve"> </v>
      </c>
      <c r="AV24" s="3" t="str">
        <f t="shared" si="11"/>
        <v xml:space="preserve"> </v>
      </c>
      <c r="AW24" s="3" t="str">
        <f t="shared" si="11"/>
        <v xml:space="preserve"> </v>
      </c>
      <c r="AX24" s="3" t="str">
        <f t="shared" si="11"/>
        <v xml:space="preserve"> </v>
      </c>
      <c r="AY24" s="3" t="str">
        <f t="shared" si="12"/>
        <v xml:space="preserve"> </v>
      </c>
      <c r="AZ24" s="3" t="str">
        <f t="shared" si="13"/>
        <v xml:space="preserve"> </v>
      </c>
      <c r="BA24" s="3" t="str">
        <f t="shared" si="13"/>
        <v xml:space="preserve"> </v>
      </c>
      <c r="BB24" s="3" t="str">
        <f t="shared" si="13"/>
        <v xml:space="preserve"> </v>
      </c>
      <c r="BC24" s="3" t="str">
        <f t="shared" si="13"/>
        <v xml:space="preserve"> </v>
      </c>
      <c r="BD24" s="3" t="str">
        <f t="shared" si="13"/>
        <v xml:space="preserve"> </v>
      </c>
      <c r="BE24" s="3" t="str">
        <f t="shared" si="13"/>
        <v xml:space="preserve"> </v>
      </c>
      <c r="BF24" s="3" t="str">
        <f t="shared" si="13"/>
        <v xml:space="preserve"> </v>
      </c>
      <c r="BG24" s="3" t="str">
        <f t="shared" si="14"/>
        <v xml:space="preserve"> </v>
      </c>
      <c r="BH24" s="3" t="str">
        <f t="shared" si="15"/>
        <v xml:space="preserve"> </v>
      </c>
      <c r="BI24" s="3" t="str">
        <f t="shared" si="15"/>
        <v xml:space="preserve"> </v>
      </c>
      <c r="BJ24" s="3" t="str">
        <f t="shared" si="15"/>
        <v xml:space="preserve"> </v>
      </c>
      <c r="BK24" s="3" t="str">
        <f t="shared" si="15"/>
        <v xml:space="preserve"> </v>
      </c>
      <c r="BL24" s="3" t="str">
        <f t="shared" si="15"/>
        <v xml:space="preserve"> </v>
      </c>
      <c r="BM24" s="3" t="str">
        <f t="shared" si="15"/>
        <v xml:space="preserve"> </v>
      </c>
      <c r="BN24" s="3" t="str">
        <f t="shared" si="15"/>
        <v xml:space="preserve"> </v>
      </c>
      <c r="BO24" s="3">
        <v>999</v>
      </c>
      <c r="BP24" s="3"/>
      <c r="BQ24" s="3"/>
      <c r="BR24" s="3"/>
      <c r="BS24" s="3"/>
      <c r="BT24" s="3"/>
      <c r="BU24" s="3"/>
      <c r="BV24" s="3"/>
    </row>
    <row r="25" spans="1:74" x14ac:dyDescent="0.25">
      <c r="A25" s="4"/>
      <c r="B25" s="4"/>
      <c r="C25" s="556" t="s">
        <v>4</v>
      </c>
      <c r="D25" s="557" t="s">
        <v>7</v>
      </c>
      <c r="E25" s="543">
        <f>IF(AK10&gt;0,IF(E4="Complete","-",AK10),"-")</f>
        <v>421.203125</v>
      </c>
      <c r="F25" s="5"/>
      <c r="G25" s="146" t="s">
        <v>18</v>
      </c>
      <c r="H25" s="130">
        <f t="shared" si="3"/>
        <v>419.78125</v>
      </c>
      <c r="I25" s="131" t="s">
        <v>19</v>
      </c>
      <c r="J25" s="130">
        <f t="shared" si="4"/>
        <v>422.625</v>
      </c>
      <c r="K25" s="132" t="str">
        <f t="shared" si="5"/>
        <v>LOWER</v>
      </c>
      <c r="L25" s="147" t="s">
        <v>21</v>
      </c>
      <c r="M25" s="6"/>
      <c r="N25" s="548" t="s">
        <v>354</v>
      </c>
      <c r="O25" s="546">
        <f>ROUND(IF(E4&gt;5,IF(K25="LOWER",AK10+(K10/2),AK10-(K10/2)),""),0)</f>
        <v>482</v>
      </c>
      <c r="P25" s="527">
        <f>ROUND(O25+(Resources!S21)*(P16-P15),0)</f>
        <v>465</v>
      </c>
      <c r="Q25" s="528">
        <f>ROUND(O25+(Resources!S21)*(P14-P15),0)</f>
        <v>457</v>
      </c>
      <c r="R25" s="27">
        <f>ROUND(SUM(O25-(-8+(P16*4.665))),0)</f>
        <v>331</v>
      </c>
      <c r="S25" s="583">
        <f>ROUND(SUM(O25-(-7+(P14*4.45))),0)</f>
        <v>329</v>
      </c>
      <c r="T25" s="585">
        <f>ROUND(SUM(O25+(42+(P16*2.255))),0)</f>
        <v>601</v>
      </c>
      <c r="U25" s="586">
        <f>ROUND(SUM(O25+(42+(P14*2.255))),0)</f>
        <v>605</v>
      </c>
      <c r="V25" s="595"/>
      <c r="W25" s="595"/>
      <c r="X25" s="595"/>
      <c r="Y25" s="596"/>
      <c r="Z25" s="125" t="str">
        <f t="shared" si="6"/>
        <v>LOWER</v>
      </c>
      <c r="AA25" s="3" t="str">
        <f t="shared" si="16"/>
        <v xml:space="preserve"> </v>
      </c>
      <c r="AB25" s="3" t="str">
        <f t="shared" si="16"/>
        <v xml:space="preserve"> </v>
      </c>
      <c r="AC25" s="3" t="str">
        <f t="shared" si="16"/>
        <v xml:space="preserve"> </v>
      </c>
      <c r="AD25" s="3" t="str">
        <f t="shared" si="16"/>
        <v xml:space="preserve"> </v>
      </c>
      <c r="AE25" s="3" t="str">
        <f t="shared" si="16"/>
        <v xml:space="preserve"> </v>
      </c>
      <c r="AF25" s="3" t="str">
        <f t="shared" si="16"/>
        <v xml:space="preserve"> </v>
      </c>
      <c r="AG25" s="3" t="str">
        <f t="shared" si="16"/>
        <v xml:space="preserve"> </v>
      </c>
      <c r="AH25" s="3" t="str">
        <f t="shared" si="16"/>
        <v xml:space="preserve"> </v>
      </c>
      <c r="AI25" s="3" t="str">
        <f t="shared" si="8"/>
        <v xml:space="preserve"> </v>
      </c>
      <c r="AJ25" s="3">
        <f t="shared" si="9"/>
        <v>399.5</v>
      </c>
      <c r="AK25" s="3">
        <f t="shared" si="9"/>
        <v>422.25</v>
      </c>
      <c r="AL25" s="3">
        <f t="shared" si="9"/>
        <v>433.625</v>
      </c>
      <c r="AM25" s="3">
        <f t="shared" si="9"/>
        <v>439.3125</v>
      </c>
      <c r="AN25" s="3" t="str">
        <f t="shared" si="9"/>
        <v xml:space="preserve"> </v>
      </c>
      <c r="AO25" s="3" t="str">
        <f t="shared" si="9"/>
        <v xml:space="preserve"> </v>
      </c>
      <c r="AP25" s="3" t="str">
        <f t="shared" si="9"/>
        <v xml:space="preserve"> </v>
      </c>
      <c r="AQ25" s="3">
        <f t="shared" si="10"/>
        <v>445</v>
      </c>
      <c r="AR25" s="3" t="str">
        <f t="shared" si="11"/>
        <v xml:space="preserve"> </v>
      </c>
      <c r="AS25" s="3" t="str">
        <f t="shared" si="11"/>
        <v xml:space="preserve"> </v>
      </c>
      <c r="AT25" s="3" t="str">
        <f t="shared" si="11"/>
        <v xml:space="preserve"> </v>
      </c>
      <c r="AU25" s="3" t="str">
        <f t="shared" si="11"/>
        <v xml:space="preserve"> </v>
      </c>
      <c r="AV25" s="3">
        <f t="shared" si="11"/>
        <v>442.15625</v>
      </c>
      <c r="AW25" s="3" t="str">
        <f t="shared" si="11"/>
        <v xml:space="preserve"> </v>
      </c>
      <c r="AX25" s="3" t="str">
        <f t="shared" si="11"/>
        <v xml:space="preserve"> </v>
      </c>
      <c r="AY25" s="3" t="str">
        <f t="shared" si="12"/>
        <v xml:space="preserve"> </v>
      </c>
      <c r="AZ25" s="3" t="str">
        <f t="shared" si="13"/>
        <v xml:space="preserve"> </v>
      </c>
      <c r="BA25" s="3" t="str">
        <f t="shared" si="13"/>
        <v xml:space="preserve"> </v>
      </c>
      <c r="BB25" s="3" t="str">
        <f t="shared" si="13"/>
        <v xml:space="preserve"> </v>
      </c>
      <c r="BC25" s="3" t="str">
        <f t="shared" si="13"/>
        <v xml:space="preserve"> </v>
      </c>
      <c r="BD25" s="3" t="str">
        <f t="shared" si="13"/>
        <v xml:space="preserve"> </v>
      </c>
      <c r="BE25" s="3" t="str">
        <f t="shared" si="13"/>
        <v xml:space="preserve"> </v>
      </c>
      <c r="BF25" s="3" t="str">
        <f t="shared" si="13"/>
        <v xml:space="preserve"> </v>
      </c>
      <c r="BG25" s="3" t="str">
        <f t="shared" si="14"/>
        <v xml:space="preserve"> </v>
      </c>
      <c r="BH25" s="3" t="str">
        <f t="shared" si="15"/>
        <v xml:space="preserve"> </v>
      </c>
      <c r="BI25" s="3" t="str">
        <f t="shared" si="15"/>
        <v xml:space="preserve"> </v>
      </c>
      <c r="BJ25" s="3" t="str">
        <f t="shared" si="15"/>
        <v xml:space="preserve"> </v>
      </c>
      <c r="BK25" s="3" t="str">
        <f t="shared" si="15"/>
        <v xml:space="preserve"> </v>
      </c>
      <c r="BL25" s="3" t="str">
        <f t="shared" si="15"/>
        <v xml:space="preserve"> </v>
      </c>
      <c r="BM25" s="3" t="str">
        <f t="shared" si="15"/>
        <v xml:space="preserve"> </v>
      </c>
      <c r="BN25" s="3" t="str">
        <f t="shared" si="15"/>
        <v xml:space="preserve"> </v>
      </c>
      <c r="BO25" s="3">
        <v>999</v>
      </c>
      <c r="BP25" s="3"/>
      <c r="BQ25" s="3"/>
      <c r="BR25" s="3"/>
      <c r="BS25" s="3"/>
      <c r="BT25" s="3"/>
      <c r="BU25" s="3"/>
      <c r="BV25" s="3"/>
    </row>
    <row r="26" spans="1:74" ht="15.75" thickBot="1" x14ac:dyDescent="0.3">
      <c r="A26" s="4"/>
      <c r="B26" s="4"/>
      <c r="C26" s="558" t="s">
        <v>5</v>
      </c>
      <c r="D26" s="559" t="s">
        <v>7</v>
      </c>
      <c r="E26" s="544">
        <f>IF(AK11&gt;0,IF(E4="Complete","-",AK11),"-")</f>
        <v>72.671875</v>
      </c>
      <c r="F26" s="5"/>
      <c r="G26" s="148" t="s">
        <v>18</v>
      </c>
      <c r="H26" s="149">
        <f t="shared" si="3"/>
        <v>71.25</v>
      </c>
      <c r="I26" s="150" t="s">
        <v>19</v>
      </c>
      <c r="J26" s="149">
        <f t="shared" si="4"/>
        <v>74.09375</v>
      </c>
      <c r="K26" s="151" t="str">
        <f t="shared" si="5"/>
        <v>LOWER</v>
      </c>
      <c r="L26" s="152" t="s">
        <v>21</v>
      </c>
      <c r="M26" s="6"/>
      <c r="N26" s="549" t="s">
        <v>355</v>
      </c>
      <c r="O26" s="547">
        <f>ROUND(IF(E4&gt;5,IF(K26="LOWER",AK11+(K10/2),AK11-(K10/2)),""),0)</f>
        <v>134</v>
      </c>
      <c r="P26" s="529">
        <f>ROUND(O26+(Resources!S22)*(P16-P15),0)</f>
        <v>110</v>
      </c>
      <c r="Q26" s="530">
        <f>ROUND(O26+(Resources!S22)*(P14-P15),0)</f>
        <v>98</v>
      </c>
      <c r="R26" s="25">
        <f>ROUND(SUM(O26-(224-(P16*4))),0)</f>
        <v>46</v>
      </c>
      <c r="S26" s="584">
        <f>ROUND(SUM(O26-(224-(P14*4))),0)</f>
        <v>54</v>
      </c>
      <c r="T26" s="587">
        <f>ROUND(SUM(O26+(253-(P16*5.37))),0)</f>
        <v>204</v>
      </c>
      <c r="U26" s="588">
        <f>ROUND(SUM(O26+(253-(P14*5.37))),0)</f>
        <v>194</v>
      </c>
      <c r="V26" s="595"/>
      <c r="W26" s="595"/>
      <c r="X26" s="595"/>
      <c r="Y26" s="596"/>
      <c r="Z26" s="125" t="str">
        <f t="shared" si="6"/>
        <v>LOWER</v>
      </c>
      <c r="AA26" s="3" t="str">
        <f t="shared" si="16"/>
        <v xml:space="preserve"> </v>
      </c>
      <c r="AB26" s="3" t="str">
        <f t="shared" si="16"/>
        <v xml:space="preserve"> </v>
      </c>
      <c r="AC26" s="3" t="str">
        <f t="shared" si="16"/>
        <v xml:space="preserve"> </v>
      </c>
      <c r="AD26" s="3" t="str">
        <f t="shared" si="16"/>
        <v xml:space="preserve"> </v>
      </c>
      <c r="AE26" s="3" t="str">
        <f t="shared" si="16"/>
        <v xml:space="preserve"> </v>
      </c>
      <c r="AF26" s="3" t="str">
        <f t="shared" si="16"/>
        <v xml:space="preserve"> </v>
      </c>
      <c r="AG26" s="3" t="str">
        <f t="shared" si="16"/>
        <v xml:space="preserve"> </v>
      </c>
      <c r="AH26" s="3" t="str">
        <f t="shared" si="16"/>
        <v xml:space="preserve"> </v>
      </c>
      <c r="AI26" s="3">
        <f t="shared" si="8"/>
        <v>642</v>
      </c>
      <c r="AJ26" s="3" t="str">
        <f t="shared" si="9"/>
        <v xml:space="preserve"> </v>
      </c>
      <c r="AK26" s="3" t="str">
        <f t="shared" si="9"/>
        <v xml:space="preserve"> </v>
      </c>
      <c r="AL26" s="3" t="str">
        <f t="shared" si="9"/>
        <v xml:space="preserve"> </v>
      </c>
      <c r="AM26" s="3" t="str">
        <f t="shared" si="9"/>
        <v xml:space="preserve"> </v>
      </c>
      <c r="AN26" s="3">
        <f t="shared" si="9"/>
        <v>644.84375</v>
      </c>
      <c r="AO26" s="3" t="str">
        <f t="shared" si="9"/>
        <v xml:space="preserve"> </v>
      </c>
      <c r="AP26" s="3" t="str">
        <f t="shared" si="9"/>
        <v xml:space="preserve"> </v>
      </c>
      <c r="AQ26" s="3" t="str">
        <f t="shared" si="10"/>
        <v xml:space="preserve"> </v>
      </c>
      <c r="AR26" s="3">
        <f t="shared" si="11"/>
        <v>687.5</v>
      </c>
      <c r="AS26" s="3">
        <f t="shared" si="11"/>
        <v>664.75</v>
      </c>
      <c r="AT26" s="3">
        <f t="shared" si="11"/>
        <v>653.375</v>
      </c>
      <c r="AU26" s="3">
        <f t="shared" si="11"/>
        <v>647.6875</v>
      </c>
      <c r="AV26" s="3" t="str">
        <f t="shared" si="11"/>
        <v xml:space="preserve"> </v>
      </c>
      <c r="AW26" s="3" t="str">
        <f t="shared" si="11"/>
        <v xml:space="preserve"> </v>
      </c>
      <c r="AX26" s="3" t="str">
        <f t="shared" si="11"/>
        <v xml:space="preserve"> </v>
      </c>
      <c r="AY26" s="3" t="str">
        <f t="shared" si="12"/>
        <v xml:space="preserve"> </v>
      </c>
      <c r="AZ26" s="3" t="str">
        <f t="shared" si="13"/>
        <v xml:space="preserve"> </v>
      </c>
      <c r="BA26" s="3" t="str">
        <f t="shared" si="13"/>
        <v xml:space="preserve"> </v>
      </c>
      <c r="BB26" s="3" t="str">
        <f t="shared" si="13"/>
        <v xml:space="preserve"> </v>
      </c>
      <c r="BC26" s="3" t="str">
        <f t="shared" si="13"/>
        <v xml:space="preserve"> </v>
      </c>
      <c r="BD26" s="3" t="str">
        <f t="shared" si="13"/>
        <v xml:space="preserve"> </v>
      </c>
      <c r="BE26" s="3" t="str">
        <f t="shared" si="13"/>
        <v xml:space="preserve"> </v>
      </c>
      <c r="BF26" s="3" t="str">
        <f t="shared" si="13"/>
        <v xml:space="preserve"> </v>
      </c>
      <c r="BG26" s="3" t="str">
        <f t="shared" si="14"/>
        <v xml:space="preserve"> </v>
      </c>
      <c r="BH26" s="3" t="str">
        <f t="shared" si="15"/>
        <v xml:space="preserve"> </v>
      </c>
      <c r="BI26" s="3" t="str">
        <f t="shared" si="15"/>
        <v xml:space="preserve"> </v>
      </c>
      <c r="BJ26" s="3" t="str">
        <f t="shared" si="15"/>
        <v xml:space="preserve"> </v>
      </c>
      <c r="BK26" s="3" t="str">
        <f t="shared" si="15"/>
        <v xml:space="preserve"> </v>
      </c>
      <c r="BL26" s="3" t="str">
        <f t="shared" si="15"/>
        <v xml:space="preserve"> </v>
      </c>
      <c r="BM26" s="3" t="str">
        <f t="shared" si="15"/>
        <v xml:space="preserve"> </v>
      </c>
      <c r="BN26" s="3" t="str">
        <f t="shared" si="15"/>
        <v xml:space="preserve"> </v>
      </c>
      <c r="BO26" s="3">
        <v>999</v>
      </c>
      <c r="BP26" s="3"/>
      <c r="BQ26" s="3"/>
      <c r="BR26" s="3"/>
      <c r="BS26" s="3"/>
      <c r="BT26" s="3"/>
      <c r="BU26" s="3"/>
      <c r="BV26" s="3"/>
    </row>
    <row r="27" spans="1:74" x14ac:dyDescent="0.25">
      <c r="A27" s="4"/>
      <c r="B27" s="4"/>
      <c r="C27" s="4"/>
      <c r="D27" s="5"/>
      <c r="E27" s="4"/>
      <c r="F27" s="5"/>
      <c r="G27" s="4"/>
      <c r="H27" s="4"/>
      <c r="I27" s="4"/>
      <c r="J27" s="5"/>
      <c r="K27" s="4"/>
      <c r="L27" s="4"/>
      <c r="M27" s="4"/>
      <c r="N27" s="4"/>
      <c r="O27" s="4"/>
      <c r="P27" s="4"/>
      <c r="Q27" s="4"/>
      <c r="R27" s="4"/>
      <c r="S27" s="4"/>
      <c r="T27" s="4"/>
      <c r="U27" s="4"/>
      <c r="V27" s="4"/>
      <c r="W27" s="4"/>
      <c r="X27" s="4"/>
      <c r="Y27" s="122"/>
      <c r="Z27" s="125" t="str">
        <f t="shared" si="6"/>
        <v>LOWER</v>
      </c>
      <c r="AA27" s="3" t="str">
        <f t="shared" si="16"/>
        <v xml:space="preserve"> </v>
      </c>
      <c r="AB27" s="3" t="str">
        <f t="shared" si="16"/>
        <v xml:space="preserve"> </v>
      </c>
      <c r="AC27" s="3" t="str">
        <f t="shared" si="16"/>
        <v xml:space="preserve"> </v>
      </c>
      <c r="AD27" s="3" t="str">
        <f t="shared" si="16"/>
        <v xml:space="preserve"> </v>
      </c>
      <c r="AE27" s="3" t="str">
        <f t="shared" si="16"/>
        <v xml:space="preserve"> </v>
      </c>
      <c r="AF27" s="3" t="str">
        <f t="shared" si="16"/>
        <v xml:space="preserve"> </v>
      </c>
      <c r="AG27" s="3" t="str">
        <f t="shared" si="16"/>
        <v xml:space="preserve"> </v>
      </c>
      <c r="AH27" s="3" t="str">
        <f t="shared" si="16"/>
        <v xml:space="preserve"> </v>
      </c>
      <c r="AI27" s="3" t="str">
        <f t="shared" si="8"/>
        <v xml:space="preserve"> </v>
      </c>
      <c r="AJ27" s="3">
        <f t="shared" si="9"/>
        <v>388.5</v>
      </c>
      <c r="AK27" s="3">
        <f t="shared" si="9"/>
        <v>411.25</v>
      </c>
      <c r="AL27" s="3" t="str">
        <f t="shared" si="9"/>
        <v xml:space="preserve"> </v>
      </c>
      <c r="AM27" s="3">
        <f t="shared" si="9"/>
        <v>416.9375</v>
      </c>
      <c r="AN27" s="3">
        <f t="shared" si="9"/>
        <v>419.78125</v>
      </c>
      <c r="AO27" s="3" t="str">
        <f t="shared" si="9"/>
        <v xml:space="preserve"> </v>
      </c>
      <c r="AP27" s="3" t="str">
        <f t="shared" si="9"/>
        <v xml:space="preserve"> </v>
      </c>
      <c r="AQ27" s="3">
        <f t="shared" si="10"/>
        <v>434</v>
      </c>
      <c r="AR27" s="3" t="str">
        <f t="shared" si="11"/>
        <v xml:space="preserve"> </v>
      </c>
      <c r="AS27" s="3" t="str">
        <f t="shared" si="11"/>
        <v xml:space="preserve"> </v>
      </c>
      <c r="AT27" s="3">
        <f t="shared" si="11"/>
        <v>422.625</v>
      </c>
      <c r="AU27" s="3" t="str">
        <f t="shared" si="11"/>
        <v xml:space="preserve"> </v>
      </c>
      <c r="AV27" s="3" t="str">
        <f t="shared" si="11"/>
        <v xml:space="preserve"> </v>
      </c>
      <c r="AW27" s="3" t="str">
        <f t="shared" si="11"/>
        <v xml:space="preserve"> </v>
      </c>
      <c r="AX27" s="3" t="str">
        <f t="shared" si="11"/>
        <v xml:space="preserve"> </v>
      </c>
      <c r="AY27" s="3" t="str">
        <f t="shared" si="12"/>
        <v xml:space="preserve"> </v>
      </c>
      <c r="AZ27" s="3" t="str">
        <f t="shared" si="13"/>
        <v xml:space="preserve"> </v>
      </c>
      <c r="BA27" s="3" t="str">
        <f t="shared" si="13"/>
        <v xml:space="preserve"> </v>
      </c>
      <c r="BB27" s="3" t="str">
        <f t="shared" si="13"/>
        <v xml:space="preserve"> </v>
      </c>
      <c r="BC27" s="3" t="str">
        <f t="shared" si="13"/>
        <v xml:space="preserve"> </v>
      </c>
      <c r="BD27" s="3" t="str">
        <f t="shared" si="13"/>
        <v xml:space="preserve"> </v>
      </c>
      <c r="BE27" s="3" t="str">
        <f t="shared" si="13"/>
        <v xml:space="preserve"> </v>
      </c>
      <c r="BF27" s="3" t="str">
        <f t="shared" si="13"/>
        <v xml:space="preserve"> </v>
      </c>
      <c r="BG27" s="3" t="str">
        <f t="shared" si="14"/>
        <v xml:space="preserve"> </v>
      </c>
      <c r="BH27" s="3" t="str">
        <f t="shared" si="15"/>
        <v xml:space="preserve"> </v>
      </c>
      <c r="BI27" s="3" t="str">
        <f t="shared" si="15"/>
        <v xml:space="preserve"> </v>
      </c>
      <c r="BJ27" s="3" t="str">
        <f t="shared" si="15"/>
        <v xml:space="preserve"> </v>
      </c>
      <c r="BK27" s="3" t="str">
        <f t="shared" si="15"/>
        <v xml:space="preserve"> </v>
      </c>
      <c r="BL27" s="3" t="str">
        <f t="shared" si="15"/>
        <v xml:space="preserve"> </v>
      </c>
      <c r="BM27" s="3" t="str">
        <f t="shared" si="15"/>
        <v xml:space="preserve"> </v>
      </c>
      <c r="BN27" s="3" t="str">
        <f t="shared" si="15"/>
        <v xml:space="preserve"> </v>
      </c>
      <c r="BO27" s="3">
        <v>999</v>
      </c>
      <c r="BP27" s="3"/>
      <c r="BQ27" s="3"/>
      <c r="BR27" s="3"/>
      <c r="BS27" s="3"/>
      <c r="BT27" s="3"/>
      <c r="BU27" s="3"/>
      <c r="BV27" s="3"/>
    </row>
    <row r="28" spans="1:74" x14ac:dyDescent="0.25">
      <c r="A28" s="4"/>
      <c r="B28" s="4"/>
      <c r="C28" s="4"/>
      <c r="D28" s="5"/>
      <c r="E28" s="4"/>
      <c r="F28" s="5"/>
      <c r="G28" s="4"/>
      <c r="H28" s="4"/>
      <c r="I28" s="4"/>
      <c r="J28" s="5"/>
      <c r="K28" s="4"/>
      <c r="L28" s="4"/>
      <c r="M28" s="4"/>
      <c r="N28" s="4"/>
      <c r="O28" s="4"/>
      <c r="P28" s="4"/>
      <c r="Q28" s="4"/>
      <c r="R28" s="4"/>
      <c r="S28" s="4"/>
      <c r="T28" s="4"/>
      <c r="U28" s="4"/>
      <c r="V28" s="4"/>
      <c r="W28" s="4"/>
      <c r="X28" s="4"/>
      <c r="Y28" s="122"/>
      <c r="Z28" s="125" t="str">
        <f t="shared" si="6"/>
        <v>LOWER</v>
      </c>
      <c r="AA28" s="3" t="str">
        <f t="shared" si="16"/>
        <v xml:space="preserve"> </v>
      </c>
      <c r="AB28" s="3" t="str">
        <f t="shared" si="16"/>
        <v xml:space="preserve"> </v>
      </c>
      <c r="AC28" s="3" t="str">
        <f t="shared" si="16"/>
        <v xml:space="preserve"> </v>
      </c>
      <c r="AD28" s="3" t="str">
        <f t="shared" si="16"/>
        <v xml:space="preserve"> </v>
      </c>
      <c r="AE28" s="3" t="str">
        <f t="shared" si="16"/>
        <v xml:space="preserve"> </v>
      </c>
      <c r="AF28" s="3" t="str">
        <f t="shared" si="16"/>
        <v xml:space="preserve"> </v>
      </c>
      <c r="AG28" s="3" t="str">
        <f t="shared" si="16"/>
        <v xml:space="preserve"> </v>
      </c>
      <c r="AH28" s="3" t="str">
        <f t="shared" si="16"/>
        <v xml:space="preserve"> </v>
      </c>
      <c r="AI28" s="3" t="str">
        <f t="shared" si="8"/>
        <v xml:space="preserve"> </v>
      </c>
      <c r="AJ28" s="3">
        <f t="shared" si="9"/>
        <v>48.5</v>
      </c>
      <c r="AK28" s="3">
        <f t="shared" si="9"/>
        <v>71.25</v>
      </c>
      <c r="AL28" s="3" t="str">
        <f t="shared" si="9"/>
        <v xml:space="preserve"> </v>
      </c>
      <c r="AM28" s="3" t="str">
        <f t="shared" si="9"/>
        <v xml:space="preserve"> </v>
      </c>
      <c r="AN28" s="3" t="str">
        <f t="shared" si="9"/>
        <v xml:space="preserve"> </v>
      </c>
      <c r="AO28" s="3" t="str">
        <f t="shared" si="9"/>
        <v xml:space="preserve"> </v>
      </c>
      <c r="AP28" s="3" t="str">
        <f t="shared" si="9"/>
        <v xml:space="preserve"> </v>
      </c>
      <c r="AQ28" s="3">
        <f t="shared" si="10"/>
        <v>94</v>
      </c>
      <c r="AR28" s="3" t="str">
        <f t="shared" si="11"/>
        <v xml:space="preserve"> </v>
      </c>
      <c r="AS28" s="3" t="str">
        <f t="shared" si="11"/>
        <v xml:space="preserve"> </v>
      </c>
      <c r="AT28" s="3">
        <f t="shared" si="11"/>
        <v>82.625</v>
      </c>
      <c r="AU28" s="3">
        <f t="shared" si="11"/>
        <v>76.9375</v>
      </c>
      <c r="AV28" s="3">
        <f t="shared" si="11"/>
        <v>74.09375</v>
      </c>
      <c r="AW28" s="3" t="str">
        <f t="shared" si="11"/>
        <v xml:space="preserve"> </v>
      </c>
      <c r="AX28" s="3" t="str">
        <f t="shared" si="11"/>
        <v xml:space="preserve"> </v>
      </c>
      <c r="AY28" s="3" t="str">
        <f t="shared" si="12"/>
        <v xml:space="preserve"> </v>
      </c>
      <c r="AZ28" s="3" t="str">
        <f t="shared" si="13"/>
        <v xml:space="preserve"> </v>
      </c>
      <c r="BA28" s="3" t="str">
        <f t="shared" si="13"/>
        <v xml:space="preserve"> </v>
      </c>
      <c r="BB28" s="3" t="str">
        <f t="shared" si="13"/>
        <v xml:space="preserve"> </v>
      </c>
      <c r="BC28" s="3" t="str">
        <f t="shared" si="13"/>
        <v xml:space="preserve"> </v>
      </c>
      <c r="BD28" s="3" t="str">
        <f t="shared" si="13"/>
        <v xml:space="preserve"> </v>
      </c>
      <c r="BE28" s="3" t="str">
        <f t="shared" si="13"/>
        <v xml:space="preserve"> </v>
      </c>
      <c r="BF28" s="3" t="str">
        <f t="shared" si="13"/>
        <v xml:space="preserve"> </v>
      </c>
      <c r="BG28" s="3" t="str">
        <f t="shared" si="14"/>
        <v xml:space="preserve"> </v>
      </c>
      <c r="BH28" s="3" t="str">
        <f t="shared" si="15"/>
        <v xml:space="preserve"> </v>
      </c>
      <c r="BI28" s="3" t="str">
        <f t="shared" si="15"/>
        <v xml:space="preserve"> </v>
      </c>
      <c r="BJ28" s="3" t="str">
        <f t="shared" si="15"/>
        <v xml:space="preserve"> </v>
      </c>
      <c r="BK28" s="3" t="str">
        <f t="shared" si="15"/>
        <v xml:space="preserve"> </v>
      </c>
      <c r="BL28" s="3" t="str">
        <f t="shared" si="15"/>
        <v xml:space="preserve"> </v>
      </c>
      <c r="BM28" s="3" t="str">
        <f t="shared" si="15"/>
        <v xml:space="preserve"> </v>
      </c>
      <c r="BN28" s="3" t="str">
        <f t="shared" si="15"/>
        <v xml:space="preserve"> </v>
      </c>
      <c r="BO28" s="3">
        <v>999</v>
      </c>
      <c r="BP28" s="3"/>
      <c r="BQ28" s="3"/>
      <c r="BR28" s="3"/>
      <c r="BS28" s="3"/>
      <c r="BT28" s="3"/>
      <c r="BU28" s="3"/>
      <c r="BV28" s="3"/>
    </row>
    <row r="29" spans="1:74" x14ac:dyDescent="0.25">
      <c r="A29" s="4"/>
      <c r="B29" s="4"/>
      <c r="C29" s="4"/>
      <c r="D29" s="5"/>
      <c r="E29" s="4"/>
      <c r="F29" s="5"/>
      <c r="G29" s="4"/>
      <c r="H29" s="4"/>
      <c r="I29" s="4"/>
      <c r="J29" s="5"/>
      <c r="K29" s="4"/>
      <c r="L29" s="4"/>
      <c r="M29" s="4"/>
      <c r="N29" s="4"/>
      <c r="O29" s="4"/>
      <c r="P29" s="4"/>
      <c r="Q29" s="4"/>
      <c r="R29" s="4"/>
      <c r="S29" s="4"/>
      <c r="T29" s="4"/>
      <c r="U29" s="4"/>
      <c r="V29" s="4"/>
      <c r="W29" s="4"/>
      <c r="X29" s="4"/>
      <c r="Y29" s="122"/>
      <c r="Z29" s="125"/>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row>
    <row r="30" spans="1:74" x14ac:dyDescent="0.25">
      <c r="A30" s="4"/>
      <c r="B30" s="4"/>
      <c r="C30" s="4"/>
      <c r="D30" s="5"/>
      <c r="E30" s="4"/>
      <c r="F30" s="5"/>
      <c r="G30" s="4"/>
      <c r="H30" s="4"/>
      <c r="I30" s="4"/>
      <c r="J30" s="5"/>
      <c r="K30" s="4"/>
      <c r="L30" s="4"/>
      <c r="M30" s="4"/>
      <c r="N30" s="4"/>
      <c r="O30" s="4"/>
      <c r="P30" s="4"/>
      <c r="Q30" s="4"/>
      <c r="R30" s="4"/>
      <c r="S30" s="4"/>
      <c r="T30" s="4"/>
      <c r="U30" s="4"/>
      <c r="V30" s="4"/>
      <c r="W30" s="4"/>
      <c r="X30" s="4"/>
      <c r="Y30" s="122"/>
      <c r="Z30" s="125"/>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row>
    <row r="31" spans="1:74" x14ac:dyDescent="0.25">
      <c r="A31" s="4"/>
      <c r="B31" s="4"/>
      <c r="C31" s="4"/>
      <c r="D31" s="5"/>
      <c r="E31" s="4"/>
      <c r="F31" s="5"/>
      <c r="G31" s="4"/>
      <c r="H31" s="4"/>
      <c r="I31" s="4"/>
      <c r="J31" s="5"/>
      <c r="K31" s="4"/>
      <c r="L31" s="4"/>
      <c r="M31" s="4"/>
      <c r="N31" s="4"/>
      <c r="O31" s="4"/>
      <c r="P31" s="4"/>
      <c r="Q31" s="4"/>
      <c r="R31" s="4"/>
      <c r="S31" s="4"/>
      <c r="T31" s="4"/>
      <c r="U31" s="4"/>
      <c r="V31" s="4"/>
      <c r="W31" s="4"/>
      <c r="X31" s="4"/>
      <c r="Y31" s="122"/>
      <c r="Z31" s="125"/>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row>
    <row r="32" spans="1:74" x14ac:dyDescent="0.25">
      <c r="A32" s="4"/>
      <c r="B32" s="4"/>
      <c r="C32" s="4"/>
      <c r="D32" s="5"/>
      <c r="E32" s="4"/>
      <c r="F32" s="5"/>
      <c r="G32" s="4"/>
      <c r="H32" s="4"/>
      <c r="I32" s="4"/>
      <c r="J32" s="5"/>
      <c r="K32" s="4"/>
      <c r="L32" s="4"/>
      <c r="M32" s="4"/>
      <c r="N32" s="4"/>
      <c r="O32" s="4"/>
      <c r="P32" s="4"/>
      <c r="Q32" s="4"/>
      <c r="R32" s="4"/>
      <c r="S32" s="4"/>
      <c r="T32" s="4"/>
      <c r="U32" s="4"/>
      <c r="V32" s="4"/>
      <c r="W32" s="4"/>
      <c r="X32" s="4"/>
      <c r="Y32" s="122"/>
      <c r="Z32" s="125"/>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row>
    <row r="33" spans="1:74" x14ac:dyDescent="0.25">
      <c r="A33" s="4"/>
      <c r="B33" s="4"/>
      <c r="C33" s="4"/>
      <c r="D33" s="5"/>
      <c r="E33" s="4"/>
      <c r="F33" s="5"/>
      <c r="G33" s="4"/>
      <c r="H33" s="4"/>
      <c r="I33" s="4"/>
      <c r="J33" s="5"/>
      <c r="K33" s="4"/>
      <c r="L33" s="4"/>
      <c r="M33" s="4"/>
      <c r="N33" s="4"/>
      <c r="O33" s="4"/>
      <c r="P33" s="4"/>
      <c r="Q33" s="4"/>
      <c r="R33" s="4"/>
      <c r="S33" s="4"/>
      <c r="T33" s="4"/>
      <c r="U33" s="4"/>
      <c r="V33" s="4"/>
      <c r="W33" s="4"/>
      <c r="X33" s="4"/>
      <c r="Y33" s="122"/>
      <c r="Z33" s="12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row>
    <row r="34" spans="1:74" x14ac:dyDescent="0.25">
      <c r="A34" s="4"/>
      <c r="B34" s="4"/>
      <c r="C34" s="4"/>
      <c r="D34" s="5"/>
      <c r="E34" s="4"/>
      <c r="F34" s="5"/>
      <c r="G34" s="4"/>
      <c r="H34" s="4"/>
      <c r="I34" s="4"/>
      <c r="J34" s="5"/>
      <c r="K34" s="4"/>
      <c r="L34" s="4"/>
      <c r="M34" s="4"/>
      <c r="N34" s="4"/>
      <c r="O34" s="4"/>
      <c r="P34" s="4"/>
      <c r="Q34" s="4"/>
      <c r="R34" s="4"/>
      <c r="S34" s="4"/>
      <c r="T34" s="4"/>
      <c r="U34" s="4"/>
      <c r="V34" s="4"/>
      <c r="W34" s="4"/>
      <c r="X34" s="4"/>
      <c r="Y34" s="122"/>
      <c r="Z34" s="12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row>
    <row r="35" spans="1:74" x14ac:dyDescent="0.25">
      <c r="A35" s="4"/>
      <c r="B35" s="4"/>
      <c r="C35" s="4"/>
      <c r="D35" s="5"/>
      <c r="E35" s="4"/>
      <c r="F35" s="5"/>
      <c r="G35" s="4"/>
      <c r="H35" s="4"/>
      <c r="I35" s="4"/>
      <c r="J35" s="5"/>
      <c r="K35" s="4"/>
      <c r="L35" s="4"/>
      <c r="M35" s="4"/>
      <c r="N35" s="4"/>
      <c r="O35" s="4"/>
      <c r="P35" s="4"/>
      <c r="Q35" s="4"/>
      <c r="R35" s="4"/>
      <c r="S35" s="4"/>
      <c r="T35" s="4"/>
      <c r="U35" s="4"/>
      <c r="V35" s="4"/>
      <c r="W35" s="4"/>
      <c r="X35" s="4"/>
      <c r="Y35" s="122"/>
      <c r="Z35" s="12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row>
    <row r="36" spans="1:74" x14ac:dyDescent="0.25">
      <c r="A36" s="4"/>
      <c r="B36" s="4"/>
      <c r="C36" s="4"/>
      <c r="D36" s="5"/>
      <c r="E36" s="4"/>
      <c r="F36" s="5"/>
      <c r="G36" s="4"/>
      <c r="H36" s="4"/>
      <c r="I36" s="4"/>
      <c r="J36" s="5"/>
      <c r="K36" s="4"/>
      <c r="L36" s="4"/>
      <c r="M36" s="4"/>
      <c r="N36" s="4"/>
      <c r="O36" s="4"/>
      <c r="P36" s="4"/>
      <c r="Q36" s="4"/>
      <c r="R36" s="4"/>
      <c r="S36" s="4"/>
      <c r="T36" s="4"/>
      <c r="U36" s="4"/>
      <c r="V36" s="4"/>
      <c r="W36" s="4"/>
      <c r="X36" s="4"/>
      <c r="Y36" s="122"/>
      <c r="Z36" s="123"/>
      <c r="AA36" s="3"/>
      <c r="AB36" s="3"/>
      <c r="AC36" s="3"/>
      <c r="AD36" s="3"/>
      <c r="AE36" s="3"/>
      <c r="AF36" s="3"/>
      <c r="AG36" s="3"/>
      <c r="AH36" s="3"/>
      <c r="AI36" s="3"/>
      <c r="AJ36" s="3"/>
      <c r="AK36" s="3" t="s">
        <v>22</v>
      </c>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row>
    <row r="37" spans="1:74" x14ac:dyDescent="0.25">
      <c r="A37" s="4"/>
      <c r="B37" s="4"/>
      <c r="C37" s="4"/>
      <c r="D37" s="5"/>
      <c r="E37" s="4"/>
      <c r="F37" s="5"/>
      <c r="G37" s="4"/>
      <c r="H37" s="4"/>
      <c r="I37" s="4"/>
      <c r="J37" s="5"/>
      <c r="K37" s="4"/>
      <c r="L37" s="4"/>
      <c r="M37" s="4"/>
      <c r="N37" s="4"/>
      <c r="O37" s="4"/>
      <c r="P37" s="4"/>
      <c r="Q37" s="4"/>
      <c r="R37" s="4"/>
      <c r="S37" s="4"/>
      <c r="T37" s="4"/>
      <c r="U37" s="4"/>
      <c r="V37" s="4"/>
      <c r="W37" s="4"/>
      <c r="X37" s="4"/>
      <c r="Y37" s="122"/>
      <c r="Z37" s="12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row>
    <row r="38" spans="1:74" x14ac:dyDescent="0.25">
      <c r="A38" s="4"/>
      <c r="B38" s="4"/>
      <c r="C38" s="4"/>
      <c r="D38" s="5"/>
      <c r="E38" s="4"/>
      <c r="F38" s="5"/>
      <c r="G38" s="4"/>
      <c r="H38" s="4"/>
      <c r="I38" s="4"/>
      <c r="J38" s="5"/>
      <c r="K38" s="4"/>
      <c r="L38" s="4"/>
      <c r="M38" s="4"/>
      <c r="N38" s="4"/>
      <c r="O38" s="4"/>
      <c r="P38" s="4"/>
      <c r="Q38" s="4"/>
      <c r="R38" s="4"/>
      <c r="S38" s="4"/>
      <c r="T38" s="4"/>
      <c r="U38" s="4"/>
      <c r="V38" s="4"/>
      <c r="W38" s="4"/>
      <c r="X38" s="4"/>
      <c r="Y38" s="122"/>
      <c r="Z38" s="12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row>
    <row r="39" spans="1:74" x14ac:dyDescent="0.25">
      <c r="A39" s="4"/>
      <c r="B39" s="4"/>
      <c r="C39" s="4"/>
      <c r="D39" s="5"/>
      <c r="E39" s="4"/>
      <c r="F39" s="5"/>
      <c r="G39" s="4"/>
      <c r="H39" s="4"/>
      <c r="I39" s="4"/>
      <c r="J39" s="5"/>
      <c r="K39" s="4"/>
      <c r="L39" s="4"/>
      <c r="M39" s="4"/>
      <c r="N39" s="4"/>
      <c r="O39" s="4"/>
      <c r="P39" s="4"/>
      <c r="Q39" s="4"/>
      <c r="R39" s="4"/>
      <c r="S39" s="4"/>
      <c r="T39" s="4"/>
      <c r="U39" s="4"/>
      <c r="V39" s="4"/>
      <c r="W39" s="4"/>
      <c r="X39" s="4"/>
      <c r="Y39" s="122"/>
      <c r="Z39" s="12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row>
    <row r="40" spans="1:74" x14ac:dyDescent="0.25">
      <c r="A40" s="4"/>
      <c r="B40" s="4"/>
      <c r="C40" s="4"/>
      <c r="D40" s="5"/>
      <c r="E40" s="4"/>
      <c r="F40" s="5"/>
      <c r="G40" s="4"/>
      <c r="H40" s="4"/>
      <c r="I40" s="4"/>
      <c r="J40" s="5"/>
      <c r="K40" s="4"/>
      <c r="L40" s="4"/>
      <c r="M40" s="4"/>
      <c r="N40" s="4"/>
      <c r="O40" s="4"/>
      <c r="P40" s="4"/>
      <c r="Q40" s="4"/>
      <c r="R40" s="4"/>
      <c r="S40" s="4"/>
      <c r="T40" s="4"/>
      <c r="U40" s="4"/>
      <c r="V40" s="4"/>
      <c r="W40" s="4"/>
      <c r="X40" s="4"/>
      <c r="Y40" s="122"/>
      <c r="Z40" s="12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row>
    <row r="41" spans="1:74" x14ac:dyDescent="0.25">
      <c r="A41" s="4"/>
      <c r="B41" s="4"/>
      <c r="C41" s="4"/>
      <c r="D41" s="5"/>
      <c r="E41" s="4"/>
      <c r="F41" s="5"/>
      <c r="G41" s="4"/>
      <c r="H41" s="4"/>
      <c r="I41" s="4"/>
      <c r="J41" s="5"/>
      <c r="K41" s="4"/>
      <c r="L41" s="4"/>
      <c r="M41" s="4"/>
      <c r="N41" s="4"/>
      <c r="O41" s="4"/>
      <c r="P41" s="4"/>
      <c r="Q41" s="4"/>
      <c r="R41" s="4"/>
      <c r="S41" s="4"/>
      <c r="T41" s="4"/>
      <c r="U41" s="4"/>
      <c r="V41" s="4"/>
      <c r="W41" s="4"/>
      <c r="X41" s="4"/>
      <c r="Y41" s="122"/>
      <c r="Z41" s="12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row>
    <row r="42" spans="1:74" x14ac:dyDescent="0.25">
      <c r="A42" s="4"/>
      <c r="B42" s="4"/>
      <c r="C42" s="4"/>
      <c r="D42" s="5"/>
      <c r="E42" s="4"/>
      <c r="F42" s="5"/>
      <c r="G42" s="4"/>
      <c r="H42" s="4"/>
      <c r="I42" s="4"/>
      <c r="J42" s="5"/>
      <c r="K42" s="4"/>
      <c r="L42" s="4"/>
      <c r="M42" s="4"/>
      <c r="N42" s="4"/>
      <c r="O42" s="4"/>
      <c r="P42" s="4"/>
      <c r="Q42" s="4"/>
      <c r="R42" s="4"/>
      <c r="S42" s="4"/>
      <c r="T42" s="4"/>
      <c r="U42" s="4"/>
      <c r="V42" s="4"/>
      <c r="W42" s="4"/>
      <c r="X42" s="4"/>
      <c r="Y42" s="122"/>
      <c r="Z42" s="12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row>
    <row r="43" spans="1:74" x14ac:dyDescent="0.25">
      <c r="A43" s="4"/>
      <c r="B43" s="4"/>
      <c r="C43" s="4"/>
      <c r="D43" s="5"/>
      <c r="E43" s="4"/>
      <c r="F43" s="5"/>
      <c r="G43" s="4"/>
      <c r="H43" s="4"/>
      <c r="I43" s="4"/>
      <c r="J43" s="5"/>
      <c r="K43" s="4"/>
      <c r="L43" s="4"/>
      <c r="M43" s="4"/>
      <c r="N43" s="4"/>
      <c r="O43" s="4"/>
      <c r="P43" s="4"/>
      <c r="Q43" s="4"/>
      <c r="R43" s="4"/>
      <c r="S43" s="4"/>
      <c r="T43" s="4"/>
      <c r="U43" s="4"/>
      <c r="V43" s="4"/>
      <c r="W43" s="4"/>
      <c r="X43" s="4"/>
      <c r="Y43" s="122"/>
      <c r="Z43" s="12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row>
    <row r="44" spans="1:74" x14ac:dyDescent="0.25">
      <c r="A44" s="4"/>
      <c r="B44" s="4"/>
      <c r="C44" s="4"/>
      <c r="D44" s="5"/>
      <c r="E44" s="4"/>
      <c r="F44" s="5"/>
      <c r="G44" s="4"/>
      <c r="H44" s="4"/>
      <c r="I44" s="4"/>
      <c r="J44" s="5"/>
      <c r="K44" s="4"/>
      <c r="L44" s="4"/>
      <c r="M44" s="4"/>
      <c r="N44" s="4"/>
      <c r="O44" s="4"/>
      <c r="P44" s="4"/>
      <c r="Q44" s="4"/>
      <c r="R44" s="4"/>
      <c r="S44" s="4"/>
      <c r="T44" s="4"/>
      <c r="U44" s="4"/>
      <c r="V44" s="4"/>
      <c r="W44" s="4"/>
      <c r="X44" s="4"/>
      <c r="Y44" s="122"/>
      <c r="Z44" s="12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row>
    <row r="45" spans="1:74" x14ac:dyDescent="0.25">
      <c r="A45" s="4"/>
      <c r="B45" s="4"/>
      <c r="C45" s="4"/>
      <c r="D45" s="5"/>
      <c r="E45" s="4"/>
      <c r="F45" s="5"/>
      <c r="G45" s="4"/>
      <c r="H45" s="4"/>
      <c r="I45" s="4"/>
      <c r="J45" s="5"/>
      <c r="K45" s="4"/>
      <c r="L45" s="4"/>
      <c r="M45" s="4"/>
      <c r="N45" s="4"/>
      <c r="O45" s="4"/>
      <c r="P45" s="4"/>
      <c r="Q45" s="4"/>
      <c r="R45" s="4"/>
      <c r="S45" s="4"/>
      <c r="T45" s="4"/>
      <c r="U45" s="4"/>
      <c r="V45" s="4"/>
      <c r="W45" s="4"/>
      <c r="X45" s="4"/>
      <c r="Y45" s="122"/>
      <c r="Z45" s="12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row>
    <row r="46" spans="1:74" x14ac:dyDescent="0.25">
      <c r="A46" s="4"/>
      <c r="B46" s="4"/>
      <c r="C46" s="4"/>
      <c r="D46" s="5"/>
      <c r="E46" s="4"/>
      <c r="F46" s="5"/>
      <c r="G46" s="4"/>
      <c r="H46" s="4"/>
      <c r="I46" s="4"/>
      <c r="J46" s="5"/>
      <c r="K46" s="4"/>
      <c r="L46" s="4"/>
      <c r="M46" s="4"/>
      <c r="N46" s="4"/>
      <c r="O46" s="4"/>
      <c r="P46" s="4"/>
      <c r="Q46" s="4"/>
      <c r="R46" s="4"/>
      <c r="S46" s="4"/>
      <c r="T46" s="4"/>
      <c r="U46" s="4"/>
      <c r="V46" s="4"/>
      <c r="W46" s="4"/>
      <c r="X46" s="4"/>
      <c r="Y46" s="122"/>
      <c r="Z46" s="12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row>
    <row r="47" spans="1:74" x14ac:dyDescent="0.25">
      <c r="A47" s="4"/>
      <c r="B47" s="4"/>
      <c r="C47" s="4"/>
      <c r="D47" s="5"/>
      <c r="E47" s="4"/>
      <c r="F47" s="5"/>
      <c r="G47" s="4"/>
      <c r="H47" s="4"/>
      <c r="I47" s="4"/>
      <c r="J47" s="5"/>
      <c r="K47" s="4"/>
      <c r="L47" s="4"/>
      <c r="M47" s="4"/>
      <c r="N47" s="4"/>
      <c r="O47" s="4"/>
      <c r="P47" s="4"/>
      <c r="Q47" s="4"/>
      <c r="R47" s="4"/>
      <c r="S47" s="4"/>
      <c r="T47" s="4"/>
      <c r="U47" s="4"/>
      <c r="V47" s="4"/>
      <c r="W47" s="4"/>
      <c r="X47" s="4"/>
      <c r="Y47" s="122"/>
      <c r="Z47" s="12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row>
    <row r="48" spans="1:74" x14ac:dyDescent="0.25">
      <c r="A48" s="4"/>
      <c r="B48" s="4"/>
      <c r="C48" s="4"/>
      <c r="D48" s="5"/>
      <c r="E48" s="4"/>
      <c r="F48" s="5"/>
      <c r="G48" s="4"/>
      <c r="H48" s="4"/>
      <c r="I48" s="4"/>
      <c r="J48" s="5"/>
      <c r="K48" s="4"/>
      <c r="L48" s="4"/>
      <c r="M48" s="4"/>
      <c r="N48" s="4"/>
      <c r="O48" s="4"/>
      <c r="P48" s="4"/>
      <c r="Q48" s="4"/>
      <c r="R48" s="4"/>
      <c r="S48" s="4"/>
      <c r="T48" s="4"/>
      <c r="U48" s="4"/>
      <c r="V48" s="4"/>
      <c r="W48" s="4"/>
      <c r="X48" s="4"/>
      <c r="Y48" s="122"/>
      <c r="Z48" s="12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row>
    <row r="49" spans="1:74" x14ac:dyDescent="0.25">
      <c r="A49" s="4"/>
      <c r="B49" s="4"/>
      <c r="C49" s="4"/>
      <c r="D49" s="5"/>
      <c r="E49" s="4"/>
      <c r="F49" s="5"/>
      <c r="G49" s="4"/>
      <c r="H49" s="4"/>
      <c r="I49" s="4"/>
      <c r="J49" s="5"/>
      <c r="K49" s="4"/>
      <c r="L49" s="4"/>
      <c r="M49" s="4"/>
      <c r="N49" s="4"/>
      <c r="O49" s="4"/>
      <c r="P49" s="4"/>
      <c r="Q49" s="4"/>
      <c r="R49" s="4"/>
      <c r="S49" s="4"/>
      <c r="T49" s="4"/>
      <c r="U49" s="4"/>
      <c r="V49" s="4"/>
      <c r="W49" s="4"/>
      <c r="X49" s="4"/>
      <c r="Y49" s="122"/>
      <c r="Z49" s="12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row>
    <row r="50" spans="1:74" x14ac:dyDescent="0.25">
      <c r="A50" s="4"/>
      <c r="B50" s="4"/>
      <c r="C50" s="4"/>
      <c r="D50" s="5"/>
      <c r="E50" s="4"/>
      <c r="F50" s="5"/>
      <c r="G50" s="4"/>
      <c r="H50" s="4"/>
      <c r="I50" s="4"/>
      <c r="J50" s="5"/>
      <c r="K50" s="4"/>
      <c r="L50" s="4"/>
      <c r="M50" s="4"/>
      <c r="N50" s="4"/>
      <c r="O50" s="4"/>
      <c r="P50" s="4"/>
      <c r="Q50" s="4"/>
      <c r="R50" s="4"/>
      <c r="S50" s="4"/>
      <c r="T50" s="4"/>
      <c r="U50" s="4"/>
      <c r="V50" s="4"/>
      <c r="W50" s="4"/>
      <c r="X50" s="4"/>
      <c r="Y50" s="122"/>
      <c r="Z50" s="12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row>
    <row r="51" spans="1:74" x14ac:dyDescent="0.25">
      <c r="A51" s="4"/>
      <c r="B51" s="4"/>
      <c r="C51" s="4"/>
      <c r="D51" s="5"/>
      <c r="E51" s="4"/>
      <c r="F51" s="5"/>
      <c r="G51" s="4"/>
      <c r="H51" s="4"/>
      <c r="I51" s="4"/>
      <c r="J51" s="5"/>
      <c r="K51" s="4"/>
      <c r="L51" s="4"/>
      <c r="M51" s="4"/>
      <c r="N51" s="4"/>
      <c r="O51" s="4"/>
      <c r="P51" s="4"/>
      <c r="Q51" s="4"/>
      <c r="R51" s="4"/>
      <c r="S51" s="4"/>
      <c r="T51" s="4"/>
      <c r="U51" s="4"/>
      <c r="V51" s="4"/>
      <c r="W51" s="4"/>
      <c r="X51" s="4"/>
      <c r="Y51" s="122"/>
      <c r="Z51" s="12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row>
    <row r="52" spans="1:74" x14ac:dyDescent="0.25">
      <c r="A52" s="4"/>
      <c r="B52" s="4"/>
      <c r="C52" s="4"/>
      <c r="D52" s="5"/>
      <c r="E52" s="4"/>
      <c r="F52" s="5"/>
      <c r="G52" s="4"/>
      <c r="H52" s="4"/>
      <c r="I52" s="4"/>
      <c r="J52" s="5"/>
      <c r="K52" s="4"/>
      <c r="L52" s="4"/>
      <c r="M52" s="4"/>
      <c r="N52" s="4"/>
      <c r="O52" s="4"/>
      <c r="P52" s="4"/>
      <c r="Q52" s="4"/>
      <c r="R52" s="4"/>
      <c r="S52" s="4"/>
      <c r="T52" s="4"/>
      <c r="U52" s="4"/>
      <c r="V52" s="4"/>
      <c r="W52" s="4"/>
      <c r="X52" s="4"/>
      <c r="Y52" s="122"/>
      <c r="Z52" s="12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row>
    <row r="53" spans="1:74" x14ac:dyDescent="0.25">
      <c r="A53" s="4"/>
      <c r="B53" s="4"/>
      <c r="C53" s="4"/>
      <c r="D53" s="5"/>
      <c r="E53" s="4"/>
      <c r="F53" s="5"/>
      <c r="G53" s="4"/>
      <c r="H53" s="4"/>
      <c r="I53" s="4"/>
      <c r="J53" s="5"/>
      <c r="K53" s="4"/>
      <c r="L53" s="4"/>
      <c r="M53" s="4"/>
      <c r="N53" s="4"/>
      <c r="O53" s="4"/>
      <c r="P53" s="4"/>
      <c r="Q53" s="4"/>
      <c r="R53" s="4"/>
      <c r="S53" s="4"/>
      <c r="T53" s="4"/>
      <c r="U53" s="4"/>
      <c r="V53" s="4"/>
      <c r="W53" s="4"/>
      <c r="X53" s="4"/>
      <c r="Y53" s="122"/>
      <c r="Z53" s="12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row>
    <row r="54" spans="1:74" x14ac:dyDescent="0.25">
      <c r="A54" s="4"/>
      <c r="B54" s="4"/>
      <c r="C54" s="4"/>
      <c r="D54" s="5"/>
      <c r="E54" s="4"/>
      <c r="F54" s="5"/>
      <c r="G54" s="4"/>
      <c r="H54" s="4"/>
      <c r="I54" s="4"/>
      <c r="J54" s="5"/>
      <c r="K54" s="4"/>
      <c r="L54" s="4"/>
      <c r="M54" s="4"/>
      <c r="N54" s="4"/>
      <c r="O54" s="4"/>
      <c r="P54" s="4"/>
      <c r="Q54" s="4"/>
      <c r="R54" s="4"/>
      <c r="S54" s="4"/>
      <c r="T54" s="4"/>
      <c r="U54" s="4"/>
      <c r="V54" s="4"/>
      <c r="W54" s="4"/>
      <c r="X54" s="4"/>
      <c r="Y54" s="122"/>
      <c r="Z54" s="12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row>
    <row r="55" spans="1:74" x14ac:dyDescent="0.25">
      <c r="A55" s="4"/>
      <c r="B55" s="4"/>
      <c r="C55" s="4"/>
      <c r="D55" s="5"/>
      <c r="E55" s="4"/>
      <c r="F55" s="5"/>
      <c r="G55" s="4"/>
      <c r="H55" s="4"/>
      <c r="I55" s="4"/>
      <c r="J55" s="5"/>
      <c r="K55" s="4"/>
      <c r="L55" s="4"/>
      <c r="M55" s="4"/>
      <c r="N55" s="4"/>
      <c r="O55" s="4"/>
      <c r="P55" s="4"/>
      <c r="Q55" s="4"/>
      <c r="R55" s="4"/>
      <c r="S55" s="4"/>
      <c r="T55" s="4"/>
      <c r="U55" s="4"/>
      <c r="V55" s="4"/>
      <c r="W55" s="4"/>
      <c r="X55" s="4"/>
      <c r="Y55" s="122"/>
      <c r="Z55" s="12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row>
    <row r="56" spans="1:74" x14ac:dyDescent="0.25">
      <c r="A56" s="4"/>
      <c r="B56" s="4"/>
      <c r="C56" s="4"/>
      <c r="D56" s="5"/>
      <c r="E56" s="4"/>
      <c r="F56" s="5"/>
      <c r="G56" s="4"/>
      <c r="H56" s="4"/>
      <c r="I56" s="4"/>
      <c r="J56" s="5"/>
      <c r="K56" s="4"/>
      <c r="L56" s="4"/>
      <c r="M56" s="4"/>
      <c r="N56" s="4"/>
      <c r="O56" s="4"/>
      <c r="P56" s="4"/>
      <c r="Q56" s="4"/>
      <c r="R56" s="4"/>
      <c r="S56" s="4"/>
      <c r="T56" s="4"/>
      <c r="U56" s="4"/>
      <c r="V56" s="4"/>
      <c r="W56" s="4"/>
      <c r="X56" s="4"/>
      <c r="Y56" s="122"/>
      <c r="Z56" s="12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row>
    <row r="57" spans="1:74" x14ac:dyDescent="0.25">
      <c r="A57" s="4"/>
      <c r="B57" s="4"/>
      <c r="C57" s="4"/>
      <c r="D57" s="5"/>
      <c r="E57" s="4"/>
      <c r="F57" s="5"/>
      <c r="G57" s="4"/>
      <c r="H57" s="4"/>
      <c r="I57" s="4"/>
      <c r="J57" s="5"/>
      <c r="K57" s="4"/>
      <c r="L57" s="4"/>
      <c r="M57" s="4"/>
      <c r="N57" s="4"/>
      <c r="O57" s="4"/>
      <c r="P57" s="4"/>
      <c r="Q57" s="4"/>
      <c r="R57" s="4"/>
      <c r="S57" s="4"/>
      <c r="T57" s="4"/>
      <c r="U57" s="4"/>
      <c r="V57" s="4"/>
      <c r="W57" s="4"/>
      <c r="X57" s="4"/>
      <c r="Y57" s="122"/>
      <c r="Z57" s="12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row>
    <row r="58" spans="1:74" x14ac:dyDescent="0.25">
      <c r="A58" s="4"/>
      <c r="B58" s="4"/>
      <c r="C58" s="4"/>
      <c r="D58" s="5"/>
      <c r="E58" s="4"/>
      <c r="F58" s="5"/>
      <c r="G58" s="4"/>
      <c r="H58" s="4"/>
      <c r="I58" s="4"/>
      <c r="J58" s="5"/>
      <c r="K58" s="4"/>
      <c r="L58" s="4"/>
      <c r="M58" s="4"/>
      <c r="N58" s="4"/>
      <c r="O58" s="4"/>
      <c r="P58" s="4"/>
      <c r="Q58" s="4"/>
      <c r="R58" s="4"/>
      <c r="S58" s="4"/>
      <c r="T58" s="4"/>
      <c r="U58" s="4"/>
      <c r="V58" s="4"/>
      <c r="W58" s="4"/>
      <c r="X58" s="4"/>
      <c r="Y58" s="122"/>
      <c r="Z58" s="12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row>
    <row r="59" spans="1:74" x14ac:dyDescent="0.25">
      <c r="A59" s="4"/>
      <c r="B59" s="4"/>
      <c r="C59" s="4"/>
      <c r="D59" s="5"/>
      <c r="E59" s="4"/>
      <c r="F59" s="5"/>
      <c r="G59" s="4"/>
      <c r="H59" s="4"/>
      <c r="I59" s="4"/>
      <c r="J59" s="5"/>
      <c r="K59" s="4"/>
      <c r="L59" s="4"/>
      <c r="M59" s="4"/>
      <c r="N59" s="4"/>
      <c r="O59" s="4"/>
      <c r="P59" s="4"/>
      <c r="Q59" s="4"/>
      <c r="R59" s="4"/>
      <c r="S59" s="4"/>
      <c r="T59" s="4"/>
      <c r="U59" s="4"/>
      <c r="V59" s="4"/>
      <c r="W59" s="4"/>
      <c r="X59" s="4"/>
      <c r="Y59" s="122"/>
      <c r="Z59" s="12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row>
    <row r="60" spans="1:74" x14ac:dyDescent="0.25">
      <c r="A60" s="4"/>
      <c r="B60" s="4"/>
      <c r="C60" s="4"/>
      <c r="D60" s="5"/>
      <c r="E60" s="4"/>
      <c r="F60" s="5"/>
      <c r="G60" s="4"/>
      <c r="H60" s="4"/>
      <c r="I60" s="4"/>
      <c r="J60" s="5"/>
      <c r="K60" s="4"/>
      <c r="L60" s="4"/>
      <c r="M60" s="4"/>
      <c r="N60" s="4"/>
      <c r="O60" s="4"/>
      <c r="P60" s="4"/>
      <c r="Q60" s="4"/>
      <c r="R60" s="4"/>
      <c r="S60" s="4"/>
      <c r="T60" s="4"/>
      <c r="U60" s="4"/>
      <c r="V60" s="4"/>
      <c r="W60" s="4"/>
      <c r="X60" s="4"/>
      <c r="Y60" s="122"/>
      <c r="Z60" s="12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row>
    <row r="61" spans="1:74" x14ac:dyDescent="0.25">
      <c r="A61" s="4"/>
      <c r="B61" s="4"/>
      <c r="C61" s="4"/>
      <c r="D61" s="5"/>
      <c r="E61" s="4"/>
      <c r="F61" s="5"/>
      <c r="G61" s="4"/>
      <c r="H61" s="4"/>
      <c r="I61" s="4"/>
      <c r="J61" s="5"/>
      <c r="K61" s="4"/>
      <c r="L61" s="4"/>
      <c r="M61" s="4"/>
      <c r="N61" s="4"/>
      <c r="O61" s="4"/>
      <c r="P61" s="4"/>
      <c r="Q61" s="4"/>
      <c r="R61" s="4"/>
      <c r="S61" s="4"/>
      <c r="T61" s="4"/>
      <c r="U61" s="4"/>
      <c r="V61" s="4"/>
      <c r="W61" s="4"/>
      <c r="X61" s="4"/>
      <c r="Y61" s="122"/>
      <c r="Z61" s="12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row>
    <row r="62" spans="1:74" x14ac:dyDescent="0.25">
      <c r="A62" s="4"/>
      <c r="B62" s="4"/>
      <c r="C62" s="4"/>
      <c r="D62" s="5"/>
      <c r="E62" s="4"/>
      <c r="F62" s="5"/>
      <c r="G62" s="4"/>
      <c r="H62" s="4"/>
      <c r="I62" s="4"/>
      <c r="J62" s="5"/>
      <c r="K62" s="4"/>
      <c r="L62" s="4"/>
      <c r="M62" s="4"/>
      <c r="N62" s="4"/>
      <c r="O62" s="4"/>
      <c r="P62" s="4"/>
      <c r="Q62" s="4"/>
      <c r="R62" s="4"/>
      <c r="S62" s="4"/>
      <c r="T62" s="4"/>
      <c r="U62" s="4"/>
      <c r="V62" s="4"/>
      <c r="W62" s="4"/>
      <c r="X62" s="4"/>
      <c r="Y62" s="122"/>
      <c r="Z62" s="12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row>
    <row r="63" spans="1:74" x14ac:dyDescent="0.25">
      <c r="A63" s="4"/>
      <c r="B63" s="4"/>
      <c r="C63" s="4"/>
      <c r="D63" s="5"/>
      <c r="E63" s="4"/>
      <c r="F63" s="5"/>
      <c r="G63" s="4"/>
      <c r="H63" s="4"/>
      <c r="I63" s="4"/>
      <c r="J63" s="5"/>
      <c r="K63" s="4"/>
      <c r="L63" s="4"/>
      <c r="M63" s="4"/>
      <c r="N63" s="4"/>
      <c r="O63" s="4"/>
      <c r="P63" s="4"/>
      <c r="Q63" s="4"/>
      <c r="R63" s="4"/>
      <c r="S63" s="4"/>
      <c r="T63" s="4"/>
      <c r="U63" s="4"/>
      <c r="V63" s="4"/>
      <c r="W63" s="4"/>
      <c r="X63" s="4"/>
      <c r="Y63" s="122"/>
      <c r="Z63" s="12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row>
    <row r="64" spans="1:74" x14ac:dyDescent="0.25">
      <c r="A64" s="4"/>
      <c r="B64" s="4"/>
      <c r="C64" s="4"/>
      <c r="D64" s="5"/>
      <c r="E64" s="4"/>
      <c r="F64" s="5"/>
      <c r="G64" s="4"/>
      <c r="H64" s="4"/>
      <c r="I64" s="4"/>
      <c r="J64" s="5"/>
      <c r="K64" s="4"/>
      <c r="L64" s="4"/>
      <c r="M64" s="4"/>
      <c r="N64" s="4"/>
      <c r="O64" s="4"/>
      <c r="P64" s="4"/>
      <c r="Q64" s="4"/>
      <c r="R64" s="4"/>
      <c r="S64" s="4"/>
      <c r="T64" s="4"/>
      <c r="U64" s="4"/>
      <c r="V64" s="4"/>
      <c r="W64" s="4"/>
      <c r="X64" s="4"/>
      <c r="Y64" s="122"/>
      <c r="Z64" s="12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row>
    <row r="65" spans="1:74" x14ac:dyDescent="0.25">
      <c r="A65" s="4"/>
      <c r="B65" s="4"/>
      <c r="C65" s="4"/>
      <c r="D65" s="5"/>
      <c r="E65" s="4"/>
      <c r="F65" s="5"/>
      <c r="G65" s="4"/>
      <c r="H65" s="4"/>
      <c r="I65" s="4"/>
      <c r="J65" s="5"/>
      <c r="K65" s="4"/>
      <c r="L65" s="4"/>
      <c r="M65" s="4"/>
      <c r="N65" s="4"/>
      <c r="O65" s="4"/>
      <c r="P65" s="4"/>
      <c r="Q65" s="4"/>
      <c r="R65" s="4"/>
      <c r="S65" s="4"/>
      <c r="T65" s="4"/>
      <c r="U65" s="4"/>
      <c r="V65" s="4"/>
      <c r="W65" s="4"/>
      <c r="X65" s="4"/>
      <c r="Y65" s="122"/>
      <c r="Z65" s="12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row>
    <row r="66" spans="1:74" x14ac:dyDescent="0.25">
      <c r="A66" s="4"/>
      <c r="B66" s="4"/>
      <c r="C66" s="4"/>
      <c r="D66" s="5"/>
      <c r="E66" s="4"/>
      <c r="F66" s="5"/>
      <c r="G66" s="4"/>
      <c r="H66" s="4"/>
      <c r="I66" s="4"/>
      <c r="J66" s="5"/>
      <c r="K66" s="4"/>
      <c r="L66" s="4"/>
      <c r="M66" s="4"/>
      <c r="N66" s="4"/>
      <c r="O66" s="4"/>
      <c r="P66" s="4"/>
      <c r="Q66" s="4"/>
      <c r="R66" s="4"/>
      <c r="S66" s="4"/>
      <c r="T66" s="4"/>
      <c r="U66" s="4"/>
      <c r="V66" s="4"/>
      <c r="W66" s="4"/>
      <c r="X66" s="4"/>
      <c r="Y66" s="122"/>
      <c r="Z66" s="12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row>
    <row r="67" spans="1:74" x14ac:dyDescent="0.25">
      <c r="A67" s="4"/>
      <c r="B67" s="4"/>
      <c r="C67" s="4"/>
      <c r="D67" s="5"/>
      <c r="E67" s="4"/>
      <c r="F67" s="5"/>
      <c r="G67" s="4"/>
      <c r="H67" s="4"/>
      <c r="I67" s="4"/>
      <c r="J67" s="5"/>
      <c r="K67" s="4"/>
      <c r="L67" s="4"/>
      <c r="M67" s="4"/>
      <c r="N67" s="4"/>
      <c r="O67" s="4"/>
      <c r="P67" s="4"/>
      <c r="Q67" s="4"/>
      <c r="R67" s="4"/>
      <c r="S67" s="4"/>
      <c r="T67" s="4"/>
      <c r="U67" s="4"/>
      <c r="V67" s="4"/>
      <c r="W67" s="4"/>
      <c r="X67" s="4"/>
      <c r="Y67" s="122"/>
      <c r="Z67" s="12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row>
    <row r="68" spans="1:74" x14ac:dyDescent="0.25">
      <c r="A68" s="4"/>
      <c r="B68" s="4"/>
      <c r="C68" s="4"/>
      <c r="D68" s="5"/>
      <c r="E68" s="4"/>
      <c r="F68" s="5"/>
      <c r="G68" s="4"/>
      <c r="H68" s="4"/>
      <c r="I68" s="4"/>
      <c r="J68" s="5"/>
      <c r="K68" s="4"/>
      <c r="L68" s="4"/>
      <c r="M68" s="4"/>
      <c r="N68" s="4"/>
      <c r="O68" s="4"/>
      <c r="P68" s="4"/>
      <c r="Q68" s="4"/>
      <c r="R68" s="4"/>
      <c r="S68" s="4"/>
      <c r="T68" s="4"/>
      <c r="U68" s="4"/>
      <c r="V68" s="4"/>
      <c r="W68" s="4"/>
      <c r="X68" s="4"/>
      <c r="Y68" s="122"/>
      <c r="Z68" s="12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row>
    <row r="69" spans="1:74" x14ac:dyDescent="0.25">
      <c r="A69" s="4"/>
      <c r="B69" s="4"/>
      <c r="C69" s="4"/>
      <c r="D69" s="5"/>
      <c r="E69" s="4"/>
      <c r="F69" s="5"/>
      <c r="G69" s="4"/>
      <c r="H69" s="4"/>
      <c r="I69" s="4"/>
      <c r="J69" s="5"/>
      <c r="K69" s="4"/>
      <c r="L69" s="4"/>
      <c r="M69" s="4"/>
      <c r="N69" s="4"/>
      <c r="O69" s="4"/>
      <c r="P69" s="4"/>
      <c r="Q69" s="4"/>
      <c r="R69" s="4"/>
      <c r="S69" s="4"/>
      <c r="T69" s="4"/>
      <c r="U69" s="4"/>
      <c r="V69" s="4"/>
      <c r="W69" s="4"/>
      <c r="X69" s="4"/>
      <c r="Y69" s="122"/>
      <c r="Z69" s="12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row>
    <row r="70" spans="1:74" x14ac:dyDescent="0.25">
      <c r="A70" s="4"/>
      <c r="B70" s="4"/>
      <c r="C70" s="4"/>
      <c r="D70" s="5"/>
      <c r="E70" s="4"/>
      <c r="F70" s="5"/>
      <c r="G70" s="4"/>
      <c r="H70" s="4"/>
      <c r="I70" s="4"/>
      <c r="J70" s="5"/>
      <c r="K70" s="4"/>
      <c r="L70" s="4"/>
      <c r="M70" s="4"/>
      <c r="N70" s="4"/>
      <c r="O70" s="4"/>
      <c r="P70" s="4"/>
      <c r="Q70" s="4"/>
      <c r="R70" s="4"/>
      <c r="S70" s="4"/>
      <c r="T70" s="4"/>
      <c r="U70" s="4"/>
      <c r="V70" s="4"/>
      <c r="W70" s="4"/>
      <c r="X70" s="4"/>
      <c r="Y70" s="122"/>
      <c r="Z70" s="12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row>
    <row r="71" spans="1:74" x14ac:dyDescent="0.25">
      <c r="A71" s="4"/>
      <c r="B71" s="4"/>
      <c r="C71" s="4"/>
      <c r="D71" s="5"/>
      <c r="E71" s="4"/>
      <c r="F71" s="5"/>
      <c r="G71" s="4"/>
      <c r="H71" s="4"/>
      <c r="I71" s="4"/>
      <c r="J71" s="5"/>
      <c r="K71" s="4"/>
      <c r="L71" s="4"/>
      <c r="M71" s="4"/>
      <c r="N71" s="4"/>
      <c r="O71" s="4"/>
      <c r="P71" s="4"/>
      <c r="Q71" s="4"/>
      <c r="R71" s="4"/>
      <c r="S71" s="4"/>
      <c r="T71" s="4"/>
      <c r="U71" s="4"/>
      <c r="V71" s="4"/>
      <c r="W71" s="4"/>
      <c r="X71" s="4"/>
      <c r="Y71" s="122"/>
      <c r="Z71" s="12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row>
    <row r="72" spans="1:74" x14ac:dyDescent="0.25">
      <c r="A72" s="4"/>
      <c r="B72" s="4"/>
      <c r="C72" s="4"/>
      <c r="D72" s="5"/>
      <c r="E72" s="4"/>
      <c r="F72" s="5"/>
      <c r="G72" s="4"/>
      <c r="H72" s="4"/>
      <c r="I72" s="4"/>
      <c r="J72" s="5"/>
      <c r="K72" s="4"/>
      <c r="L72" s="4"/>
      <c r="M72" s="4"/>
      <c r="N72" s="4"/>
      <c r="O72" s="4"/>
      <c r="P72" s="4"/>
      <c r="Q72" s="4"/>
      <c r="R72" s="4"/>
      <c r="S72" s="4"/>
      <c r="T72" s="4"/>
      <c r="U72" s="4"/>
      <c r="V72" s="4"/>
      <c r="W72" s="4"/>
      <c r="X72" s="4"/>
      <c r="Y72" s="122"/>
      <c r="Z72" s="12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row>
    <row r="73" spans="1:74" x14ac:dyDescent="0.25">
      <c r="A73" s="4"/>
      <c r="B73" s="4"/>
      <c r="C73" s="4"/>
      <c r="D73" s="5"/>
      <c r="E73" s="4"/>
      <c r="F73" s="5"/>
      <c r="G73" s="4"/>
      <c r="H73" s="4"/>
      <c r="I73" s="4"/>
      <c r="J73" s="5"/>
      <c r="K73" s="4"/>
      <c r="L73" s="4"/>
      <c r="M73" s="4"/>
      <c r="N73" s="4"/>
      <c r="O73" s="4"/>
      <c r="P73" s="4"/>
      <c r="Q73" s="4"/>
      <c r="R73" s="4"/>
      <c r="S73" s="4"/>
      <c r="T73" s="4"/>
      <c r="U73" s="4"/>
      <c r="V73" s="4"/>
      <c r="W73" s="4"/>
      <c r="X73" s="4"/>
      <c r="Y73" s="122"/>
      <c r="Z73" s="12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row>
    <row r="74" spans="1:74" x14ac:dyDescent="0.25">
      <c r="A74" s="4"/>
      <c r="B74" s="4"/>
      <c r="C74" s="4"/>
      <c r="D74" s="5"/>
      <c r="E74" s="4"/>
      <c r="F74" s="5"/>
      <c r="G74" s="4"/>
      <c r="H74" s="4"/>
      <c r="I74" s="4"/>
      <c r="J74" s="5"/>
      <c r="K74" s="4"/>
      <c r="L74" s="4"/>
      <c r="M74" s="4"/>
      <c r="N74" s="4"/>
      <c r="O74" s="4"/>
      <c r="P74" s="4"/>
      <c r="Q74" s="4"/>
      <c r="R74" s="4"/>
      <c r="S74" s="4"/>
      <c r="T74" s="4"/>
      <c r="U74" s="4"/>
      <c r="V74" s="4"/>
      <c r="W74" s="4"/>
      <c r="X74" s="4"/>
      <c r="Y74" s="122"/>
      <c r="Z74" s="12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row>
    <row r="75" spans="1:74" x14ac:dyDescent="0.25">
      <c r="A75" s="4"/>
      <c r="B75" s="4"/>
      <c r="C75" s="4"/>
      <c r="D75" s="5"/>
      <c r="E75" s="4"/>
      <c r="F75" s="5"/>
      <c r="G75" s="4"/>
      <c r="H75" s="4"/>
      <c r="I75" s="4"/>
      <c r="J75" s="5"/>
      <c r="K75" s="4"/>
      <c r="L75" s="4"/>
      <c r="M75" s="4"/>
      <c r="N75" s="4"/>
      <c r="O75" s="4"/>
      <c r="P75" s="4"/>
      <c r="Q75" s="4"/>
      <c r="R75" s="4"/>
      <c r="S75" s="4"/>
      <c r="T75" s="4"/>
      <c r="U75" s="4"/>
      <c r="V75" s="4"/>
      <c r="W75" s="4"/>
      <c r="X75" s="4"/>
      <c r="Y75" s="122"/>
      <c r="Z75" s="12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row>
    <row r="76" spans="1:74" x14ac:dyDescent="0.25">
      <c r="A76" s="4"/>
      <c r="B76" s="4"/>
      <c r="C76" s="4"/>
      <c r="D76" s="5"/>
      <c r="E76" s="4"/>
      <c r="F76" s="5"/>
      <c r="G76" s="4"/>
      <c r="H76" s="4"/>
      <c r="I76" s="4"/>
      <c r="J76" s="5"/>
      <c r="K76" s="4"/>
      <c r="L76" s="4"/>
      <c r="M76" s="4"/>
      <c r="N76" s="4"/>
      <c r="O76" s="4"/>
      <c r="P76" s="4"/>
      <c r="Q76" s="4"/>
      <c r="R76" s="4"/>
      <c r="S76" s="4"/>
      <c r="T76" s="4"/>
      <c r="U76" s="4"/>
      <c r="V76" s="4"/>
      <c r="W76" s="4"/>
      <c r="X76" s="4"/>
      <c r="Y76" s="122"/>
      <c r="Z76" s="12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row>
    <row r="77" spans="1:74" x14ac:dyDescent="0.25">
      <c r="A77" s="4"/>
      <c r="B77" s="4"/>
      <c r="C77" s="4"/>
      <c r="D77" s="5"/>
      <c r="E77" s="4"/>
      <c r="F77" s="5"/>
      <c r="G77" s="4"/>
      <c r="H77" s="4"/>
      <c r="I77" s="4"/>
      <c r="J77" s="5"/>
      <c r="K77" s="4"/>
      <c r="L77" s="4"/>
      <c r="M77" s="4"/>
      <c r="N77" s="4"/>
      <c r="O77" s="4"/>
      <c r="P77" s="4"/>
      <c r="Q77" s="4"/>
      <c r="R77" s="4"/>
      <c r="S77" s="4"/>
      <c r="T77" s="4"/>
      <c r="U77" s="4"/>
      <c r="V77" s="4"/>
      <c r="W77" s="4"/>
      <c r="X77" s="4"/>
      <c r="Y77" s="122"/>
      <c r="Z77" s="12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row>
    <row r="78" spans="1:74" x14ac:dyDescent="0.25">
      <c r="A78" s="4"/>
      <c r="B78" s="4"/>
      <c r="C78" s="4"/>
      <c r="D78" s="5"/>
      <c r="E78" s="4"/>
      <c r="F78" s="5"/>
      <c r="G78" s="4"/>
      <c r="H78" s="4"/>
      <c r="I78" s="4"/>
      <c r="J78" s="5"/>
      <c r="K78" s="4"/>
      <c r="L78" s="4"/>
      <c r="M78" s="4"/>
      <c r="N78" s="4"/>
      <c r="O78" s="4"/>
      <c r="P78" s="4"/>
      <c r="Q78" s="4"/>
      <c r="R78" s="4"/>
      <c r="S78" s="4"/>
      <c r="T78" s="4"/>
      <c r="U78" s="4"/>
      <c r="V78" s="4"/>
      <c r="W78" s="4"/>
      <c r="X78" s="4"/>
      <c r="Y78" s="122"/>
      <c r="Z78" s="12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row>
    <row r="79" spans="1:74" x14ac:dyDescent="0.25">
      <c r="A79" s="4"/>
      <c r="B79" s="4"/>
      <c r="C79" s="4"/>
      <c r="D79" s="5"/>
      <c r="E79" s="4"/>
      <c r="F79" s="5"/>
      <c r="G79" s="4"/>
      <c r="H79" s="4"/>
      <c r="I79" s="4"/>
      <c r="J79" s="5"/>
      <c r="K79" s="4"/>
      <c r="L79" s="4"/>
      <c r="M79" s="4"/>
      <c r="N79" s="4"/>
      <c r="O79" s="4"/>
      <c r="P79" s="4"/>
      <c r="Q79" s="4"/>
      <c r="R79" s="4"/>
      <c r="S79" s="4"/>
      <c r="T79" s="4"/>
      <c r="U79" s="4"/>
      <c r="V79" s="4"/>
      <c r="W79" s="4"/>
      <c r="X79" s="4"/>
      <c r="Y79" s="122"/>
      <c r="Z79" s="12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row>
    <row r="80" spans="1:74" x14ac:dyDescent="0.25">
      <c r="A80" s="4"/>
      <c r="B80" s="4"/>
      <c r="C80" s="4"/>
      <c r="D80" s="5"/>
      <c r="E80" s="4"/>
      <c r="F80" s="5"/>
      <c r="G80" s="4"/>
      <c r="H80" s="4"/>
      <c r="I80" s="4"/>
      <c r="J80" s="5"/>
      <c r="K80" s="4"/>
      <c r="L80" s="4"/>
      <c r="M80" s="4"/>
      <c r="N80" s="4"/>
      <c r="O80" s="4"/>
      <c r="P80" s="4"/>
      <c r="Q80" s="4"/>
      <c r="R80" s="4"/>
      <c r="S80" s="4"/>
      <c r="T80" s="4"/>
      <c r="U80" s="4"/>
      <c r="V80" s="4"/>
      <c r="W80" s="4"/>
      <c r="X80" s="4"/>
      <c r="Y80" s="122"/>
      <c r="Z80" s="12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row>
    <row r="81" spans="1:74" x14ac:dyDescent="0.25">
      <c r="A81" s="4"/>
      <c r="B81" s="4"/>
      <c r="C81" s="4"/>
      <c r="D81" s="5"/>
      <c r="E81" s="4"/>
      <c r="F81" s="5"/>
      <c r="G81" s="4"/>
      <c r="H81" s="4"/>
      <c r="I81" s="4"/>
      <c r="J81" s="5"/>
      <c r="K81" s="4"/>
      <c r="L81" s="4"/>
      <c r="M81" s="4"/>
      <c r="N81" s="4"/>
      <c r="O81" s="4"/>
      <c r="P81" s="4"/>
      <c r="Q81" s="4"/>
      <c r="R81" s="4"/>
      <c r="S81" s="4"/>
      <c r="T81" s="4"/>
      <c r="U81" s="4"/>
      <c r="V81" s="4"/>
      <c r="W81" s="4"/>
      <c r="X81" s="4"/>
      <c r="Y81" s="122"/>
      <c r="Z81" s="12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row>
    <row r="82" spans="1:74" x14ac:dyDescent="0.25">
      <c r="A82" s="4"/>
      <c r="B82" s="4"/>
      <c r="C82" s="4"/>
      <c r="D82" s="5"/>
      <c r="E82" s="4"/>
      <c r="F82" s="5"/>
      <c r="G82" s="4"/>
      <c r="H82" s="4"/>
      <c r="I82" s="4"/>
      <c r="J82" s="5"/>
      <c r="K82" s="4"/>
      <c r="L82" s="4"/>
      <c r="M82" s="4"/>
      <c r="N82" s="4"/>
      <c r="O82" s="4"/>
      <c r="P82" s="4"/>
      <c r="Q82" s="4"/>
      <c r="R82" s="4"/>
      <c r="S82" s="4"/>
      <c r="T82" s="4"/>
      <c r="U82" s="4"/>
      <c r="V82" s="4"/>
      <c r="W82" s="4"/>
      <c r="X82" s="4"/>
      <c r="Y82" s="122"/>
      <c r="Z82" s="12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row>
    <row r="83" spans="1:74" x14ac:dyDescent="0.25">
      <c r="A83" s="4"/>
      <c r="B83" s="4"/>
      <c r="C83" s="4"/>
      <c r="D83" s="5"/>
      <c r="E83" s="4"/>
      <c r="F83" s="5"/>
      <c r="G83" s="4"/>
      <c r="H83" s="4"/>
      <c r="I83" s="4"/>
      <c r="J83" s="5"/>
      <c r="K83" s="4"/>
      <c r="L83" s="4"/>
      <c r="M83" s="4"/>
      <c r="N83" s="4"/>
      <c r="O83" s="4"/>
      <c r="P83" s="4"/>
      <c r="Q83" s="4"/>
      <c r="R83" s="4"/>
      <c r="S83" s="4"/>
      <c r="T83" s="4"/>
      <c r="U83" s="4"/>
      <c r="V83" s="4"/>
      <c r="W83" s="4"/>
      <c r="X83" s="4"/>
      <c r="Y83" s="122"/>
      <c r="Z83" s="12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row>
    <row r="84" spans="1:74" x14ac:dyDescent="0.25">
      <c r="A84" s="4"/>
      <c r="B84" s="4"/>
      <c r="C84" s="4"/>
      <c r="D84" s="5"/>
      <c r="E84" s="4"/>
      <c r="F84" s="5"/>
      <c r="G84" s="4"/>
      <c r="H84" s="4"/>
      <c r="I84" s="4"/>
      <c r="J84" s="5"/>
      <c r="K84" s="4"/>
      <c r="L84" s="4"/>
      <c r="M84" s="4"/>
      <c r="N84" s="4"/>
      <c r="O84" s="4"/>
      <c r="P84" s="4"/>
      <c r="Q84" s="4"/>
      <c r="R84" s="4"/>
      <c r="S84" s="4"/>
      <c r="T84" s="4"/>
      <c r="U84" s="4"/>
      <c r="V84" s="4"/>
      <c r="W84" s="4"/>
      <c r="X84" s="4"/>
      <c r="Y84" s="122"/>
      <c r="Z84" s="12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row>
    <row r="85" spans="1:74" x14ac:dyDescent="0.25">
      <c r="A85" s="4"/>
      <c r="B85" s="4"/>
      <c r="C85" s="4"/>
      <c r="D85" s="5"/>
      <c r="E85" s="4"/>
      <c r="F85" s="5"/>
      <c r="G85" s="4"/>
      <c r="H85" s="4"/>
      <c r="I85" s="4"/>
      <c r="J85" s="5"/>
      <c r="K85" s="4"/>
      <c r="L85" s="4"/>
      <c r="M85" s="4"/>
      <c r="N85" s="4"/>
      <c r="O85" s="4"/>
      <c r="P85" s="4"/>
      <c r="Q85" s="4"/>
      <c r="R85" s="4"/>
      <c r="S85" s="4"/>
      <c r="T85" s="4"/>
      <c r="U85" s="4"/>
      <c r="V85" s="4"/>
      <c r="W85" s="4"/>
      <c r="X85" s="4"/>
      <c r="Y85" s="122"/>
      <c r="Z85" s="12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row>
    <row r="86" spans="1:74" x14ac:dyDescent="0.25">
      <c r="A86" s="4"/>
      <c r="B86" s="4"/>
      <c r="C86" s="4"/>
      <c r="D86" s="5"/>
      <c r="E86" s="4"/>
      <c r="F86" s="5"/>
      <c r="G86" s="4"/>
      <c r="H86" s="4"/>
      <c r="I86" s="4"/>
      <c r="J86" s="5"/>
      <c r="K86" s="4"/>
      <c r="L86" s="4"/>
      <c r="M86" s="4"/>
      <c r="N86" s="4"/>
      <c r="O86" s="4"/>
      <c r="P86" s="4"/>
      <c r="Q86" s="4"/>
      <c r="R86" s="4"/>
      <c r="S86" s="4"/>
      <c r="T86" s="4"/>
      <c r="U86" s="4"/>
      <c r="V86" s="4"/>
      <c r="W86" s="4"/>
      <c r="X86" s="4"/>
      <c r="Y86" s="122"/>
      <c r="Z86" s="12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row>
    <row r="87" spans="1:74" x14ac:dyDescent="0.25">
      <c r="A87" s="4"/>
      <c r="B87" s="4"/>
      <c r="C87" s="4"/>
      <c r="D87" s="5"/>
      <c r="E87" s="4"/>
      <c r="F87" s="5"/>
      <c r="G87" s="4"/>
      <c r="H87" s="4"/>
      <c r="I87" s="4"/>
      <c r="J87" s="5"/>
      <c r="K87" s="4"/>
      <c r="L87" s="4"/>
      <c r="M87" s="4"/>
      <c r="N87" s="4"/>
      <c r="O87" s="4"/>
      <c r="P87" s="4"/>
      <c r="Q87" s="4"/>
      <c r="R87" s="4"/>
      <c r="S87" s="4"/>
      <c r="T87" s="4"/>
      <c r="U87" s="4"/>
      <c r="V87" s="4"/>
      <c r="W87" s="4"/>
      <c r="X87" s="4"/>
      <c r="Y87" s="122"/>
      <c r="Z87" s="12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row>
    <row r="88" spans="1:74" x14ac:dyDescent="0.25">
      <c r="A88" s="4"/>
      <c r="B88" s="4"/>
      <c r="C88" s="4"/>
      <c r="D88" s="5"/>
      <c r="E88" s="4"/>
      <c r="F88" s="5"/>
      <c r="G88" s="4"/>
      <c r="H88" s="4"/>
      <c r="I88" s="4"/>
      <c r="J88" s="5"/>
      <c r="K88" s="4"/>
      <c r="L88" s="4"/>
      <c r="M88" s="4"/>
      <c r="N88" s="4"/>
      <c r="O88" s="4"/>
      <c r="P88" s="4"/>
      <c r="Q88" s="4"/>
      <c r="R88" s="4"/>
      <c r="S88" s="4"/>
      <c r="T88" s="4"/>
      <c r="U88" s="4"/>
      <c r="V88" s="4"/>
      <c r="W88" s="4"/>
      <c r="X88" s="4"/>
      <c r="Y88" s="122"/>
      <c r="Z88" s="12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row>
    <row r="89" spans="1:74" x14ac:dyDescent="0.25">
      <c r="A89" s="4"/>
      <c r="B89" s="4"/>
      <c r="C89" s="4"/>
      <c r="D89" s="5"/>
      <c r="E89" s="4"/>
      <c r="F89" s="5"/>
      <c r="G89" s="4"/>
      <c r="H89" s="4"/>
      <c r="I89" s="4"/>
      <c r="J89" s="5"/>
      <c r="K89" s="4"/>
      <c r="L89" s="4"/>
      <c r="M89" s="4"/>
      <c r="N89" s="4"/>
      <c r="O89" s="4"/>
      <c r="P89" s="4"/>
      <c r="Q89" s="4"/>
      <c r="R89" s="4"/>
      <c r="S89" s="4"/>
      <c r="T89" s="4"/>
      <c r="U89" s="4"/>
      <c r="V89" s="4"/>
      <c r="W89" s="4"/>
      <c r="X89" s="4"/>
      <c r="Y89" s="122"/>
      <c r="Z89" s="12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row>
    <row r="90" spans="1:74" x14ac:dyDescent="0.25">
      <c r="A90" s="4"/>
      <c r="B90" s="4"/>
      <c r="C90" s="4"/>
      <c r="D90" s="5"/>
      <c r="E90" s="4"/>
      <c r="F90" s="5"/>
      <c r="G90" s="4"/>
      <c r="H90" s="4"/>
      <c r="I90" s="4"/>
      <c r="J90" s="5"/>
      <c r="K90" s="4"/>
      <c r="L90" s="4"/>
      <c r="M90" s="4"/>
      <c r="N90" s="4"/>
      <c r="O90" s="4"/>
      <c r="P90" s="4"/>
      <c r="Q90" s="4"/>
      <c r="R90" s="4"/>
      <c r="S90" s="4"/>
      <c r="T90" s="4"/>
      <c r="U90" s="4"/>
      <c r="V90" s="4"/>
      <c r="W90" s="4"/>
      <c r="X90" s="4"/>
      <c r="Y90" s="122"/>
      <c r="Z90" s="12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row>
    <row r="91" spans="1:74" x14ac:dyDescent="0.25">
      <c r="A91" s="4"/>
      <c r="B91" s="4"/>
      <c r="C91" s="4"/>
      <c r="D91" s="5"/>
      <c r="E91" s="4"/>
      <c r="F91" s="5"/>
      <c r="G91" s="4"/>
      <c r="H91" s="4"/>
      <c r="I91" s="4"/>
      <c r="J91" s="5"/>
      <c r="K91" s="4"/>
      <c r="L91" s="4"/>
      <c r="M91" s="4"/>
      <c r="N91" s="4"/>
      <c r="O91" s="4"/>
      <c r="P91" s="4"/>
      <c r="Q91" s="4"/>
      <c r="R91" s="4"/>
      <c r="S91" s="4"/>
      <c r="T91" s="4"/>
      <c r="U91" s="4"/>
      <c r="V91" s="4"/>
      <c r="W91" s="4"/>
      <c r="X91" s="4"/>
      <c r="Y91" s="122"/>
      <c r="Z91" s="12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row>
    <row r="92" spans="1:74" x14ac:dyDescent="0.25">
      <c r="A92" s="4"/>
      <c r="B92" s="4"/>
      <c r="C92" s="4"/>
      <c r="D92" s="5"/>
      <c r="E92" s="4"/>
      <c r="F92" s="5"/>
      <c r="G92" s="4"/>
      <c r="H92" s="4"/>
      <c r="I92" s="4"/>
      <c r="J92" s="5"/>
      <c r="K92" s="4"/>
      <c r="L92" s="4"/>
      <c r="M92" s="4"/>
      <c r="N92" s="4"/>
      <c r="O92" s="4"/>
      <c r="P92" s="4"/>
      <c r="Q92" s="4"/>
      <c r="R92" s="4"/>
      <c r="S92" s="4"/>
      <c r="T92" s="4"/>
      <c r="U92" s="4"/>
      <c r="V92" s="4"/>
      <c r="W92" s="4"/>
      <c r="X92" s="4"/>
      <c r="Y92" s="122"/>
      <c r="Z92" s="12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row>
    <row r="93" spans="1:74" x14ac:dyDescent="0.25">
      <c r="A93" s="4"/>
      <c r="B93" s="4"/>
      <c r="C93" s="4"/>
      <c r="D93" s="5"/>
      <c r="E93" s="4"/>
      <c r="F93" s="5"/>
      <c r="G93" s="4"/>
      <c r="H93" s="4"/>
      <c r="I93" s="4"/>
      <c r="J93" s="5"/>
      <c r="K93" s="4"/>
      <c r="L93" s="4"/>
      <c r="M93" s="4"/>
      <c r="N93" s="4"/>
      <c r="O93" s="4"/>
      <c r="P93" s="4"/>
      <c r="Q93" s="4"/>
      <c r="R93" s="4"/>
      <c r="S93" s="4"/>
      <c r="T93" s="4"/>
      <c r="U93" s="4"/>
      <c r="V93" s="4"/>
      <c r="W93" s="4"/>
      <c r="X93" s="4"/>
      <c r="Y93" s="122"/>
      <c r="Z93" s="122"/>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row>
    <row r="94" spans="1:74" x14ac:dyDescent="0.25">
      <c r="A94" s="4"/>
      <c r="B94" s="4"/>
      <c r="C94" s="4"/>
      <c r="D94" s="5"/>
      <c r="E94" s="4"/>
      <c r="F94" s="5"/>
      <c r="G94" s="4"/>
      <c r="H94" s="4"/>
      <c r="I94" s="4"/>
      <c r="J94" s="5"/>
      <c r="K94" s="4"/>
      <c r="L94" s="4"/>
      <c r="M94" s="4"/>
      <c r="N94" s="4"/>
      <c r="O94" s="4"/>
      <c r="P94" s="4"/>
      <c r="Q94" s="4"/>
      <c r="R94" s="4"/>
      <c r="S94" s="4"/>
      <c r="T94" s="4"/>
      <c r="U94" s="4"/>
      <c r="V94" s="4"/>
      <c r="W94" s="4"/>
      <c r="X94" s="4"/>
      <c r="Y94" s="122"/>
      <c r="Z94" s="122"/>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row>
    <row r="95" spans="1:74" x14ac:dyDescent="0.25">
      <c r="A95" s="4"/>
      <c r="B95" s="4"/>
      <c r="C95" s="4"/>
      <c r="D95" s="5"/>
      <c r="E95" s="4"/>
      <c r="F95" s="5"/>
      <c r="G95" s="4"/>
      <c r="H95" s="4"/>
      <c r="I95" s="4"/>
      <c r="J95" s="5"/>
      <c r="K95" s="4"/>
      <c r="L95" s="4"/>
      <c r="M95" s="4"/>
      <c r="N95" s="4"/>
      <c r="O95" s="4"/>
      <c r="P95" s="4"/>
      <c r="Q95" s="4"/>
      <c r="R95" s="4"/>
      <c r="S95" s="4"/>
      <c r="T95" s="4"/>
      <c r="U95" s="4"/>
      <c r="V95" s="4"/>
      <c r="W95" s="4"/>
      <c r="X95" s="4"/>
      <c r="Y95" s="122"/>
      <c r="Z95" s="122"/>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row>
    <row r="96" spans="1:74" x14ac:dyDescent="0.25">
      <c r="A96" s="4"/>
      <c r="B96" s="4"/>
      <c r="C96" s="4"/>
      <c r="D96" s="5"/>
      <c r="E96" s="4"/>
      <c r="F96" s="5"/>
      <c r="G96" s="4"/>
      <c r="H96" s="4"/>
      <c r="I96" s="4"/>
      <c r="J96" s="5"/>
      <c r="K96" s="4"/>
      <c r="L96" s="4"/>
      <c r="M96" s="4"/>
      <c r="N96" s="4"/>
      <c r="O96" s="4"/>
      <c r="P96" s="4"/>
      <c r="Q96" s="4"/>
      <c r="R96" s="4"/>
      <c r="S96" s="4"/>
      <c r="T96" s="4"/>
      <c r="U96" s="4"/>
      <c r="V96" s="4"/>
      <c r="W96" s="4"/>
      <c r="X96" s="4"/>
      <c r="Y96" s="122"/>
      <c r="Z96" s="122"/>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row>
    <row r="97" spans="1:74" x14ac:dyDescent="0.25">
      <c r="A97" s="4"/>
      <c r="B97" s="4"/>
      <c r="C97" s="4"/>
      <c r="D97" s="5"/>
      <c r="E97" s="4"/>
      <c r="F97" s="5"/>
      <c r="G97" s="4"/>
      <c r="H97" s="4"/>
      <c r="I97" s="4"/>
      <c r="J97" s="5"/>
      <c r="K97" s="4"/>
      <c r="L97" s="4"/>
      <c r="M97" s="4"/>
      <c r="N97" s="4"/>
      <c r="O97" s="4"/>
      <c r="P97" s="4"/>
      <c r="Q97" s="4"/>
      <c r="R97" s="4"/>
      <c r="S97" s="4"/>
      <c r="T97" s="4"/>
      <c r="U97" s="4"/>
      <c r="V97" s="4"/>
      <c r="W97" s="4"/>
      <c r="X97" s="4"/>
      <c r="Y97" s="122"/>
      <c r="Z97" s="122"/>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row>
    <row r="98" spans="1:74" x14ac:dyDescent="0.25">
      <c r="A98" s="4"/>
      <c r="B98" s="4"/>
      <c r="C98" s="4"/>
      <c r="D98" s="5"/>
      <c r="E98" s="4"/>
      <c r="F98" s="5"/>
      <c r="G98" s="4"/>
      <c r="H98" s="4"/>
      <c r="I98" s="4"/>
      <c r="J98" s="5"/>
      <c r="K98" s="4"/>
      <c r="L98" s="4"/>
      <c r="M98" s="4"/>
      <c r="N98" s="4"/>
      <c r="O98" s="4"/>
      <c r="P98" s="4"/>
      <c r="Q98" s="4"/>
      <c r="R98" s="4"/>
      <c r="S98" s="4"/>
      <c r="T98" s="4"/>
      <c r="U98" s="4"/>
      <c r="V98" s="4"/>
      <c r="W98" s="4"/>
      <c r="X98" s="4"/>
      <c r="Y98" s="122"/>
      <c r="Z98" s="122"/>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row>
    <row r="99" spans="1:74" x14ac:dyDescent="0.25">
      <c r="A99" s="4"/>
      <c r="B99" s="4"/>
      <c r="C99" s="4"/>
      <c r="D99" s="5"/>
      <c r="E99" s="4"/>
      <c r="F99" s="5"/>
      <c r="G99" s="4"/>
      <c r="H99" s="4"/>
      <c r="I99" s="4"/>
      <c r="J99" s="5"/>
      <c r="K99" s="4"/>
      <c r="L99" s="4"/>
      <c r="M99" s="4"/>
      <c r="N99" s="4"/>
      <c r="O99" s="4"/>
      <c r="P99" s="4"/>
      <c r="Q99" s="4"/>
      <c r="R99" s="4"/>
      <c r="S99" s="4"/>
      <c r="T99" s="4"/>
      <c r="U99" s="4"/>
      <c r="V99" s="4"/>
      <c r="W99" s="4"/>
      <c r="X99" s="4"/>
      <c r="Y99" s="122"/>
      <c r="Z99" s="122"/>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row>
    <row r="100" spans="1:74" x14ac:dyDescent="0.25">
      <c r="A100" s="4"/>
      <c r="B100" s="4"/>
      <c r="C100" s="4"/>
      <c r="D100" s="5"/>
      <c r="E100" s="4"/>
      <c r="F100" s="5"/>
      <c r="G100" s="4"/>
      <c r="H100" s="4"/>
      <c r="I100" s="4"/>
      <c r="J100" s="5"/>
      <c r="K100" s="4"/>
      <c r="L100" s="4"/>
      <c r="M100" s="4"/>
      <c r="N100" s="4"/>
      <c r="O100" s="4"/>
      <c r="P100" s="4"/>
      <c r="Q100" s="4"/>
      <c r="R100" s="4"/>
      <c r="S100" s="4"/>
      <c r="T100" s="4"/>
      <c r="U100" s="4"/>
      <c r="V100" s="4"/>
      <c r="W100" s="4"/>
      <c r="X100" s="4"/>
      <c r="Y100" s="122"/>
      <c r="Z100" s="122"/>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row>
    <row r="101" spans="1:74" x14ac:dyDescent="0.25">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row>
    <row r="102" spans="1:74" x14ac:dyDescent="0.25">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row>
    <row r="103" spans="1:74" x14ac:dyDescent="0.25">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row>
    <row r="104" spans="1:74" x14ac:dyDescent="0.25">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row>
    <row r="105" spans="1:74" x14ac:dyDescent="0.25">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row>
    <row r="106" spans="1:74" x14ac:dyDescent="0.25">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row>
    <row r="107" spans="1:74" x14ac:dyDescent="0.25">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row>
    <row r="108" spans="1:74" x14ac:dyDescent="0.25">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row>
    <row r="109" spans="1:74" x14ac:dyDescent="0.25">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row>
    <row r="110" spans="1:74" x14ac:dyDescent="0.25">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row>
    <row r="111" spans="1:74" x14ac:dyDescent="0.25">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row>
    <row r="112" spans="1:74" x14ac:dyDescent="0.25">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row>
    <row r="113" spans="25:74" x14ac:dyDescent="0.25">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row>
    <row r="114" spans="25:74" x14ac:dyDescent="0.25">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row>
    <row r="115" spans="25:74" x14ac:dyDescent="0.25">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row>
    <row r="116" spans="25:74" x14ac:dyDescent="0.25">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row>
    <row r="117" spans="25:74" x14ac:dyDescent="0.25">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row>
    <row r="118" spans="25:74" x14ac:dyDescent="0.25">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row>
    <row r="119" spans="25:74" x14ac:dyDescent="0.25">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row>
    <row r="120" spans="25:74" x14ac:dyDescent="0.25">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row>
    <row r="121" spans="25:74" x14ac:dyDescent="0.25">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row>
    <row r="122" spans="25:74" x14ac:dyDescent="0.25">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row>
    <row r="123" spans="25:74" x14ac:dyDescent="0.25">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row>
    <row r="124" spans="25:74" x14ac:dyDescent="0.25">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row>
    <row r="125" spans="25:74" x14ac:dyDescent="0.25">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row>
    <row r="126" spans="25:74" x14ac:dyDescent="0.25">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row>
    <row r="127" spans="25:74" x14ac:dyDescent="0.25">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row>
    <row r="128" spans="25:74" x14ac:dyDescent="0.25">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row>
    <row r="129" spans="25:74" x14ac:dyDescent="0.25">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row>
    <row r="130" spans="25:74" x14ac:dyDescent="0.25">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row>
    <row r="131" spans="25:74" x14ac:dyDescent="0.25">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row>
    <row r="132" spans="25:74" x14ac:dyDescent="0.25">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row>
    <row r="133" spans="25:74" x14ac:dyDescent="0.25">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row>
    <row r="134" spans="25:74" x14ac:dyDescent="0.25">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row>
    <row r="135" spans="25:74" x14ac:dyDescent="0.25">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row>
    <row r="136" spans="25:74" x14ac:dyDescent="0.25">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row>
    <row r="137" spans="25:74" x14ac:dyDescent="0.25">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row>
    <row r="138" spans="25:74" x14ac:dyDescent="0.25">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row>
    <row r="139" spans="25:74" x14ac:dyDescent="0.25">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row>
    <row r="140" spans="25:74" x14ac:dyDescent="0.25">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row>
    <row r="141" spans="25:74" x14ac:dyDescent="0.25">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row>
    <row r="142" spans="25:74" x14ac:dyDescent="0.25">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row>
    <row r="143" spans="25:74" x14ac:dyDescent="0.25">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row>
    <row r="144" spans="25:74" x14ac:dyDescent="0.25">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row>
    <row r="145" spans="25:74" x14ac:dyDescent="0.25">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row>
    <row r="146" spans="25:74" x14ac:dyDescent="0.25">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row>
    <row r="147" spans="25:74" x14ac:dyDescent="0.25">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row>
    <row r="148" spans="25:74" x14ac:dyDescent="0.25">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row>
    <row r="149" spans="25:74" x14ac:dyDescent="0.25">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row>
    <row r="150" spans="25:74" x14ac:dyDescent="0.25">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row>
    <row r="151" spans="25:74" x14ac:dyDescent="0.25">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row>
    <row r="152" spans="25:74" x14ac:dyDescent="0.25">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row>
    <row r="153" spans="25:74" x14ac:dyDescent="0.25">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row>
    <row r="154" spans="25:74" x14ac:dyDescent="0.25">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row>
    <row r="155" spans="25:74" x14ac:dyDescent="0.25">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row>
    <row r="156" spans="25:74" x14ac:dyDescent="0.25">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row>
    <row r="157" spans="25:74" x14ac:dyDescent="0.25">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row>
    <row r="158" spans="25:74" x14ac:dyDescent="0.25">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row>
    <row r="159" spans="25:74" x14ac:dyDescent="0.25">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row>
  </sheetData>
  <sheetProtection selectLockedCells="1"/>
  <customSheetViews>
    <customSheetView guid="{58F65609-3622-42C4-9926-1A56B88F9C36}">
      <selection activeCell="E6" sqref="E6"/>
      <pageMargins left="0.7" right="0.7" top="0.75" bottom="0.75" header="0.3" footer="0.3"/>
      <pageSetup paperSize="9" orientation="portrait" horizontalDpi="4294967293" verticalDpi="300" r:id="rId1"/>
    </customSheetView>
  </customSheetViews>
  <mergeCells count="8">
    <mergeCell ref="N14:O14"/>
    <mergeCell ref="N15:O15"/>
    <mergeCell ref="N16:O16"/>
    <mergeCell ref="X19:Y19"/>
    <mergeCell ref="R19:S19"/>
    <mergeCell ref="T19:U19"/>
    <mergeCell ref="V19:W19"/>
    <mergeCell ref="P19:Q19"/>
  </mergeCells>
  <phoneticPr fontId="0" type="noConversion"/>
  <dataValidations count="5">
    <dataValidation type="list" allowBlank="1" showInputMessage="1" showErrorMessage="1" sqref="F6:F7" xr:uid="{00000000-0002-0000-0100-000000000000}">
      <formula1>$AM$6:$AM$10</formula1>
    </dataValidation>
    <dataValidation type="list" allowBlank="1" showInputMessage="1" showErrorMessage="1" sqref="F8" xr:uid="{00000000-0002-0000-0100-000001000000}">
      <formula1>$AN$6:$AN$10</formula1>
    </dataValidation>
    <dataValidation type="list" allowBlank="1" showInputMessage="1" showErrorMessage="1" sqref="F9" xr:uid="{00000000-0002-0000-0100-000002000000}">
      <formula1>$AO$6:$AO$10</formula1>
    </dataValidation>
    <dataValidation type="list" allowBlank="1" showInputMessage="1" showErrorMessage="1" sqref="F10" xr:uid="{00000000-0002-0000-0100-000003000000}">
      <formula1>$AP$6:$AP$10</formula1>
    </dataValidation>
    <dataValidation type="list" allowBlank="1" showInputMessage="1" showErrorMessage="1" sqref="F11" xr:uid="{00000000-0002-0000-0100-000004000000}">
      <formula1>$AQ$6:$AQ$10</formula1>
    </dataValidation>
  </dataValidations>
  <pageMargins left="0.7" right="0.7" top="0.75" bottom="0.75" header="0.3" footer="0.3"/>
  <pageSetup paperSize="9" orientation="portrait" horizontalDpi="4294967293"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ubmit">
                <anchor moveWithCells="1" sizeWithCells="1">
                  <from>
                    <xdr:col>4</xdr:col>
                    <xdr:colOff>0</xdr:colOff>
                    <xdr:row>11</xdr:row>
                    <xdr:rowOff>152400</xdr:rowOff>
                  </from>
                  <to>
                    <xdr:col>5</xdr:col>
                    <xdr:colOff>47625</xdr:colOff>
                    <xdr:row>13</xdr:row>
                    <xdr:rowOff>38100</xdr:rowOff>
                  </to>
                </anchor>
              </controlPr>
            </control>
          </mc:Choice>
        </mc:AlternateContent>
        <mc:AlternateContent xmlns:mc="http://schemas.openxmlformats.org/markup-compatibility/2006">
          <mc:Choice Requires="x14">
            <control shapeId="1029" r:id="rId6" name="Button 5">
              <controlPr defaultSize="0" print="0" autoFill="0" autoPict="0" macro="[0]!Reset1">
                <anchor moveWithCells="1" sizeWithCells="1">
                  <from>
                    <xdr:col>4</xdr:col>
                    <xdr:colOff>0</xdr:colOff>
                    <xdr:row>14</xdr:row>
                    <xdr:rowOff>57150</xdr:rowOff>
                  </from>
                  <to>
                    <xdr:col>5</xdr:col>
                    <xdr:colOff>47625</xdr:colOff>
                    <xdr:row>15</xdr:row>
                    <xdr:rowOff>133350</xdr:rowOff>
                  </to>
                </anchor>
              </controlPr>
            </control>
          </mc:Choice>
        </mc:AlternateContent>
        <mc:AlternateContent xmlns:mc="http://schemas.openxmlformats.org/markup-compatibility/2006">
          <mc:Choice Requires="x14">
            <control shapeId="1031" r:id="rId7" name="Button 7">
              <controlPr locked="0" defaultSize="0" print="0" autoFill="0" autoPict="0" macro="[0]!CopySettings">
                <anchor moveWithCells="1" sizeWithCells="1">
                  <from>
                    <xdr:col>4</xdr:col>
                    <xdr:colOff>0</xdr:colOff>
                    <xdr:row>26</xdr:row>
                    <xdr:rowOff>180975</xdr:rowOff>
                  </from>
                  <to>
                    <xdr:col>5</xdr:col>
                    <xdr:colOff>47625</xdr:colOff>
                    <xdr:row>29</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32"/>
  <sheetViews>
    <sheetView tabSelected="1" zoomScaleNormal="100" workbookViewId="0">
      <selection activeCell="D15" sqref="D15"/>
    </sheetView>
  </sheetViews>
  <sheetFormatPr defaultColWidth="9.42578125" defaultRowHeight="15" x14ac:dyDescent="0.25"/>
  <cols>
    <col min="1" max="1" width="20.7109375" style="10" customWidth="1"/>
    <col min="2" max="2" width="16.28515625" style="10" customWidth="1"/>
    <col min="3" max="3" width="10.28515625" style="10" customWidth="1"/>
    <col min="4" max="4" width="13.85546875" style="10" customWidth="1"/>
    <col min="5" max="11" width="12.28515625" style="10" customWidth="1"/>
    <col min="12" max="15" width="11.7109375" style="10" customWidth="1"/>
    <col min="16" max="16" width="24.85546875" style="10" customWidth="1"/>
    <col min="17" max="17" width="5.7109375" style="10" customWidth="1"/>
    <col min="18" max="18" width="6" style="10" customWidth="1"/>
    <col min="19" max="256" width="9.42578125" style="10"/>
    <col min="257" max="257" width="23.140625" style="10" customWidth="1"/>
    <col min="258" max="258" width="16.140625" style="10" customWidth="1"/>
    <col min="259" max="259" width="9.5703125" style="10" customWidth="1"/>
    <col min="260" max="260" width="14.5703125" style="10" customWidth="1"/>
    <col min="261" max="265" width="12.28515625" style="10" customWidth="1"/>
    <col min="266" max="266" width="13.5703125" style="10" customWidth="1"/>
    <col min="267" max="268" width="8.140625" style="10" customWidth="1"/>
    <col min="269" max="512" width="9.42578125" style="10"/>
    <col min="513" max="513" width="23.140625" style="10" customWidth="1"/>
    <col min="514" max="514" width="16.140625" style="10" customWidth="1"/>
    <col min="515" max="515" width="9.5703125" style="10" customWidth="1"/>
    <col min="516" max="516" width="14.5703125" style="10" customWidth="1"/>
    <col min="517" max="521" width="12.28515625" style="10" customWidth="1"/>
    <col min="522" max="522" width="13.5703125" style="10" customWidth="1"/>
    <col min="523" max="524" width="8.140625" style="10" customWidth="1"/>
    <col min="525" max="768" width="9.42578125" style="10"/>
    <col min="769" max="769" width="23.140625" style="10" customWidth="1"/>
    <col min="770" max="770" width="16.140625" style="10" customWidth="1"/>
    <col min="771" max="771" width="9.5703125" style="10" customWidth="1"/>
    <col min="772" max="772" width="14.5703125" style="10" customWidth="1"/>
    <col min="773" max="777" width="12.28515625" style="10" customWidth="1"/>
    <col min="778" max="778" width="13.5703125" style="10" customWidth="1"/>
    <col min="779" max="780" width="8.140625" style="10" customWidth="1"/>
    <col min="781" max="1024" width="9.42578125" style="10"/>
    <col min="1025" max="1025" width="23.140625" style="10" customWidth="1"/>
    <col min="1026" max="1026" width="16.140625" style="10" customWidth="1"/>
    <col min="1027" max="1027" width="9.5703125" style="10" customWidth="1"/>
    <col min="1028" max="1028" width="14.5703125" style="10" customWidth="1"/>
    <col min="1029" max="1033" width="12.28515625" style="10" customWidth="1"/>
    <col min="1034" max="1034" width="13.5703125" style="10" customWidth="1"/>
    <col min="1035" max="1036" width="8.140625" style="10" customWidth="1"/>
    <col min="1037" max="1280" width="9.42578125" style="10"/>
    <col min="1281" max="1281" width="23.140625" style="10" customWidth="1"/>
    <col min="1282" max="1282" width="16.140625" style="10" customWidth="1"/>
    <col min="1283" max="1283" width="9.5703125" style="10" customWidth="1"/>
    <col min="1284" max="1284" width="14.5703125" style="10" customWidth="1"/>
    <col min="1285" max="1289" width="12.28515625" style="10" customWidth="1"/>
    <col min="1290" max="1290" width="13.5703125" style="10" customWidth="1"/>
    <col min="1291" max="1292" width="8.140625" style="10" customWidth="1"/>
    <col min="1293" max="1536" width="9.42578125" style="10"/>
    <col min="1537" max="1537" width="23.140625" style="10" customWidth="1"/>
    <col min="1538" max="1538" width="16.140625" style="10" customWidth="1"/>
    <col min="1539" max="1539" width="9.5703125" style="10" customWidth="1"/>
    <col min="1540" max="1540" width="14.5703125" style="10" customWidth="1"/>
    <col min="1541" max="1545" width="12.28515625" style="10" customWidth="1"/>
    <col min="1546" max="1546" width="13.5703125" style="10" customWidth="1"/>
    <col min="1547" max="1548" width="8.140625" style="10" customWidth="1"/>
    <col min="1549" max="1792" width="9.42578125" style="10"/>
    <col min="1793" max="1793" width="23.140625" style="10" customWidth="1"/>
    <col min="1794" max="1794" width="16.140625" style="10" customWidth="1"/>
    <col min="1795" max="1795" width="9.5703125" style="10" customWidth="1"/>
    <col min="1796" max="1796" width="14.5703125" style="10" customWidth="1"/>
    <col min="1797" max="1801" width="12.28515625" style="10" customWidth="1"/>
    <col min="1802" max="1802" width="13.5703125" style="10" customWidth="1"/>
    <col min="1803" max="1804" width="8.140625" style="10" customWidth="1"/>
    <col min="1805" max="2048" width="9.42578125" style="10"/>
    <col min="2049" max="2049" width="23.140625" style="10" customWidth="1"/>
    <col min="2050" max="2050" width="16.140625" style="10" customWidth="1"/>
    <col min="2051" max="2051" width="9.5703125" style="10" customWidth="1"/>
    <col min="2052" max="2052" width="14.5703125" style="10" customWidth="1"/>
    <col min="2053" max="2057" width="12.28515625" style="10" customWidth="1"/>
    <col min="2058" max="2058" width="13.5703125" style="10" customWidth="1"/>
    <col min="2059" max="2060" width="8.140625" style="10" customWidth="1"/>
    <col min="2061" max="2304" width="9.42578125" style="10"/>
    <col min="2305" max="2305" width="23.140625" style="10" customWidth="1"/>
    <col min="2306" max="2306" width="16.140625" style="10" customWidth="1"/>
    <col min="2307" max="2307" width="9.5703125" style="10" customWidth="1"/>
    <col min="2308" max="2308" width="14.5703125" style="10" customWidth="1"/>
    <col min="2309" max="2313" width="12.28515625" style="10" customWidth="1"/>
    <col min="2314" max="2314" width="13.5703125" style="10" customWidth="1"/>
    <col min="2315" max="2316" width="8.140625" style="10" customWidth="1"/>
    <col min="2317" max="2560" width="9.42578125" style="10"/>
    <col min="2561" max="2561" width="23.140625" style="10" customWidth="1"/>
    <col min="2562" max="2562" width="16.140625" style="10" customWidth="1"/>
    <col min="2563" max="2563" width="9.5703125" style="10" customWidth="1"/>
    <col min="2564" max="2564" width="14.5703125" style="10" customWidth="1"/>
    <col min="2565" max="2569" width="12.28515625" style="10" customWidth="1"/>
    <col min="2570" max="2570" width="13.5703125" style="10" customWidth="1"/>
    <col min="2571" max="2572" width="8.140625" style="10" customWidth="1"/>
    <col min="2573" max="2816" width="9.42578125" style="10"/>
    <col min="2817" max="2817" width="23.140625" style="10" customWidth="1"/>
    <col min="2818" max="2818" width="16.140625" style="10" customWidth="1"/>
    <col min="2819" max="2819" width="9.5703125" style="10" customWidth="1"/>
    <col min="2820" max="2820" width="14.5703125" style="10" customWidth="1"/>
    <col min="2821" max="2825" width="12.28515625" style="10" customWidth="1"/>
    <col min="2826" max="2826" width="13.5703125" style="10" customWidth="1"/>
    <col min="2827" max="2828" width="8.140625" style="10" customWidth="1"/>
    <col min="2829" max="3072" width="9.42578125" style="10"/>
    <col min="3073" max="3073" width="23.140625" style="10" customWidth="1"/>
    <col min="3074" max="3074" width="16.140625" style="10" customWidth="1"/>
    <col min="3075" max="3075" width="9.5703125" style="10" customWidth="1"/>
    <col min="3076" max="3076" width="14.5703125" style="10" customWidth="1"/>
    <col min="3077" max="3081" width="12.28515625" style="10" customWidth="1"/>
    <col min="3082" max="3082" width="13.5703125" style="10" customWidth="1"/>
    <col min="3083" max="3084" width="8.140625" style="10" customWidth="1"/>
    <col min="3085" max="3328" width="9.42578125" style="10"/>
    <col min="3329" max="3329" width="23.140625" style="10" customWidth="1"/>
    <col min="3330" max="3330" width="16.140625" style="10" customWidth="1"/>
    <col min="3331" max="3331" width="9.5703125" style="10" customWidth="1"/>
    <col min="3332" max="3332" width="14.5703125" style="10" customWidth="1"/>
    <col min="3333" max="3337" width="12.28515625" style="10" customWidth="1"/>
    <col min="3338" max="3338" width="13.5703125" style="10" customWidth="1"/>
    <col min="3339" max="3340" width="8.140625" style="10" customWidth="1"/>
    <col min="3341" max="3584" width="9.42578125" style="10"/>
    <col min="3585" max="3585" width="23.140625" style="10" customWidth="1"/>
    <col min="3586" max="3586" width="16.140625" style="10" customWidth="1"/>
    <col min="3587" max="3587" width="9.5703125" style="10" customWidth="1"/>
    <col min="3588" max="3588" width="14.5703125" style="10" customWidth="1"/>
    <col min="3589" max="3593" width="12.28515625" style="10" customWidth="1"/>
    <col min="3594" max="3594" width="13.5703125" style="10" customWidth="1"/>
    <col min="3595" max="3596" width="8.140625" style="10" customWidth="1"/>
    <col min="3597" max="3840" width="9.42578125" style="10"/>
    <col min="3841" max="3841" width="23.140625" style="10" customWidth="1"/>
    <col min="3842" max="3842" width="16.140625" style="10" customWidth="1"/>
    <col min="3843" max="3843" width="9.5703125" style="10" customWidth="1"/>
    <col min="3844" max="3844" width="14.5703125" style="10" customWidth="1"/>
    <col min="3845" max="3849" width="12.28515625" style="10" customWidth="1"/>
    <col min="3850" max="3850" width="13.5703125" style="10" customWidth="1"/>
    <col min="3851" max="3852" width="8.140625" style="10" customWidth="1"/>
    <col min="3853" max="4096" width="9.42578125" style="10"/>
    <col min="4097" max="4097" width="23.140625" style="10" customWidth="1"/>
    <col min="4098" max="4098" width="16.140625" style="10" customWidth="1"/>
    <col min="4099" max="4099" width="9.5703125" style="10" customWidth="1"/>
    <col min="4100" max="4100" width="14.5703125" style="10" customWidth="1"/>
    <col min="4101" max="4105" width="12.28515625" style="10" customWidth="1"/>
    <col min="4106" max="4106" width="13.5703125" style="10" customWidth="1"/>
    <col min="4107" max="4108" width="8.140625" style="10" customWidth="1"/>
    <col min="4109" max="4352" width="9.42578125" style="10"/>
    <col min="4353" max="4353" width="23.140625" style="10" customWidth="1"/>
    <col min="4354" max="4354" width="16.140625" style="10" customWidth="1"/>
    <col min="4355" max="4355" width="9.5703125" style="10" customWidth="1"/>
    <col min="4356" max="4356" width="14.5703125" style="10" customWidth="1"/>
    <col min="4357" max="4361" width="12.28515625" style="10" customWidth="1"/>
    <col min="4362" max="4362" width="13.5703125" style="10" customWidth="1"/>
    <col min="4363" max="4364" width="8.140625" style="10" customWidth="1"/>
    <col min="4365" max="4608" width="9.42578125" style="10"/>
    <col min="4609" max="4609" width="23.140625" style="10" customWidth="1"/>
    <col min="4610" max="4610" width="16.140625" style="10" customWidth="1"/>
    <col min="4611" max="4611" width="9.5703125" style="10" customWidth="1"/>
    <col min="4612" max="4612" width="14.5703125" style="10" customWidth="1"/>
    <col min="4613" max="4617" width="12.28515625" style="10" customWidth="1"/>
    <col min="4618" max="4618" width="13.5703125" style="10" customWidth="1"/>
    <col min="4619" max="4620" width="8.140625" style="10" customWidth="1"/>
    <col min="4621" max="4864" width="9.42578125" style="10"/>
    <col min="4865" max="4865" width="23.140625" style="10" customWidth="1"/>
    <col min="4866" max="4866" width="16.140625" style="10" customWidth="1"/>
    <col min="4867" max="4867" width="9.5703125" style="10" customWidth="1"/>
    <col min="4868" max="4868" width="14.5703125" style="10" customWidth="1"/>
    <col min="4869" max="4873" width="12.28515625" style="10" customWidth="1"/>
    <col min="4874" max="4874" width="13.5703125" style="10" customWidth="1"/>
    <col min="4875" max="4876" width="8.140625" style="10" customWidth="1"/>
    <col min="4877" max="5120" width="9.42578125" style="10"/>
    <col min="5121" max="5121" width="23.140625" style="10" customWidth="1"/>
    <col min="5122" max="5122" width="16.140625" style="10" customWidth="1"/>
    <col min="5123" max="5123" width="9.5703125" style="10" customWidth="1"/>
    <col min="5124" max="5124" width="14.5703125" style="10" customWidth="1"/>
    <col min="5125" max="5129" width="12.28515625" style="10" customWidth="1"/>
    <col min="5130" max="5130" width="13.5703125" style="10" customWidth="1"/>
    <col min="5131" max="5132" width="8.140625" style="10" customWidth="1"/>
    <col min="5133" max="5376" width="9.42578125" style="10"/>
    <col min="5377" max="5377" width="23.140625" style="10" customWidth="1"/>
    <col min="5378" max="5378" width="16.140625" style="10" customWidth="1"/>
    <col min="5379" max="5379" width="9.5703125" style="10" customWidth="1"/>
    <col min="5380" max="5380" width="14.5703125" style="10" customWidth="1"/>
    <col min="5381" max="5385" width="12.28515625" style="10" customWidth="1"/>
    <col min="5386" max="5386" width="13.5703125" style="10" customWidth="1"/>
    <col min="5387" max="5388" width="8.140625" style="10" customWidth="1"/>
    <col min="5389" max="5632" width="9.42578125" style="10"/>
    <col min="5633" max="5633" width="23.140625" style="10" customWidth="1"/>
    <col min="5634" max="5634" width="16.140625" style="10" customWidth="1"/>
    <col min="5635" max="5635" width="9.5703125" style="10" customWidth="1"/>
    <col min="5636" max="5636" width="14.5703125" style="10" customWidth="1"/>
    <col min="5637" max="5641" width="12.28515625" style="10" customWidth="1"/>
    <col min="5642" max="5642" width="13.5703125" style="10" customWidth="1"/>
    <col min="5643" max="5644" width="8.140625" style="10" customWidth="1"/>
    <col min="5645" max="5888" width="9.42578125" style="10"/>
    <col min="5889" max="5889" width="23.140625" style="10" customWidth="1"/>
    <col min="5890" max="5890" width="16.140625" style="10" customWidth="1"/>
    <col min="5891" max="5891" width="9.5703125" style="10" customWidth="1"/>
    <col min="5892" max="5892" width="14.5703125" style="10" customWidth="1"/>
    <col min="5893" max="5897" width="12.28515625" style="10" customWidth="1"/>
    <col min="5898" max="5898" width="13.5703125" style="10" customWidth="1"/>
    <col min="5899" max="5900" width="8.140625" style="10" customWidth="1"/>
    <col min="5901" max="6144" width="9.42578125" style="10"/>
    <col min="6145" max="6145" width="23.140625" style="10" customWidth="1"/>
    <col min="6146" max="6146" width="16.140625" style="10" customWidth="1"/>
    <col min="6147" max="6147" width="9.5703125" style="10" customWidth="1"/>
    <col min="6148" max="6148" width="14.5703125" style="10" customWidth="1"/>
    <col min="6149" max="6153" width="12.28515625" style="10" customWidth="1"/>
    <col min="6154" max="6154" width="13.5703125" style="10" customWidth="1"/>
    <col min="6155" max="6156" width="8.140625" style="10" customWidth="1"/>
    <col min="6157" max="6400" width="9.42578125" style="10"/>
    <col min="6401" max="6401" width="23.140625" style="10" customWidth="1"/>
    <col min="6402" max="6402" width="16.140625" style="10" customWidth="1"/>
    <col min="6403" max="6403" width="9.5703125" style="10" customWidth="1"/>
    <col min="6404" max="6404" width="14.5703125" style="10" customWidth="1"/>
    <col min="6405" max="6409" width="12.28515625" style="10" customWidth="1"/>
    <col min="6410" max="6410" width="13.5703125" style="10" customWidth="1"/>
    <col min="6411" max="6412" width="8.140625" style="10" customWidth="1"/>
    <col min="6413" max="6656" width="9.42578125" style="10"/>
    <col min="6657" max="6657" width="23.140625" style="10" customWidth="1"/>
    <col min="6658" max="6658" width="16.140625" style="10" customWidth="1"/>
    <col min="6659" max="6659" width="9.5703125" style="10" customWidth="1"/>
    <col min="6660" max="6660" width="14.5703125" style="10" customWidth="1"/>
    <col min="6661" max="6665" width="12.28515625" style="10" customWidth="1"/>
    <col min="6666" max="6666" width="13.5703125" style="10" customWidth="1"/>
    <col min="6667" max="6668" width="8.140625" style="10" customWidth="1"/>
    <col min="6669" max="6912" width="9.42578125" style="10"/>
    <col min="6913" max="6913" width="23.140625" style="10" customWidth="1"/>
    <col min="6914" max="6914" width="16.140625" style="10" customWidth="1"/>
    <col min="6915" max="6915" width="9.5703125" style="10" customWidth="1"/>
    <col min="6916" max="6916" width="14.5703125" style="10" customWidth="1"/>
    <col min="6917" max="6921" width="12.28515625" style="10" customWidth="1"/>
    <col min="6922" max="6922" width="13.5703125" style="10" customWidth="1"/>
    <col min="6923" max="6924" width="8.140625" style="10" customWidth="1"/>
    <col min="6925" max="7168" width="9.42578125" style="10"/>
    <col min="7169" max="7169" width="23.140625" style="10" customWidth="1"/>
    <col min="7170" max="7170" width="16.140625" style="10" customWidth="1"/>
    <col min="7171" max="7171" width="9.5703125" style="10" customWidth="1"/>
    <col min="7172" max="7172" width="14.5703125" style="10" customWidth="1"/>
    <col min="7173" max="7177" width="12.28515625" style="10" customWidth="1"/>
    <col min="7178" max="7178" width="13.5703125" style="10" customWidth="1"/>
    <col min="7179" max="7180" width="8.140625" style="10" customWidth="1"/>
    <col min="7181" max="7424" width="9.42578125" style="10"/>
    <col min="7425" max="7425" width="23.140625" style="10" customWidth="1"/>
    <col min="7426" max="7426" width="16.140625" style="10" customWidth="1"/>
    <col min="7427" max="7427" width="9.5703125" style="10" customWidth="1"/>
    <col min="7428" max="7428" width="14.5703125" style="10" customWidth="1"/>
    <col min="7429" max="7433" width="12.28515625" style="10" customWidth="1"/>
    <col min="7434" max="7434" width="13.5703125" style="10" customWidth="1"/>
    <col min="7435" max="7436" width="8.140625" style="10" customWidth="1"/>
    <col min="7437" max="7680" width="9.42578125" style="10"/>
    <col min="7681" max="7681" width="23.140625" style="10" customWidth="1"/>
    <col min="7682" max="7682" width="16.140625" style="10" customWidth="1"/>
    <col min="7683" max="7683" width="9.5703125" style="10" customWidth="1"/>
    <col min="7684" max="7684" width="14.5703125" style="10" customWidth="1"/>
    <col min="7685" max="7689" width="12.28515625" style="10" customWidth="1"/>
    <col min="7690" max="7690" width="13.5703125" style="10" customWidth="1"/>
    <col min="7691" max="7692" width="8.140625" style="10" customWidth="1"/>
    <col min="7693" max="7936" width="9.42578125" style="10"/>
    <col min="7937" max="7937" width="23.140625" style="10" customWidth="1"/>
    <col min="7938" max="7938" width="16.140625" style="10" customWidth="1"/>
    <col min="7939" max="7939" width="9.5703125" style="10" customWidth="1"/>
    <col min="7940" max="7940" width="14.5703125" style="10" customWidth="1"/>
    <col min="7941" max="7945" width="12.28515625" style="10" customWidth="1"/>
    <col min="7946" max="7946" width="13.5703125" style="10" customWidth="1"/>
    <col min="7947" max="7948" width="8.140625" style="10" customWidth="1"/>
    <col min="7949" max="8192" width="9.42578125" style="10"/>
    <col min="8193" max="8193" width="23.140625" style="10" customWidth="1"/>
    <col min="8194" max="8194" width="16.140625" style="10" customWidth="1"/>
    <col min="8195" max="8195" width="9.5703125" style="10" customWidth="1"/>
    <col min="8196" max="8196" width="14.5703125" style="10" customWidth="1"/>
    <col min="8197" max="8201" width="12.28515625" style="10" customWidth="1"/>
    <col min="8202" max="8202" width="13.5703125" style="10" customWidth="1"/>
    <col min="8203" max="8204" width="8.140625" style="10" customWidth="1"/>
    <col min="8205" max="8448" width="9.42578125" style="10"/>
    <col min="8449" max="8449" width="23.140625" style="10" customWidth="1"/>
    <col min="8450" max="8450" width="16.140625" style="10" customWidth="1"/>
    <col min="8451" max="8451" width="9.5703125" style="10" customWidth="1"/>
    <col min="8452" max="8452" width="14.5703125" style="10" customWidth="1"/>
    <col min="8453" max="8457" width="12.28515625" style="10" customWidth="1"/>
    <col min="8458" max="8458" width="13.5703125" style="10" customWidth="1"/>
    <col min="8459" max="8460" width="8.140625" style="10" customWidth="1"/>
    <col min="8461" max="8704" width="9.42578125" style="10"/>
    <col min="8705" max="8705" width="23.140625" style="10" customWidth="1"/>
    <col min="8706" max="8706" width="16.140625" style="10" customWidth="1"/>
    <col min="8707" max="8707" width="9.5703125" style="10" customWidth="1"/>
    <col min="8708" max="8708" width="14.5703125" style="10" customWidth="1"/>
    <col min="8709" max="8713" width="12.28515625" style="10" customWidth="1"/>
    <col min="8714" max="8714" width="13.5703125" style="10" customWidth="1"/>
    <col min="8715" max="8716" width="8.140625" style="10" customWidth="1"/>
    <col min="8717" max="8960" width="9.42578125" style="10"/>
    <col min="8961" max="8961" width="23.140625" style="10" customWidth="1"/>
    <col min="8962" max="8962" width="16.140625" style="10" customWidth="1"/>
    <col min="8963" max="8963" width="9.5703125" style="10" customWidth="1"/>
    <col min="8964" max="8964" width="14.5703125" style="10" customWidth="1"/>
    <col min="8965" max="8969" width="12.28515625" style="10" customWidth="1"/>
    <col min="8970" max="8970" width="13.5703125" style="10" customWidth="1"/>
    <col min="8971" max="8972" width="8.140625" style="10" customWidth="1"/>
    <col min="8973" max="9216" width="9.42578125" style="10"/>
    <col min="9217" max="9217" width="23.140625" style="10" customWidth="1"/>
    <col min="9218" max="9218" width="16.140625" style="10" customWidth="1"/>
    <col min="9219" max="9219" width="9.5703125" style="10" customWidth="1"/>
    <col min="9220" max="9220" width="14.5703125" style="10" customWidth="1"/>
    <col min="9221" max="9225" width="12.28515625" style="10" customWidth="1"/>
    <col min="9226" max="9226" width="13.5703125" style="10" customWidth="1"/>
    <col min="9227" max="9228" width="8.140625" style="10" customWidth="1"/>
    <col min="9229" max="9472" width="9.42578125" style="10"/>
    <col min="9473" max="9473" width="23.140625" style="10" customWidth="1"/>
    <col min="9474" max="9474" width="16.140625" style="10" customWidth="1"/>
    <col min="9475" max="9475" width="9.5703125" style="10" customWidth="1"/>
    <col min="9476" max="9476" width="14.5703125" style="10" customWidth="1"/>
    <col min="9477" max="9481" width="12.28515625" style="10" customWidth="1"/>
    <col min="9482" max="9482" width="13.5703125" style="10" customWidth="1"/>
    <col min="9483" max="9484" width="8.140625" style="10" customWidth="1"/>
    <col min="9485" max="9728" width="9.42578125" style="10"/>
    <col min="9729" max="9729" width="23.140625" style="10" customWidth="1"/>
    <col min="9730" max="9730" width="16.140625" style="10" customWidth="1"/>
    <col min="9731" max="9731" width="9.5703125" style="10" customWidth="1"/>
    <col min="9732" max="9732" width="14.5703125" style="10" customWidth="1"/>
    <col min="9733" max="9737" width="12.28515625" style="10" customWidth="1"/>
    <col min="9738" max="9738" width="13.5703125" style="10" customWidth="1"/>
    <col min="9739" max="9740" width="8.140625" style="10" customWidth="1"/>
    <col min="9741" max="9984" width="9.42578125" style="10"/>
    <col min="9985" max="9985" width="23.140625" style="10" customWidth="1"/>
    <col min="9986" max="9986" width="16.140625" style="10" customWidth="1"/>
    <col min="9987" max="9987" width="9.5703125" style="10" customWidth="1"/>
    <col min="9988" max="9988" width="14.5703125" style="10" customWidth="1"/>
    <col min="9989" max="9993" width="12.28515625" style="10" customWidth="1"/>
    <col min="9994" max="9994" width="13.5703125" style="10" customWidth="1"/>
    <col min="9995" max="9996" width="8.140625" style="10" customWidth="1"/>
    <col min="9997" max="10240" width="9.42578125" style="10"/>
    <col min="10241" max="10241" width="23.140625" style="10" customWidth="1"/>
    <col min="10242" max="10242" width="16.140625" style="10" customWidth="1"/>
    <col min="10243" max="10243" width="9.5703125" style="10" customWidth="1"/>
    <col min="10244" max="10244" width="14.5703125" style="10" customWidth="1"/>
    <col min="10245" max="10249" width="12.28515625" style="10" customWidth="1"/>
    <col min="10250" max="10250" width="13.5703125" style="10" customWidth="1"/>
    <col min="10251" max="10252" width="8.140625" style="10" customWidth="1"/>
    <col min="10253" max="10496" width="9.42578125" style="10"/>
    <col min="10497" max="10497" width="23.140625" style="10" customWidth="1"/>
    <col min="10498" max="10498" width="16.140625" style="10" customWidth="1"/>
    <col min="10499" max="10499" width="9.5703125" style="10" customWidth="1"/>
    <col min="10500" max="10500" width="14.5703125" style="10" customWidth="1"/>
    <col min="10501" max="10505" width="12.28515625" style="10" customWidth="1"/>
    <col min="10506" max="10506" width="13.5703125" style="10" customWidth="1"/>
    <col min="10507" max="10508" width="8.140625" style="10" customWidth="1"/>
    <col min="10509" max="10752" width="9.42578125" style="10"/>
    <col min="10753" max="10753" width="23.140625" style="10" customWidth="1"/>
    <col min="10754" max="10754" width="16.140625" style="10" customWidth="1"/>
    <col min="10755" max="10755" width="9.5703125" style="10" customWidth="1"/>
    <col min="10756" max="10756" width="14.5703125" style="10" customWidth="1"/>
    <col min="10757" max="10761" width="12.28515625" style="10" customWidth="1"/>
    <col min="10762" max="10762" width="13.5703125" style="10" customWidth="1"/>
    <col min="10763" max="10764" width="8.140625" style="10" customWidth="1"/>
    <col min="10765" max="11008" width="9.42578125" style="10"/>
    <col min="11009" max="11009" width="23.140625" style="10" customWidth="1"/>
    <col min="11010" max="11010" width="16.140625" style="10" customWidth="1"/>
    <col min="11011" max="11011" width="9.5703125" style="10" customWidth="1"/>
    <col min="11012" max="11012" width="14.5703125" style="10" customWidth="1"/>
    <col min="11013" max="11017" width="12.28515625" style="10" customWidth="1"/>
    <col min="11018" max="11018" width="13.5703125" style="10" customWidth="1"/>
    <col min="11019" max="11020" width="8.140625" style="10" customWidth="1"/>
    <col min="11021" max="11264" width="9.42578125" style="10"/>
    <col min="11265" max="11265" width="23.140625" style="10" customWidth="1"/>
    <col min="11266" max="11266" width="16.140625" style="10" customWidth="1"/>
    <col min="11267" max="11267" width="9.5703125" style="10" customWidth="1"/>
    <col min="11268" max="11268" width="14.5703125" style="10" customWidth="1"/>
    <col min="11269" max="11273" width="12.28515625" style="10" customWidth="1"/>
    <col min="11274" max="11274" width="13.5703125" style="10" customWidth="1"/>
    <col min="11275" max="11276" width="8.140625" style="10" customWidth="1"/>
    <col min="11277" max="11520" width="9.42578125" style="10"/>
    <col min="11521" max="11521" width="23.140625" style="10" customWidth="1"/>
    <col min="11522" max="11522" width="16.140625" style="10" customWidth="1"/>
    <col min="11523" max="11523" width="9.5703125" style="10" customWidth="1"/>
    <col min="11524" max="11524" width="14.5703125" style="10" customWidth="1"/>
    <col min="11525" max="11529" width="12.28515625" style="10" customWidth="1"/>
    <col min="11530" max="11530" width="13.5703125" style="10" customWidth="1"/>
    <col min="11531" max="11532" width="8.140625" style="10" customWidth="1"/>
    <col min="11533" max="11776" width="9.42578125" style="10"/>
    <col min="11777" max="11777" width="23.140625" style="10" customWidth="1"/>
    <col min="11778" max="11778" width="16.140625" style="10" customWidth="1"/>
    <col min="11779" max="11779" width="9.5703125" style="10" customWidth="1"/>
    <col min="11780" max="11780" width="14.5703125" style="10" customWidth="1"/>
    <col min="11781" max="11785" width="12.28515625" style="10" customWidth="1"/>
    <col min="11786" max="11786" width="13.5703125" style="10" customWidth="1"/>
    <col min="11787" max="11788" width="8.140625" style="10" customWidth="1"/>
    <col min="11789" max="12032" width="9.42578125" style="10"/>
    <col min="12033" max="12033" width="23.140625" style="10" customWidth="1"/>
    <col min="12034" max="12034" width="16.140625" style="10" customWidth="1"/>
    <col min="12035" max="12035" width="9.5703125" style="10" customWidth="1"/>
    <col min="12036" max="12036" width="14.5703125" style="10" customWidth="1"/>
    <col min="12037" max="12041" width="12.28515625" style="10" customWidth="1"/>
    <col min="12042" max="12042" width="13.5703125" style="10" customWidth="1"/>
    <col min="12043" max="12044" width="8.140625" style="10" customWidth="1"/>
    <col min="12045" max="12288" width="9.42578125" style="10"/>
    <col min="12289" max="12289" width="23.140625" style="10" customWidth="1"/>
    <col min="12290" max="12290" width="16.140625" style="10" customWidth="1"/>
    <col min="12291" max="12291" width="9.5703125" style="10" customWidth="1"/>
    <col min="12292" max="12292" width="14.5703125" style="10" customWidth="1"/>
    <col min="12293" max="12297" width="12.28515625" style="10" customWidth="1"/>
    <col min="12298" max="12298" width="13.5703125" style="10" customWidth="1"/>
    <col min="12299" max="12300" width="8.140625" style="10" customWidth="1"/>
    <col min="12301" max="12544" width="9.42578125" style="10"/>
    <col min="12545" max="12545" width="23.140625" style="10" customWidth="1"/>
    <col min="12546" max="12546" width="16.140625" style="10" customWidth="1"/>
    <col min="12547" max="12547" width="9.5703125" style="10" customWidth="1"/>
    <col min="12548" max="12548" width="14.5703125" style="10" customWidth="1"/>
    <col min="12549" max="12553" width="12.28515625" style="10" customWidth="1"/>
    <col min="12554" max="12554" width="13.5703125" style="10" customWidth="1"/>
    <col min="12555" max="12556" width="8.140625" style="10" customWidth="1"/>
    <col min="12557" max="12800" width="9.42578125" style="10"/>
    <col min="12801" max="12801" width="23.140625" style="10" customWidth="1"/>
    <col min="12802" max="12802" width="16.140625" style="10" customWidth="1"/>
    <col min="12803" max="12803" width="9.5703125" style="10" customWidth="1"/>
    <col min="12804" max="12804" width="14.5703125" style="10" customWidth="1"/>
    <col min="12805" max="12809" width="12.28515625" style="10" customWidth="1"/>
    <col min="12810" max="12810" width="13.5703125" style="10" customWidth="1"/>
    <col min="12811" max="12812" width="8.140625" style="10" customWidth="1"/>
    <col min="12813" max="13056" width="9.42578125" style="10"/>
    <col min="13057" max="13057" width="23.140625" style="10" customWidth="1"/>
    <col min="13058" max="13058" width="16.140625" style="10" customWidth="1"/>
    <col min="13059" max="13059" width="9.5703125" style="10" customWidth="1"/>
    <col min="13060" max="13060" width="14.5703125" style="10" customWidth="1"/>
    <col min="13061" max="13065" width="12.28515625" style="10" customWidth="1"/>
    <col min="13066" max="13066" width="13.5703125" style="10" customWidth="1"/>
    <col min="13067" max="13068" width="8.140625" style="10" customWidth="1"/>
    <col min="13069" max="13312" width="9.42578125" style="10"/>
    <col min="13313" max="13313" width="23.140625" style="10" customWidth="1"/>
    <col min="13314" max="13314" width="16.140625" style="10" customWidth="1"/>
    <col min="13315" max="13315" width="9.5703125" style="10" customWidth="1"/>
    <col min="13316" max="13316" width="14.5703125" style="10" customWidth="1"/>
    <col min="13317" max="13321" width="12.28515625" style="10" customWidth="1"/>
    <col min="13322" max="13322" width="13.5703125" style="10" customWidth="1"/>
    <col min="13323" max="13324" width="8.140625" style="10" customWidth="1"/>
    <col min="13325" max="13568" width="9.42578125" style="10"/>
    <col min="13569" max="13569" width="23.140625" style="10" customWidth="1"/>
    <col min="13570" max="13570" width="16.140625" style="10" customWidth="1"/>
    <col min="13571" max="13571" width="9.5703125" style="10" customWidth="1"/>
    <col min="13572" max="13572" width="14.5703125" style="10" customWidth="1"/>
    <col min="13573" max="13577" width="12.28515625" style="10" customWidth="1"/>
    <col min="13578" max="13578" width="13.5703125" style="10" customWidth="1"/>
    <col min="13579" max="13580" width="8.140625" style="10" customWidth="1"/>
    <col min="13581" max="13824" width="9.42578125" style="10"/>
    <col min="13825" max="13825" width="23.140625" style="10" customWidth="1"/>
    <col min="13826" max="13826" width="16.140625" style="10" customWidth="1"/>
    <col min="13827" max="13827" width="9.5703125" style="10" customWidth="1"/>
    <col min="13828" max="13828" width="14.5703125" style="10" customWidth="1"/>
    <col min="13829" max="13833" width="12.28515625" style="10" customWidth="1"/>
    <col min="13834" max="13834" width="13.5703125" style="10" customWidth="1"/>
    <col min="13835" max="13836" width="8.140625" style="10" customWidth="1"/>
    <col min="13837" max="14080" width="9.42578125" style="10"/>
    <col min="14081" max="14081" width="23.140625" style="10" customWidth="1"/>
    <col min="14082" max="14082" width="16.140625" style="10" customWidth="1"/>
    <col min="14083" max="14083" width="9.5703125" style="10" customWidth="1"/>
    <col min="14084" max="14084" width="14.5703125" style="10" customWidth="1"/>
    <col min="14085" max="14089" width="12.28515625" style="10" customWidth="1"/>
    <col min="14090" max="14090" width="13.5703125" style="10" customWidth="1"/>
    <col min="14091" max="14092" width="8.140625" style="10" customWidth="1"/>
    <col min="14093" max="14336" width="9.42578125" style="10"/>
    <col min="14337" max="14337" width="23.140625" style="10" customWidth="1"/>
    <col min="14338" max="14338" width="16.140625" style="10" customWidth="1"/>
    <col min="14339" max="14339" width="9.5703125" style="10" customWidth="1"/>
    <col min="14340" max="14340" width="14.5703125" style="10" customWidth="1"/>
    <col min="14341" max="14345" width="12.28515625" style="10" customWidth="1"/>
    <col min="14346" max="14346" width="13.5703125" style="10" customWidth="1"/>
    <col min="14347" max="14348" width="8.140625" style="10" customWidth="1"/>
    <col min="14349" max="14592" width="9.42578125" style="10"/>
    <col min="14593" max="14593" width="23.140625" style="10" customWidth="1"/>
    <col min="14594" max="14594" width="16.140625" style="10" customWidth="1"/>
    <col min="14595" max="14595" width="9.5703125" style="10" customWidth="1"/>
    <col min="14596" max="14596" width="14.5703125" style="10" customWidth="1"/>
    <col min="14597" max="14601" width="12.28515625" style="10" customWidth="1"/>
    <col min="14602" max="14602" width="13.5703125" style="10" customWidth="1"/>
    <col min="14603" max="14604" width="8.140625" style="10" customWidth="1"/>
    <col min="14605" max="14848" width="9.42578125" style="10"/>
    <col min="14849" max="14849" width="23.140625" style="10" customWidth="1"/>
    <col min="14850" max="14850" width="16.140625" style="10" customWidth="1"/>
    <col min="14851" max="14851" width="9.5703125" style="10" customWidth="1"/>
    <col min="14852" max="14852" width="14.5703125" style="10" customWidth="1"/>
    <col min="14853" max="14857" width="12.28515625" style="10" customWidth="1"/>
    <col min="14858" max="14858" width="13.5703125" style="10" customWidth="1"/>
    <col min="14859" max="14860" width="8.140625" style="10" customWidth="1"/>
    <col min="14861" max="15104" width="9.42578125" style="10"/>
    <col min="15105" max="15105" width="23.140625" style="10" customWidth="1"/>
    <col min="15106" max="15106" width="16.140625" style="10" customWidth="1"/>
    <col min="15107" max="15107" width="9.5703125" style="10" customWidth="1"/>
    <col min="15108" max="15108" width="14.5703125" style="10" customWidth="1"/>
    <col min="15109" max="15113" width="12.28515625" style="10" customWidth="1"/>
    <col min="15114" max="15114" width="13.5703125" style="10" customWidth="1"/>
    <col min="15115" max="15116" width="8.140625" style="10" customWidth="1"/>
    <col min="15117" max="15360" width="9.42578125" style="10"/>
    <col min="15361" max="15361" width="23.140625" style="10" customWidth="1"/>
    <col min="15362" max="15362" width="16.140625" style="10" customWidth="1"/>
    <col min="15363" max="15363" width="9.5703125" style="10" customWidth="1"/>
    <col min="15364" max="15364" width="14.5703125" style="10" customWidth="1"/>
    <col min="15365" max="15369" width="12.28515625" style="10" customWidth="1"/>
    <col min="15370" max="15370" width="13.5703125" style="10" customWidth="1"/>
    <col min="15371" max="15372" width="8.140625" style="10" customWidth="1"/>
    <col min="15373" max="15616" width="9.42578125" style="10"/>
    <col min="15617" max="15617" width="23.140625" style="10" customWidth="1"/>
    <col min="15618" max="15618" width="16.140625" style="10" customWidth="1"/>
    <col min="15619" max="15619" width="9.5703125" style="10" customWidth="1"/>
    <col min="15620" max="15620" width="14.5703125" style="10" customWidth="1"/>
    <col min="15621" max="15625" width="12.28515625" style="10" customWidth="1"/>
    <col min="15626" max="15626" width="13.5703125" style="10" customWidth="1"/>
    <col min="15627" max="15628" width="8.140625" style="10" customWidth="1"/>
    <col min="15629" max="15872" width="9.42578125" style="10"/>
    <col min="15873" max="15873" width="23.140625" style="10" customWidth="1"/>
    <col min="15874" max="15874" width="16.140625" style="10" customWidth="1"/>
    <col min="15875" max="15875" width="9.5703125" style="10" customWidth="1"/>
    <col min="15876" max="15876" width="14.5703125" style="10" customWidth="1"/>
    <col min="15877" max="15881" width="12.28515625" style="10" customWidth="1"/>
    <col min="15882" max="15882" width="13.5703125" style="10" customWidth="1"/>
    <col min="15883" max="15884" width="8.140625" style="10" customWidth="1"/>
    <col min="15885" max="16128" width="9.42578125" style="10"/>
    <col min="16129" max="16129" width="23.140625" style="10" customWidth="1"/>
    <col min="16130" max="16130" width="16.140625" style="10" customWidth="1"/>
    <col min="16131" max="16131" width="9.5703125" style="10" customWidth="1"/>
    <col min="16132" max="16132" width="14.5703125" style="10" customWidth="1"/>
    <col min="16133" max="16137" width="12.28515625" style="10" customWidth="1"/>
    <col min="16138" max="16138" width="13.5703125" style="10" customWidth="1"/>
    <col min="16139" max="16140" width="8.140625" style="10" customWidth="1"/>
    <col min="16141" max="16384" width="9.42578125" style="10"/>
  </cols>
  <sheetData>
    <row r="1" spans="1:22" x14ac:dyDescent="0.25">
      <c r="A1" s="469" t="s">
        <v>168</v>
      </c>
      <c r="B1" s="38" t="s">
        <v>50</v>
      </c>
      <c r="C1" s="481" t="s">
        <v>244</v>
      </c>
      <c r="D1" s="448"/>
      <c r="E1" s="476" t="s">
        <v>243</v>
      </c>
      <c r="F1" s="708" t="s">
        <v>242</v>
      </c>
      <c r="G1" s="483" t="s">
        <v>241</v>
      </c>
      <c r="H1" s="483" t="s">
        <v>240</v>
      </c>
      <c r="I1" s="483" t="s">
        <v>239</v>
      </c>
      <c r="J1" s="483" t="s">
        <v>238</v>
      </c>
      <c r="K1" s="484" t="s">
        <v>237</v>
      </c>
      <c r="L1" s="446"/>
      <c r="M1" s="447"/>
      <c r="N1" s="447"/>
      <c r="O1" s="447"/>
      <c r="P1" s="447"/>
      <c r="Q1" s="447"/>
      <c r="R1" s="446"/>
      <c r="S1" s="446"/>
      <c r="T1" s="446"/>
      <c r="U1" s="446"/>
      <c r="V1" s="446"/>
    </row>
    <row r="2" spans="1:22" ht="15.75" thickBot="1" x14ac:dyDescent="0.3">
      <c r="A2" s="470" t="s">
        <v>236</v>
      </c>
      <c r="B2" s="35" t="s">
        <v>177</v>
      </c>
      <c r="C2" s="508">
        <f>LOOKUP(B1,Resources!A2:A112,Resources!E2:E112)</f>
        <v>13.5</v>
      </c>
      <c r="D2" s="461" t="s">
        <v>235</v>
      </c>
      <c r="E2" s="37">
        <v>23</v>
      </c>
      <c r="F2" s="707">
        <v>23</v>
      </c>
      <c r="G2" s="36">
        <v>24</v>
      </c>
      <c r="H2" s="36">
        <v>0</v>
      </c>
      <c r="I2" s="36">
        <v>0</v>
      </c>
      <c r="J2" s="36">
        <v>0</v>
      </c>
      <c r="K2" s="507">
        <f>(E2+F2+G2+H2+I2+J2)-B7</f>
        <v>0</v>
      </c>
      <c r="L2" s="448"/>
      <c r="M2" s="449"/>
      <c r="N2" s="450"/>
      <c r="O2" s="447"/>
      <c r="P2" s="447"/>
      <c r="Q2" s="447"/>
      <c r="R2" s="446"/>
      <c r="S2" s="446"/>
      <c r="T2" s="446"/>
      <c r="U2" s="446"/>
      <c r="V2" s="446"/>
    </row>
    <row r="3" spans="1:22" ht="15.75" thickBot="1" x14ac:dyDescent="0.3">
      <c r="A3" s="470" t="s">
        <v>234</v>
      </c>
      <c r="B3" s="35">
        <v>21</v>
      </c>
      <c r="C3" s="449"/>
      <c r="D3" s="446"/>
      <c r="E3" s="503">
        <f>ROUNDUP(D15*LOOKUP(B1,TrackData!A2:A112,TrackData!C2:C112)*E2,0)</f>
        <v>77</v>
      </c>
      <c r="F3" s="504">
        <f>ROUNDUP(D15*LOOKUP(B1,TrackData!A2:A112,TrackData!C2:C112)*F2,0)</f>
        <v>77</v>
      </c>
      <c r="G3" s="504">
        <f>ROUNDUP(D15*LOOKUP(B1,TrackData!A2:A112,TrackData!C2:C112)*G2,0)</f>
        <v>80</v>
      </c>
      <c r="H3" s="504">
        <f>ROUNDUP(D15*LOOKUP(B1,TrackData!A2:A112,TrackData!C2:C112)*H2,0)</f>
        <v>0</v>
      </c>
      <c r="I3" s="504">
        <f>ROUNDUP(D15*LOOKUP(B1,TrackData!A2:A112,TrackData!C2:C112)*I2,0)</f>
        <v>0</v>
      </c>
      <c r="J3" s="504">
        <f>ROUNDUP(D15*LOOKUP(B1,TrackData!A2:A112,TrackData!C2:C112)*J2,0)</f>
        <v>0</v>
      </c>
      <c r="K3" s="491" t="s">
        <v>208</v>
      </c>
      <c r="L3" s="581" t="s">
        <v>767</v>
      </c>
      <c r="M3" s="451"/>
      <c r="N3" s="451"/>
      <c r="O3" s="451"/>
      <c r="P3" s="692" t="s">
        <v>859</v>
      </c>
      <c r="Q3" s="693"/>
      <c r="R3" s="694"/>
      <c r="S3" s="694"/>
      <c r="T3" s="694"/>
      <c r="U3" s="694"/>
      <c r="V3" s="446"/>
    </row>
    <row r="4" spans="1:22" x14ac:dyDescent="0.25">
      <c r="A4" s="470" t="s">
        <v>233</v>
      </c>
      <c r="B4" s="34">
        <v>30</v>
      </c>
      <c r="C4" s="482" t="s">
        <v>232</v>
      </c>
      <c r="D4" s="448"/>
      <c r="E4" s="503">
        <f>ROUNDUP(E15*LOOKUP(B1,TrackData!A2:A112,TrackData!C2:C112)*E2,0)</f>
        <v>75</v>
      </c>
      <c r="F4" s="504">
        <f>ROUNDUP(E15*LOOKUP(B1,TrackData!A2:A112,TrackData!C2:C112)*F2,0)</f>
        <v>75</v>
      </c>
      <c r="G4" s="504">
        <f>ROUNDUP(E15*LOOKUP(B1,TrackData!A2:A112,TrackData!C2:C112)*G2,0)</f>
        <v>78</v>
      </c>
      <c r="H4" s="504">
        <f>ROUNDUP(E15*LOOKUP(B1,TrackData!A2:A112,TrackData!C2:C112)*H2,0)</f>
        <v>0</v>
      </c>
      <c r="I4" s="504">
        <f>ROUNDUP(E15*LOOKUP(B1,TrackData!A2:A112,TrackData!C2:C112)*I2,0)</f>
        <v>0</v>
      </c>
      <c r="J4" s="504">
        <f>ROUNDUP(E15*LOOKUP(B1,TrackData!A2:A112,TrackData!C2:C112)*J2,0)</f>
        <v>0</v>
      </c>
      <c r="K4" s="492" t="s">
        <v>207</v>
      </c>
      <c r="L4" s="581" t="s">
        <v>775</v>
      </c>
      <c r="M4" s="451"/>
      <c r="N4" s="451"/>
      <c r="O4" s="451"/>
      <c r="P4" s="695" t="s">
        <v>860</v>
      </c>
      <c r="Q4" s="693"/>
      <c r="R4" s="694"/>
      <c r="S4" s="694"/>
      <c r="T4" s="694"/>
      <c r="U4" s="694"/>
      <c r="V4" s="446"/>
    </row>
    <row r="5" spans="1:22" ht="15.75" thickBot="1" x14ac:dyDescent="0.3">
      <c r="A5" s="471" t="s">
        <v>231</v>
      </c>
      <c r="B5" s="32" t="s">
        <v>170</v>
      </c>
      <c r="C5" s="509">
        <f>LOOKUP(B1,TrackData!A2:A112,TrackData!C2:C112)</f>
        <v>4.0259999999999998</v>
      </c>
      <c r="D5" s="448"/>
      <c r="E5" s="505">
        <f>ROUNDUP(E2*LOOKUP(B1,TrackData!A2:A112,TrackData!C2:C112),0)</f>
        <v>93</v>
      </c>
      <c r="F5" s="506">
        <f>ROUNDUP(F2*LOOKUP(B1,TrackData!A2:A112,TrackData!C2:C112),0)</f>
        <v>93</v>
      </c>
      <c r="G5" s="506">
        <f>ROUNDUP(G2*LOOKUP(B1,TrackData!A2:A112,TrackData!C2:C112),0)</f>
        <v>97</v>
      </c>
      <c r="H5" s="506">
        <f>ROUNDUP(H2*LOOKUP(B1,TrackData!A2:A112,TrackData!C2:C112),0)</f>
        <v>0</v>
      </c>
      <c r="I5" s="506">
        <f>ROUNDUP(I2*LOOKUP(B1,TrackData!A2:A112,TrackData!C2:C112),0)</f>
        <v>0</v>
      </c>
      <c r="J5" s="506">
        <f>ROUNDUP(J2*LOOKUP(B1,TrackData!A2:A112,TrackData!C2:C112),0)</f>
        <v>0</v>
      </c>
      <c r="K5" s="491" t="s">
        <v>220</v>
      </c>
      <c r="L5" s="448"/>
      <c r="M5" s="451"/>
      <c r="N5" s="451"/>
      <c r="O5" s="451"/>
      <c r="P5" s="451"/>
      <c r="Q5" s="451"/>
      <c r="R5" s="446"/>
      <c r="S5" s="446"/>
      <c r="T5" s="446"/>
      <c r="U5" s="446"/>
      <c r="V5" s="446"/>
    </row>
    <row r="6" spans="1:22" ht="15.75" thickBot="1" x14ac:dyDescent="0.3">
      <c r="A6" s="448"/>
      <c r="B6" s="448"/>
      <c r="C6" s="448"/>
      <c r="D6" s="448"/>
      <c r="E6" s="531">
        <f>ROUNDUP(LOOKUP(B1,TrackData!A2:A112,TrackData!C2:C112)*E2/J9,2)</f>
        <v>0.83</v>
      </c>
      <c r="F6" s="532">
        <f>ROUNDUP(LOOKUP(B1,TrackData!A2:A64,TrackData!C2:C64)*F2/J9,2)</f>
        <v>0.83</v>
      </c>
      <c r="G6" s="532">
        <f>ROUNDUP(LOOKUP(B1,TrackData!A2:A112,TrackData!C2:C112)*G2/J9,2)</f>
        <v>0.87</v>
      </c>
      <c r="H6" s="532">
        <f>ROUNDUP(LOOKUP(B1,TrackData!A2:A112,TrackData!C2:C112)*H2/J9,2)</f>
        <v>0</v>
      </c>
      <c r="I6" s="532">
        <f>ROUNDUP(LOOKUP(B1,TrackData!A2:A112,TrackData!C2:C112)*I2/J9,2)</f>
        <v>0</v>
      </c>
      <c r="J6" s="532">
        <f>ROUNDUP(LOOKUP(B1,TrackData!A2:A112,TrackData!C2:C112)*J2/J9,2)</f>
        <v>0</v>
      </c>
      <c r="K6" s="493" t="s">
        <v>230</v>
      </c>
      <c r="L6" s="461" t="s">
        <v>770</v>
      </c>
      <c r="M6" s="579"/>
      <c r="N6" s="579"/>
      <c r="O6" s="579"/>
      <c r="P6" s="449"/>
      <c r="Q6" s="449"/>
      <c r="R6" s="446"/>
      <c r="S6" s="446"/>
      <c r="T6" s="446"/>
      <c r="U6" s="446"/>
      <c r="V6" s="446"/>
    </row>
    <row r="7" spans="1:22" ht="15.75" thickBot="1" x14ac:dyDescent="0.3">
      <c r="A7" s="472" t="s">
        <v>218</v>
      </c>
      <c r="B7" s="510">
        <f>LOOKUP(B1,TrackData!A2:A112,TrackData!D2:D112)</f>
        <v>70</v>
      </c>
      <c r="C7" s="448"/>
      <c r="D7" s="448"/>
      <c r="E7" s="446"/>
      <c r="F7" s="446"/>
      <c r="G7" s="446"/>
      <c r="H7" s="446"/>
      <c r="I7" s="446"/>
      <c r="J7" s="446"/>
      <c r="K7" s="446"/>
      <c r="L7" s="581" t="s">
        <v>771</v>
      </c>
      <c r="M7" s="579"/>
      <c r="N7" s="579"/>
      <c r="O7" s="579"/>
      <c r="P7" s="449"/>
      <c r="Q7" s="449"/>
      <c r="R7" s="446"/>
      <c r="S7" s="446"/>
      <c r="T7" s="446"/>
      <c r="U7" s="446"/>
      <c r="V7" s="446"/>
    </row>
    <row r="8" spans="1:22" ht="15.75" thickBot="1" x14ac:dyDescent="0.3">
      <c r="A8" s="473" t="s">
        <v>229</v>
      </c>
      <c r="B8" s="511">
        <f>LOOKUP(B1,TrackData!A2:A112,TrackData!B2:B112)</f>
        <v>281.8</v>
      </c>
      <c r="C8" s="448"/>
      <c r="D8" s="485" t="s">
        <v>228</v>
      </c>
      <c r="E8" s="486" t="s">
        <v>227</v>
      </c>
      <c r="F8" s="487" t="s">
        <v>226</v>
      </c>
      <c r="G8" s="488" t="s">
        <v>225</v>
      </c>
      <c r="H8" s="489" t="s">
        <v>224</v>
      </c>
      <c r="I8" s="489" t="s">
        <v>223</v>
      </c>
      <c r="J8" s="490" t="s">
        <v>222</v>
      </c>
      <c r="K8" s="578"/>
      <c r="L8" s="581" t="s">
        <v>772</v>
      </c>
      <c r="M8" s="579"/>
      <c r="N8" s="579"/>
      <c r="O8" s="579"/>
      <c r="P8" s="449"/>
      <c r="Q8" s="449"/>
      <c r="R8" s="446"/>
      <c r="S8" s="446"/>
      <c r="T8" s="446"/>
      <c r="U8" s="446"/>
      <c r="V8" s="446"/>
    </row>
    <row r="9" spans="1:22" ht="15.75" thickBot="1" x14ac:dyDescent="0.3">
      <c r="A9" s="474" t="s">
        <v>221</v>
      </c>
      <c r="B9" s="512">
        <f>LOOKUP(B1,TrackData!A2:A112,TrackData!H2:H112)</f>
        <v>9</v>
      </c>
      <c r="C9" s="448"/>
      <c r="D9" s="514">
        <f>SUM(LOOKUP(B1, Resources!A2:A112,Resources!B2:B112)*(50-B3)+LOOKUP(B5,TyreData!A3:A10,TyreData!H3:H10))</f>
        <v>0.21684090909090889</v>
      </c>
      <c r="E9" s="515" t="str">
        <f>LOOKUP(B1,TrackData!A2:A112,TrackData!L2:L112)</f>
        <v>Very Hard</v>
      </c>
      <c r="F9" s="515" t="str">
        <f>LOOKUP(B1,TrackData!A2:A64,TrackData!O2:O64)</f>
        <v>Medium</v>
      </c>
      <c r="G9" s="33" t="s">
        <v>144</v>
      </c>
      <c r="H9" s="535">
        <f>IF(LOOKUP(B5,TyreData!A3:A10,TyreData!E3:E10)=5,LOOKUP(G9,TyreData!D13:D17,TyreData!M13:M17),IF(LOOKUP(B5,TyreData!A3:A10,TyreData!E3:E10)=6,LOOKUP(G9,TyreData!D13:D17,TyreData!O13:O17),IF(LOOKUP(B5,TyreData!A3:A10,TyreData!E3:E10)=7,LOOKUP(G9,TyreData!D13:D17,TyreData!Q13:Q17),IF(LOOKUP(B5,TyreData!A3:A10,TyreData!E3:E10)=8,LOOKUP(G9,TyreData!D13:D17,TyreData!S13:S17),IF(LOOKUP(B5,TyreData!A3:A10,TyreData!E3:E10)=3,LOOKUP(G9,TyreData!D13:D17,TyreData!I13:I17),IF(LOOKUP(B5,TyreData!A3:A10,TyreData!E3:E10)=1,LOOKUP(G9,TyreData!D13:D17,TyreData!E13:E17),IF(LOOKUP(B5,TyreData!A3:A10,TyreData!E3:E10)=2,LOOKUP(G9,TyreData!D13:D17,TyreData!G13:G17),IF(LOOKUP(B5,TyreData!A3:A10,TyreData!E3:E10)=4,LOOKUP(G9,TyreData!D13:D17,TyreData!K13:K17),0)))))*LOOKUP(F9,TyreData!H21:H25,TyreData!I21:I25)*LOOKUP(B3,TyreData!D28:D78,TyreData!E28:E78)*LOOKUP(B4,TyreData!H28:H128,TyreData!I28:I128))))</f>
        <v>125.03856455999997</v>
      </c>
      <c r="I9" s="32">
        <v>50</v>
      </c>
      <c r="J9" s="533">
        <f>IF(LOOKUP(B5,TyreData!A3:A10,TyreData!E3:E10)=5,LOOKUP(G9,TyreData!D13:D17,TyreData!M13:M17),IF(LOOKUP(B5,TyreData!A3:A10,TyreData!E3:E10)=6,LOOKUP(G9,TyreData!D13:D17,TyreData!O13:O17),IF(LOOKUP(B5,TyreData!A3:A10,TyreData!E3:E10)=7,LOOKUP(G9,TyreData!D13:D17,TyreData!Q13:Q17),IF(LOOKUP(B5,TyreData!A3:A10,TyreData!E3:E10)=8,LOOKUP(G9,TyreData!D13:D17,TyreData!S13:S17),IF(LOOKUP(B5,TyreData!A3:A10,TyreData!E3:E10)=3,LOOKUP(G9,TyreData!D13:D17,TyreData!I13:I17),IF(LOOKUP(B5,TyreData!A3:A10,TyreData!E3:E10)=1,LOOKUP(G9,TyreData!D13:D17,TyreData!E13:E17),IF(LOOKUP(B5,TyreData!A3:A10,TyreData!E3:E10)=2,LOOKUP(G9,TyreData!D13:D17,TyreData!G13:G17),IF(LOOKUP(B5,TyreData!A3:A10,TyreData!E3:E10)=4,LOOKUP(G9,TyreData!D13:D17,TyreData!K13:K17),0)))))*LOOKUP(F9,TyreData!H21:H25,TyreData!I21:I25)*LOOKUP(B3,TyreData!D28:D78,TyreData!E28:E78)*LOOKUP(B4,TyreData!H28:H128,TyreData!I28:I128)*(1-I9*LOOKUP(G9,TyreData!D21:D24,TyreData!E21:E24)))))</f>
        <v>111.90951528119997</v>
      </c>
      <c r="K9" s="494" t="s">
        <v>220</v>
      </c>
      <c r="L9" s="582" t="s">
        <v>773</v>
      </c>
      <c r="M9" s="580"/>
      <c r="N9" s="580"/>
      <c r="O9" s="580"/>
      <c r="P9" s="446"/>
      <c r="Q9" s="446"/>
      <c r="R9" s="446"/>
      <c r="S9" s="446"/>
      <c r="T9" s="446"/>
      <c r="U9" s="446"/>
      <c r="V9" s="446"/>
    </row>
    <row r="10" spans="1:22" ht="15.75" thickBot="1" x14ac:dyDescent="0.3">
      <c r="A10" s="474" t="s">
        <v>219</v>
      </c>
      <c r="B10" s="512">
        <f>LOOKUP(B1,TrackData!A2:A112,TrackData!I2:I112)</f>
        <v>11</v>
      </c>
      <c r="C10" s="446"/>
      <c r="D10" s="446"/>
      <c r="E10" s="446"/>
      <c r="F10" s="455"/>
      <c r="G10" s="449"/>
      <c r="H10" s="449"/>
      <c r="I10" s="449"/>
      <c r="J10" s="534">
        <f>ROUNDDOWN(J9/LOOKUP(B1,TrackData!A2:A112,TrackData!C2:C112),0)</f>
        <v>27</v>
      </c>
      <c r="K10" s="495" t="s">
        <v>218</v>
      </c>
      <c r="L10" s="582" t="s">
        <v>774</v>
      </c>
      <c r="M10" s="446"/>
      <c r="N10" s="446"/>
      <c r="O10" s="446"/>
      <c r="P10" s="446"/>
      <c r="Q10" s="446"/>
      <c r="R10" s="446"/>
      <c r="S10" s="446"/>
      <c r="T10" s="446"/>
      <c r="U10" s="446"/>
      <c r="V10" s="446"/>
    </row>
    <row r="11" spans="1:22" ht="15.75" thickBot="1" x14ac:dyDescent="0.3">
      <c r="A11" s="475" t="s">
        <v>217</v>
      </c>
      <c r="B11" s="513">
        <f>LOOKUP(B1,TrackData!A2:A112,TrackData!J2:J112)</f>
        <v>9</v>
      </c>
      <c r="C11" s="446"/>
      <c r="D11" s="536" t="s">
        <v>216</v>
      </c>
      <c r="E11" s="185">
        <v>1</v>
      </c>
      <c r="F11" s="462" t="s">
        <v>215</v>
      </c>
      <c r="G11" s="498" t="s">
        <v>214</v>
      </c>
      <c r="H11" s="500" t="s">
        <v>213</v>
      </c>
      <c r="I11" s="446"/>
      <c r="J11" s="516" t="str">
        <f>LOOKUP(B1,TrackData!A2:A112,TrackData!K2:K112)</f>
        <v>Low</v>
      </c>
      <c r="K11" s="496" t="s">
        <v>212</v>
      </c>
      <c r="L11" s="452"/>
      <c r="M11" s="448"/>
      <c r="N11" s="446"/>
      <c r="O11" s="446"/>
      <c r="P11" s="446"/>
      <c r="Q11" s="446"/>
      <c r="R11" s="446"/>
      <c r="S11" s="446"/>
      <c r="T11" s="446"/>
      <c r="U11" s="446"/>
      <c r="V11" s="446"/>
    </row>
    <row r="12" spans="1:22" ht="15.75" thickBot="1" x14ac:dyDescent="0.3">
      <c r="A12" s="446"/>
      <c r="B12" s="446"/>
      <c r="C12" s="453"/>
      <c r="D12" s="452"/>
      <c r="E12" s="452"/>
      <c r="F12" s="456"/>
      <c r="G12" s="499" t="s">
        <v>211</v>
      </c>
      <c r="H12" s="518">
        <f>IF(VLOOKUP(G9,TyreData!J1:K7,2,0)=1,SUM(D9*1*B7),IF(VLOOKUP(G9,TyreData!J1:K7,2,0)=2,SUM(D9*2*B7),IF(VLOOKUP(G9,TyreData!J1:K7,2,0)=3,SUM(D9*3*B7),IF(VLOOKUP(G9,TyreData!J1:K7,2,0)=4,SUM(D9*4*B7),IF(VLOOKUP(G9,TyreData!J1:K7,2,0)=5,SUM(D9*4+2.718*B7))))))</f>
        <v>30.357727272727246</v>
      </c>
      <c r="I12" s="452"/>
      <c r="J12" s="516" t="str">
        <f>LOOKUP(B1,TrackData!A2:A112,TrackData!M2:M112)</f>
        <v>Soft</v>
      </c>
      <c r="K12" s="496" t="s">
        <v>210</v>
      </c>
      <c r="L12" s="448"/>
      <c r="M12" s="446"/>
      <c r="N12" s="446"/>
      <c r="O12" s="446"/>
      <c r="P12" s="446"/>
      <c r="Q12" s="446"/>
      <c r="R12" s="446"/>
      <c r="S12" s="446"/>
      <c r="T12" s="446"/>
      <c r="U12" s="446"/>
      <c r="V12" s="446"/>
    </row>
    <row r="13" spans="1:22" x14ac:dyDescent="0.25">
      <c r="A13" s="476" t="s">
        <v>209</v>
      </c>
      <c r="B13" s="510" t="str">
        <f>LOOKUP(B1,TrackData!A2:A112,TrackData!N2:N112)</f>
        <v>High</v>
      </c>
      <c r="C13" s="461" t="s">
        <v>187</v>
      </c>
      <c r="D13" s="537" t="s">
        <v>208</v>
      </c>
      <c r="E13" s="538" t="s">
        <v>207</v>
      </c>
      <c r="F13" s="456"/>
      <c r="G13" s="26" t="s">
        <v>206</v>
      </c>
      <c r="H13" s="519">
        <f>SUM(0.0041181841*C5)*(E3+F3+G3+H3+I3+J3)/(1+E11)*(B7)/(1+E11)*(1+E11)</f>
        <v>135.78863723825398</v>
      </c>
      <c r="I13" s="452"/>
      <c r="J13" s="505" t="str">
        <f>LOOKUP(B1,TrackData!A2:A112,TrackData!P2:P112)</f>
        <v>Low</v>
      </c>
      <c r="K13" s="496" t="s">
        <v>205</v>
      </c>
      <c r="L13" s="448"/>
      <c r="M13" s="446"/>
      <c r="N13" s="446"/>
      <c r="O13" s="446"/>
      <c r="P13" s="446"/>
      <c r="Q13" s="446"/>
      <c r="R13" s="446"/>
      <c r="S13" s="446"/>
      <c r="T13" s="446"/>
      <c r="U13" s="446"/>
      <c r="V13" s="446"/>
    </row>
    <row r="14" spans="1:22" x14ac:dyDescent="0.25">
      <c r="A14" s="473" t="s">
        <v>204</v>
      </c>
      <c r="B14" s="31">
        <v>3</v>
      </c>
      <c r="C14" s="448"/>
      <c r="D14" s="522">
        <f>D15*VLOOKUP(B1,Resources!A2:L65,4,FALSE)*B7</f>
        <v>232.0280424</v>
      </c>
      <c r="E14" s="523">
        <f>E15*VLOOKUP(B1,Resources!A2:L65,4,FALSE)*B7</f>
        <v>225.45600000000002</v>
      </c>
      <c r="F14" s="463" t="s">
        <v>203</v>
      </c>
      <c r="G14" s="26" t="s">
        <v>202</v>
      </c>
      <c r="H14" s="520">
        <f>SUM(C2*E11)+(25*E11)</f>
        <v>38.5</v>
      </c>
      <c r="I14" s="452"/>
      <c r="J14" s="505">
        <f>LOOKUP(B1,TrackData!A2:A112,TrackData!F2:F112)</f>
        <v>10</v>
      </c>
      <c r="K14" s="496" t="s">
        <v>201</v>
      </c>
      <c r="L14" s="448"/>
      <c r="M14" s="446"/>
      <c r="N14" s="446"/>
      <c r="O14" s="446"/>
      <c r="P14" s="446"/>
      <c r="Q14" s="446"/>
      <c r="R14" s="446"/>
      <c r="S14" s="446"/>
      <c r="T14" s="446"/>
      <c r="U14" s="446"/>
      <c r="V14" s="446"/>
    </row>
    <row r="15" spans="1:22" ht="15.75" thickBot="1" x14ac:dyDescent="0.3">
      <c r="A15" s="474" t="s">
        <v>200</v>
      </c>
      <c r="B15" s="385">
        <v>3</v>
      </c>
      <c r="C15" s="446"/>
      <c r="D15" s="524">
        <f>E15+Resources!R30*TyreData!O1</f>
        <v>0.82332000000000005</v>
      </c>
      <c r="E15" s="525">
        <f>VLOOKUP(B1,Resources!A1:M65,B14+5,FALSE)*TyreData!O1</f>
        <v>0.8</v>
      </c>
      <c r="F15" s="463" t="s">
        <v>199</v>
      </c>
      <c r="G15" s="24" t="s">
        <v>198</v>
      </c>
      <c r="H15" s="521">
        <f>SUM(H12:H14)</f>
        <v>204.64636451098124</v>
      </c>
      <c r="I15" s="452"/>
      <c r="J15" s="517">
        <f>LOOKUP(B1,TrackData!A2:A112,TrackData!E2:E112)</f>
        <v>203.49</v>
      </c>
      <c r="K15" s="497" t="s">
        <v>197</v>
      </c>
      <c r="L15" s="448"/>
      <c r="M15" s="446"/>
      <c r="N15" s="446"/>
      <c r="O15" s="446"/>
      <c r="P15" s="446"/>
      <c r="Q15" s="446"/>
      <c r="R15" s="446"/>
      <c r="S15" s="446"/>
      <c r="T15" s="446"/>
      <c r="U15" s="446"/>
      <c r="V15" s="446"/>
    </row>
    <row r="16" spans="1:22" ht="15.75" thickBot="1" x14ac:dyDescent="0.3">
      <c r="A16" s="477" t="s">
        <v>196</v>
      </c>
      <c r="B16" s="386">
        <v>45</v>
      </c>
      <c r="C16" s="446"/>
      <c r="D16" s="446"/>
      <c r="E16" s="446"/>
      <c r="F16" s="455"/>
      <c r="G16" s="446"/>
      <c r="H16" s="446"/>
      <c r="I16" s="452"/>
      <c r="J16" s="446"/>
      <c r="K16" s="446"/>
      <c r="L16" s="592" t="s">
        <v>778</v>
      </c>
      <c r="M16" s="446"/>
      <c r="N16" s="446"/>
      <c r="O16" s="446"/>
      <c r="P16" s="446"/>
      <c r="Q16" s="446"/>
      <c r="R16" s="446"/>
      <c r="S16" s="446"/>
      <c r="T16" s="446"/>
      <c r="U16" s="446"/>
      <c r="V16" s="446"/>
    </row>
    <row r="17" spans="1:22" ht="15.75" thickBot="1" x14ac:dyDescent="0.3">
      <c r="A17" s="452"/>
      <c r="B17" s="452"/>
      <c r="C17" s="446"/>
      <c r="D17" s="783" t="s">
        <v>195</v>
      </c>
      <c r="E17" s="783"/>
      <c r="F17" s="777" t="s">
        <v>194</v>
      </c>
      <c r="G17" s="778"/>
      <c r="H17" s="777" t="s">
        <v>768</v>
      </c>
      <c r="I17" s="778"/>
      <c r="J17" s="777" t="s">
        <v>769</v>
      </c>
      <c r="K17" s="779"/>
      <c r="L17" s="589" t="s">
        <v>779</v>
      </c>
      <c r="M17" s="589" t="s">
        <v>780</v>
      </c>
      <c r="N17" s="593" t="s">
        <v>781</v>
      </c>
      <c r="O17" s="593" t="s">
        <v>781</v>
      </c>
      <c r="P17" s="446"/>
      <c r="Q17" s="446"/>
      <c r="R17" s="446"/>
      <c r="S17" s="446"/>
      <c r="T17" s="446"/>
      <c r="U17" s="446"/>
      <c r="V17" s="446"/>
    </row>
    <row r="18" spans="1:22" x14ac:dyDescent="0.25">
      <c r="A18" s="478" t="s">
        <v>193</v>
      </c>
      <c r="B18" s="29">
        <v>28</v>
      </c>
      <c r="C18" s="461" t="s">
        <v>187</v>
      </c>
      <c r="D18" s="464" t="s">
        <v>192</v>
      </c>
      <c r="E18" s="465" t="s">
        <v>191</v>
      </c>
      <c r="F18" s="501" t="s">
        <v>190</v>
      </c>
      <c r="G18" s="575" t="s">
        <v>189</v>
      </c>
      <c r="H18" s="501" t="s">
        <v>190</v>
      </c>
      <c r="I18" s="575" t="s">
        <v>189</v>
      </c>
      <c r="J18" s="501" t="s">
        <v>190</v>
      </c>
      <c r="K18" s="502" t="s">
        <v>189</v>
      </c>
      <c r="L18" s="589" t="s">
        <v>782</v>
      </c>
      <c r="M18" s="590" t="s">
        <v>783</v>
      </c>
      <c r="N18" s="589" t="s">
        <v>777</v>
      </c>
      <c r="O18" s="590" t="s">
        <v>776</v>
      </c>
      <c r="P18" s="446"/>
      <c r="Q18" s="446"/>
      <c r="R18" s="446"/>
      <c r="S18" s="446"/>
      <c r="T18" s="446"/>
      <c r="U18" s="446"/>
      <c r="V18" s="446"/>
    </row>
    <row r="19" spans="1:22" ht="15.75" thickBot="1" x14ac:dyDescent="0.3">
      <c r="A19" s="479" t="s">
        <v>188</v>
      </c>
      <c r="B19" s="30">
        <v>30</v>
      </c>
      <c r="C19" s="461" t="s">
        <v>187</v>
      </c>
      <c r="D19" s="466" t="s">
        <v>0</v>
      </c>
      <c r="E19" s="183">
        <v>232</v>
      </c>
      <c r="F19" s="527">
        <f>ROUND(E19+(Resources!S17)*(B19-B18),0)</f>
        <v>241</v>
      </c>
      <c r="G19" s="576">
        <f>ROUND(E19+(Resources!S17)*(B3-B18),0)</f>
        <v>200</v>
      </c>
      <c r="H19" s="27">
        <f>ROUND(SUM(E19+(189-(B19*3.115))),0)</f>
        <v>328</v>
      </c>
      <c r="I19" s="583">
        <f>ROUND(SUM(E19+(189-(B3*3.115))),0)</f>
        <v>356</v>
      </c>
      <c r="J19" s="585">
        <f>ROUND(SUM(E19-(209-(B19*4.1))),0)</f>
        <v>146</v>
      </c>
      <c r="K19" s="586">
        <f>ROUND(SUM(E19-(210-(B3*4.117))),0)</f>
        <v>108</v>
      </c>
      <c r="L19" s="591">
        <v>30</v>
      </c>
      <c r="M19" s="591">
        <v>170</v>
      </c>
      <c r="N19" s="591">
        <v>0</v>
      </c>
      <c r="O19" s="591">
        <v>-185</v>
      </c>
      <c r="P19" s="446"/>
      <c r="Q19" s="446"/>
      <c r="R19" s="446"/>
      <c r="S19" s="446"/>
      <c r="T19" s="446"/>
      <c r="U19" s="446"/>
      <c r="V19" s="446"/>
    </row>
    <row r="20" spans="1:22" ht="15.75" thickBot="1" x14ac:dyDescent="0.3">
      <c r="A20" s="452"/>
      <c r="B20" s="452"/>
      <c r="C20" s="446"/>
      <c r="D20" s="467" t="s">
        <v>1</v>
      </c>
      <c r="E20" s="183">
        <v>632</v>
      </c>
      <c r="F20" s="527">
        <f>ROUND(E20+(Resources!S18)*(B19-B18),0)</f>
        <v>641</v>
      </c>
      <c r="G20" s="576">
        <f>ROUND(E20+(Resources!S18)*(B3-B18),0)</f>
        <v>600</v>
      </c>
      <c r="H20" s="27">
        <f>ROUND(SUM(E20+(189-(B19*3.115))),0)</f>
        <v>728</v>
      </c>
      <c r="I20" s="583">
        <f>ROUND(SUM(E20+(189-(B3*3.115))),0)</f>
        <v>756</v>
      </c>
      <c r="J20" s="585">
        <f>ROUND(SUM(E20-(209-(B19*4.1))),0)</f>
        <v>546</v>
      </c>
      <c r="K20" s="586">
        <f>ROUND(SUM(E20-(210-(B3*4.117))),0)</f>
        <v>508</v>
      </c>
      <c r="L20" s="591">
        <v>30</v>
      </c>
      <c r="M20" s="591">
        <v>170</v>
      </c>
      <c r="N20" s="591">
        <v>0</v>
      </c>
      <c r="O20" s="591">
        <v>-185</v>
      </c>
      <c r="P20" s="446"/>
      <c r="Q20" s="446"/>
      <c r="R20" s="446"/>
      <c r="S20" s="446"/>
      <c r="T20" s="446"/>
      <c r="U20" s="446"/>
      <c r="V20" s="446"/>
    </row>
    <row r="21" spans="1:22" ht="15" customHeight="1" x14ac:dyDescent="0.25">
      <c r="A21" s="478" t="s">
        <v>10</v>
      </c>
      <c r="B21" s="29">
        <v>22</v>
      </c>
      <c r="C21" s="446"/>
      <c r="D21" s="467" t="s">
        <v>2</v>
      </c>
      <c r="E21" s="183">
        <v>784</v>
      </c>
      <c r="F21" s="527">
        <f>ROUND(E21+(Resources!S19)*(B19-B18),0)</f>
        <v>776</v>
      </c>
      <c r="G21" s="576">
        <f>ROUND(E21+(Resources!S19)*(B3-B18),0)</f>
        <v>811</v>
      </c>
      <c r="H21" s="27">
        <f>ROUND(SUM(E21-(216-(B19*3.845))),0)</f>
        <v>683</v>
      </c>
      <c r="I21" s="583">
        <f>ROUND(SUM(E21-(216-(B3*3.845))),0)</f>
        <v>649</v>
      </c>
      <c r="J21" s="585">
        <f>ROUND(SUM(E21+(228-(B19*4.43))),0)</f>
        <v>879</v>
      </c>
      <c r="K21" s="586">
        <f>ROUND(SUM(E21+(228-(B3*4.43))),0)</f>
        <v>919</v>
      </c>
      <c r="L21" s="591">
        <v>-20</v>
      </c>
      <c r="M21" s="591">
        <v>-193</v>
      </c>
      <c r="N21" s="591">
        <v>2</v>
      </c>
      <c r="O21" s="591">
        <v>201</v>
      </c>
      <c r="P21" s="446"/>
      <c r="Q21" s="446"/>
      <c r="R21" s="446"/>
      <c r="S21" s="446"/>
      <c r="T21" s="446"/>
      <c r="U21" s="446"/>
      <c r="V21" s="446"/>
    </row>
    <row r="22" spans="1:22" ht="15" customHeight="1" x14ac:dyDescent="0.25">
      <c r="A22" s="480" t="s">
        <v>9</v>
      </c>
      <c r="B22" s="28">
        <v>27</v>
      </c>
      <c r="C22" s="446"/>
      <c r="D22" s="467" t="s">
        <v>3</v>
      </c>
      <c r="E22" s="183">
        <v>549</v>
      </c>
      <c r="F22" s="527">
        <f>ROUND(E22+(Resources!S20)*(B19-B18),0)</f>
        <v>561</v>
      </c>
      <c r="G22" s="576">
        <f>ROUND(E22+(Resources!S20)*(B3-B18),0)</f>
        <v>507</v>
      </c>
      <c r="H22" s="27">
        <f>ROUND(SUM(E22+(77-(B19*0.725))),0)</f>
        <v>604</v>
      </c>
      <c r="I22" s="583">
        <f>ROUND(SUM(E22+(77-(B3*0.725))),0)</f>
        <v>611</v>
      </c>
      <c r="J22" s="585">
        <f>ROUND(SUM(E22-(119-(B19*2.725))),0)</f>
        <v>512</v>
      </c>
      <c r="K22" s="586">
        <f>ROUND(SUM(E22-(119-(B3*2.725))),0)</f>
        <v>487</v>
      </c>
      <c r="L22" s="591">
        <v>40</v>
      </c>
      <c r="M22" s="591">
        <v>73</v>
      </c>
      <c r="N22" s="591">
        <v>20</v>
      </c>
      <c r="O22" s="591">
        <v>-103</v>
      </c>
      <c r="P22" s="446"/>
      <c r="Q22" s="446"/>
      <c r="R22" s="446"/>
      <c r="S22" s="446"/>
      <c r="T22" s="446"/>
      <c r="U22" s="446"/>
      <c r="V22" s="446"/>
    </row>
    <row r="23" spans="1:22" ht="15" customHeight="1" x14ac:dyDescent="0.25">
      <c r="A23" s="480" t="s">
        <v>186</v>
      </c>
      <c r="B23" s="526">
        <f>SUM(135.0107-(0.10172*B21)-(0.30014*B22))</f>
        <v>124.66908000000001</v>
      </c>
      <c r="C23" s="446"/>
      <c r="D23" s="467" t="s">
        <v>12</v>
      </c>
      <c r="E23" s="183">
        <v>556</v>
      </c>
      <c r="F23" s="527">
        <f>ROUND(E23+(Resources!S21)*(B19-B18),0)</f>
        <v>548</v>
      </c>
      <c r="G23" s="576">
        <f>ROUND(E23+(Resources!S21)*(B3-B18),0)</f>
        <v>585</v>
      </c>
      <c r="H23" s="27">
        <f>ROUND(SUM(E23-(-8+(B19*4.665))),0)</f>
        <v>424</v>
      </c>
      <c r="I23" s="583">
        <f>ROUND(SUM(E23-(-7+(B3*4.45))),0)</f>
        <v>470</v>
      </c>
      <c r="J23" s="585">
        <f>ROUND(SUM(E23+(34.5+(B19*2.4))),0)</f>
        <v>663</v>
      </c>
      <c r="K23" s="586">
        <f>ROUND(SUM(E23+(42+(B3*2.255))),0)</f>
        <v>645</v>
      </c>
      <c r="L23" s="591">
        <v>-230</v>
      </c>
      <c r="M23" s="591">
        <v>-20</v>
      </c>
      <c r="N23" s="591">
        <v>157</v>
      </c>
      <c r="O23" s="591">
        <v>56</v>
      </c>
      <c r="P23" s="446"/>
      <c r="Q23" s="446"/>
      <c r="R23" s="446"/>
      <c r="S23" s="446"/>
      <c r="T23" s="446"/>
      <c r="U23" s="446"/>
      <c r="V23" s="446"/>
    </row>
    <row r="24" spans="1:22" ht="15.75" thickBot="1" x14ac:dyDescent="0.3">
      <c r="A24" s="479" t="s">
        <v>185</v>
      </c>
      <c r="B24" s="539">
        <f>SUM(B23/2)</f>
        <v>62.334540000000004</v>
      </c>
      <c r="C24" s="446"/>
      <c r="D24" s="468" t="s">
        <v>5</v>
      </c>
      <c r="E24" s="184">
        <v>356</v>
      </c>
      <c r="F24" s="529">
        <f>ROUND(E24+(Resources!S22)*(B19-B18),0)</f>
        <v>344</v>
      </c>
      <c r="G24" s="577">
        <f>ROUND(E24+(Resources!S22)*(B3-B18),0)</f>
        <v>398</v>
      </c>
      <c r="H24" s="25">
        <f>ROUND(SUM(E24-(224-(B19*4))),0)</f>
        <v>252</v>
      </c>
      <c r="I24" s="584">
        <f>ROUND(SUM(E24-(224-(B3*4))),0)</f>
        <v>216</v>
      </c>
      <c r="J24" s="587">
        <f>ROUND(SUM(E24+(253-(B19*5.37))),0)</f>
        <v>448</v>
      </c>
      <c r="K24" s="588">
        <f>ROUND(SUM(E24+(253-(B3*5.37))),0)</f>
        <v>496</v>
      </c>
      <c r="L24" s="591">
        <v>-20</v>
      </c>
      <c r="M24" s="591">
        <v>-200</v>
      </c>
      <c r="N24" s="591">
        <v>-21</v>
      </c>
      <c r="O24" s="591">
        <v>221</v>
      </c>
      <c r="P24" s="446"/>
      <c r="Q24" s="446"/>
      <c r="R24" s="446"/>
      <c r="S24" s="446"/>
      <c r="T24" s="446"/>
      <c r="U24" s="446"/>
      <c r="V24" s="446"/>
    </row>
    <row r="25" spans="1:22" x14ac:dyDescent="0.25">
      <c r="A25" s="446"/>
      <c r="B25" s="446"/>
      <c r="C25" s="446"/>
      <c r="D25" s="452"/>
      <c r="E25" s="452"/>
      <c r="F25" s="446"/>
      <c r="G25" s="446"/>
      <c r="H25" s="446"/>
      <c r="I25" s="457"/>
      <c r="J25" s="446"/>
      <c r="K25" s="446"/>
      <c r="L25" s="446"/>
      <c r="M25" s="446"/>
      <c r="N25" s="446"/>
      <c r="O25" s="446"/>
      <c r="P25" s="446"/>
      <c r="Q25" s="446"/>
      <c r="R25" s="446"/>
      <c r="S25" s="446"/>
      <c r="T25" s="446"/>
      <c r="U25" s="446"/>
      <c r="V25" s="446"/>
    </row>
    <row r="26" spans="1:22" x14ac:dyDescent="0.25">
      <c r="A26" s="446"/>
      <c r="B26" s="446"/>
      <c r="C26" s="448"/>
      <c r="D26" s="448"/>
      <c r="E26" s="454"/>
      <c r="F26" s="448"/>
      <c r="G26" s="446"/>
      <c r="H26" s="458"/>
      <c r="I26" s="448"/>
      <c r="J26" s="448"/>
      <c r="K26" s="448"/>
      <c r="L26" s="460">
        <f>ROUND(SUM(E22)-(186-6*B19),0)</f>
        <v>543</v>
      </c>
      <c r="M26" s="446"/>
      <c r="N26" s="446"/>
      <c r="O26" s="446"/>
      <c r="P26" s="446"/>
      <c r="Q26" s="446"/>
      <c r="R26" s="446"/>
      <c r="S26" s="446"/>
      <c r="T26" s="446"/>
      <c r="U26" s="446"/>
      <c r="V26" s="446"/>
    </row>
    <row r="27" spans="1:22" x14ac:dyDescent="0.25">
      <c r="A27" s="446"/>
      <c r="B27" s="446"/>
      <c r="C27" s="448"/>
      <c r="D27" s="448"/>
      <c r="E27" s="599"/>
      <c r="F27" s="448"/>
      <c r="G27" s="446"/>
      <c r="H27" s="446"/>
      <c r="I27" s="448"/>
      <c r="J27" s="448"/>
      <c r="K27" s="448"/>
      <c r="L27" s="446"/>
      <c r="M27" s="446"/>
      <c r="N27" s="446"/>
      <c r="O27" s="446"/>
      <c r="P27" s="446"/>
      <c r="Q27" s="446"/>
      <c r="R27" s="446"/>
      <c r="S27" s="446"/>
      <c r="T27" s="446"/>
      <c r="U27" s="446"/>
      <c r="V27" s="446"/>
    </row>
    <row r="28" spans="1:22" x14ac:dyDescent="0.25">
      <c r="A28" s="446"/>
      <c r="B28" s="446"/>
      <c r="C28" s="448"/>
      <c r="D28" s="448"/>
      <c r="E28" s="448"/>
      <c r="F28" s="448"/>
      <c r="G28" s="446"/>
      <c r="H28" s="446"/>
      <c r="I28" s="448"/>
      <c r="J28" s="448"/>
      <c r="K28" s="448"/>
      <c r="L28" s="446"/>
      <c r="M28" s="446"/>
      <c r="N28" s="446"/>
      <c r="O28" s="446"/>
      <c r="P28" s="446"/>
      <c r="Q28" s="446"/>
      <c r="R28" s="446"/>
      <c r="S28" s="446"/>
      <c r="T28" s="446"/>
      <c r="U28" s="446"/>
      <c r="V28" s="446"/>
    </row>
    <row r="29" spans="1:22" x14ac:dyDescent="0.25">
      <c r="A29" s="448"/>
      <c r="B29" s="448"/>
      <c r="C29" s="448"/>
      <c r="D29" s="448"/>
      <c r="E29" s="448"/>
      <c r="F29" s="448"/>
      <c r="G29" s="446"/>
      <c r="H29" s="446"/>
      <c r="I29" s="448"/>
      <c r="J29" s="448"/>
      <c r="K29" s="448"/>
      <c r="L29" s="446"/>
      <c r="M29" s="446"/>
      <c r="N29" s="446"/>
      <c r="O29" s="446"/>
      <c r="P29" s="446"/>
      <c r="Q29" s="446"/>
      <c r="R29" s="446"/>
      <c r="S29" s="446"/>
      <c r="T29" s="446"/>
      <c r="U29" s="446"/>
      <c r="V29" s="446"/>
    </row>
    <row r="30" spans="1:22" x14ac:dyDescent="0.25">
      <c r="A30" s="452"/>
      <c r="B30" s="452"/>
      <c r="C30" s="446"/>
      <c r="D30" s="446"/>
      <c r="E30" s="446"/>
      <c r="F30" s="446"/>
      <c r="G30" s="446"/>
      <c r="H30" s="446"/>
      <c r="I30" s="459"/>
      <c r="J30" s="446"/>
      <c r="K30" s="446"/>
      <c r="L30" s="446"/>
      <c r="M30" s="446"/>
      <c r="N30" s="446"/>
      <c r="O30" s="446"/>
      <c r="P30" s="446"/>
      <c r="Q30" s="446"/>
      <c r="R30" s="446"/>
      <c r="S30" s="446"/>
      <c r="T30" s="446"/>
      <c r="U30" s="446"/>
      <c r="V30" s="446"/>
    </row>
    <row r="31" spans="1:22" x14ac:dyDescent="0.25">
      <c r="A31" s="782"/>
      <c r="B31" s="782"/>
      <c r="C31" s="782"/>
      <c r="D31" s="782"/>
      <c r="E31" s="446"/>
      <c r="F31" s="446"/>
      <c r="G31" s="446"/>
      <c r="H31" s="446"/>
      <c r="I31" s="459"/>
      <c r="J31" s="446"/>
      <c r="K31" s="446"/>
      <c r="L31" s="446"/>
      <c r="M31" s="446"/>
      <c r="N31" s="446"/>
      <c r="O31" s="446"/>
      <c r="P31" s="446"/>
      <c r="Q31" s="446"/>
      <c r="R31" s="446"/>
      <c r="S31" s="446"/>
      <c r="T31" s="446"/>
      <c r="U31" s="446"/>
      <c r="V31" s="446"/>
    </row>
    <row r="32" spans="1:22" x14ac:dyDescent="0.25">
      <c r="A32" s="782"/>
      <c r="B32" s="782"/>
      <c r="C32" s="448"/>
      <c r="D32" s="446"/>
      <c r="E32" s="446"/>
      <c r="F32" s="446"/>
      <c r="G32" s="446"/>
      <c r="H32" s="446"/>
      <c r="I32" s="446"/>
      <c r="J32" s="446"/>
      <c r="K32" s="446"/>
      <c r="L32" s="446"/>
      <c r="M32" s="446"/>
      <c r="N32" s="446"/>
      <c r="O32" s="446"/>
      <c r="P32" s="446"/>
      <c r="Q32" s="446"/>
      <c r="R32" s="446"/>
      <c r="S32" s="446"/>
      <c r="T32" s="446"/>
      <c r="U32" s="446"/>
      <c r="V32" s="446"/>
    </row>
  </sheetData>
  <sheetProtection selectLockedCells="1"/>
  <customSheetViews>
    <customSheetView guid="{58F65609-3622-42C4-9926-1A56B88F9C36}">
      <selection activeCell="B1" sqref="B1"/>
      <pageMargins left="0.7" right="0.7" top="0.75" bottom="0.75" header="0.3" footer="0.3"/>
    </customSheetView>
  </customSheetViews>
  <mergeCells count="7">
    <mergeCell ref="J17:K17"/>
    <mergeCell ref="A31:B31"/>
    <mergeCell ref="C31:D31"/>
    <mergeCell ref="A32:B32"/>
    <mergeCell ref="D17:E17"/>
    <mergeCell ref="F17:G17"/>
    <mergeCell ref="H17:I17"/>
  </mergeCells>
  <dataValidations count="10">
    <dataValidation type="list" allowBlank="1" showErrorMessage="1" sqref="B1" xr:uid="{00000000-0002-0000-0200-000000000000}">
      <formula1>TrackName</formula1>
    </dataValidation>
    <dataValidation type="list" allowBlank="1" showErrorMessage="1" sqref="G9" xr:uid="{00000000-0002-0000-0200-000001000000}">
      <formula1>Tyre</formula1>
    </dataValidation>
    <dataValidation type="list" allowBlank="1" showErrorMessage="1" sqref="B5" xr:uid="{00000000-0002-0000-0200-000002000000}">
      <formula1>Supplier</formula1>
    </dataValidation>
    <dataValidation type="list" operator="equal" allowBlank="1" sqref="B14:B15" xr:uid="{00000000-0002-0000-0200-000003000000}">
      <formula1>Level</formula1>
    </dataValidation>
    <dataValidation type="list" allowBlank="1" showErrorMessage="1" sqref="B2" xr:uid="{00000000-0002-0000-0200-000004000000}">
      <formula1>Weather</formula1>
    </dataValidation>
    <dataValidation type="list" allowBlank="1" showErrorMessage="1" sqref="WVO983050 WLS983050 WBW983050 VSA983050 VIE983050 UYI983050 UOM983050 UEQ983050 TUU983050 TKY983050 TBC983050 SRG983050 SHK983050 RXO983050 RNS983050 RDW983050 QUA983050 QKE983050 QAI983050 PQM983050 PGQ983050 OWU983050 OMY983050 ODC983050 NTG983050 NJK983050 MZO983050 MPS983050 MFW983050 LWA983050 LME983050 LCI983050 KSM983050 KIQ983050 JYU983050 JOY983050 JFC983050 IVG983050 ILK983050 IBO983050 HRS983050 HHW983050 GYA983050 GOE983050 GEI983050 FUM983050 FKQ983050 FAU983050 EQY983050 EHC983050 DXG983050 DNK983050 DDO983050 CTS983050 CJW983050 CAA983050 BQE983050 BGI983050 AWM983050 AMQ983050 ACU983050 SY983050 JC983050 G983050 WVO917514 WLS917514 WBW917514 VSA917514 VIE917514 UYI917514 UOM917514 UEQ917514 TUU917514 TKY917514 TBC917514 SRG917514 SHK917514 RXO917514 RNS917514 RDW917514 QUA917514 QKE917514 QAI917514 PQM917514 PGQ917514 OWU917514 OMY917514 ODC917514 NTG917514 NJK917514 MZO917514 MPS917514 MFW917514 LWA917514 LME917514 LCI917514 KSM917514 KIQ917514 JYU917514 JOY917514 JFC917514 IVG917514 ILK917514 IBO917514 HRS917514 HHW917514 GYA917514 GOE917514 GEI917514 FUM917514 FKQ917514 FAU917514 EQY917514 EHC917514 DXG917514 DNK917514 DDO917514 CTS917514 CJW917514 CAA917514 BQE917514 BGI917514 AWM917514 AMQ917514 ACU917514 SY917514 JC917514 G917514 WVO851978 WLS851978 WBW851978 VSA851978 VIE851978 UYI851978 UOM851978 UEQ851978 TUU851978 TKY851978 TBC851978 SRG851978 SHK851978 RXO851978 RNS851978 RDW851978 QUA851978 QKE851978 QAI851978 PQM851978 PGQ851978 OWU851978 OMY851978 ODC851978 NTG851978 NJK851978 MZO851978 MPS851978 MFW851978 LWA851978 LME851978 LCI851978 KSM851978 KIQ851978 JYU851978 JOY851978 JFC851978 IVG851978 ILK851978 IBO851978 HRS851978 HHW851978 GYA851978 GOE851978 GEI851978 FUM851978 FKQ851978 FAU851978 EQY851978 EHC851978 DXG851978 DNK851978 DDO851978 CTS851978 CJW851978 CAA851978 BQE851978 BGI851978 AWM851978 AMQ851978 ACU851978 SY851978 JC851978 G851978 WVO786442 WLS786442 WBW786442 VSA786442 VIE786442 UYI786442 UOM786442 UEQ786442 TUU786442 TKY786442 TBC786442 SRG786442 SHK786442 RXO786442 RNS786442 RDW786442 QUA786442 QKE786442 QAI786442 PQM786442 PGQ786442 OWU786442 OMY786442 ODC786442 NTG786442 NJK786442 MZO786442 MPS786442 MFW786442 LWA786442 LME786442 LCI786442 KSM786442 KIQ786442 JYU786442 JOY786442 JFC786442 IVG786442 ILK786442 IBO786442 HRS786442 HHW786442 GYA786442 GOE786442 GEI786442 FUM786442 FKQ786442 FAU786442 EQY786442 EHC786442 DXG786442 DNK786442 DDO786442 CTS786442 CJW786442 CAA786442 BQE786442 BGI786442 AWM786442 AMQ786442 ACU786442 SY786442 JC786442 G786442 WVO720906 WLS720906 WBW720906 VSA720906 VIE720906 UYI720906 UOM720906 UEQ720906 TUU720906 TKY720906 TBC720906 SRG720906 SHK720906 RXO720906 RNS720906 RDW720906 QUA720906 QKE720906 QAI720906 PQM720906 PGQ720906 OWU720906 OMY720906 ODC720906 NTG720906 NJK720906 MZO720906 MPS720906 MFW720906 LWA720906 LME720906 LCI720906 KSM720906 KIQ720906 JYU720906 JOY720906 JFC720906 IVG720906 ILK720906 IBO720906 HRS720906 HHW720906 GYA720906 GOE720906 GEI720906 FUM720906 FKQ720906 FAU720906 EQY720906 EHC720906 DXG720906 DNK720906 DDO720906 CTS720906 CJW720906 CAA720906 BQE720906 BGI720906 AWM720906 AMQ720906 ACU720906 SY720906 JC720906 G720906 WVO655370 WLS655370 WBW655370 VSA655370 VIE655370 UYI655370 UOM655370 UEQ655370 TUU655370 TKY655370 TBC655370 SRG655370 SHK655370 RXO655370 RNS655370 RDW655370 QUA655370 QKE655370 QAI655370 PQM655370 PGQ655370 OWU655370 OMY655370 ODC655370 NTG655370 NJK655370 MZO655370 MPS655370 MFW655370 LWA655370 LME655370 LCI655370 KSM655370 KIQ655370 JYU655370 JOY655370 JFC655370 IVG655370 ILK655370 IBO655370 HRS655370 HHW655370 GYA655370 GOE655370 GEI655370 FUM655370 FKQ655370 FAU655370 EQY655370 EHC655370 DXG655370 DNK655370 DDO655370 CTS655370 CJW655370 CAA655370 BQE655370 BGI655370 AWM655370 AMQ655370 ACU655370 SY655370 JC655370 G655370 WVO589834 WLS589834 WBW589834 VSA589834 VIE589834 UYI589834 UOM589834 UEQ589834 TUU589834 TKY589834 TBC589834 SRG589834 SHK589834 RXO589834 RNS589834 RDW589834 QUA589834 QKE589834 QAI589834 PQM589834 PGQ589834 OWU589834 OMY589834 ODC589834 NTG589834 NJK589834 MZO589834 MPS589834 MFW589834 LWA589834 LME589834 LCI589834 KSM589834 KIQ589834 JYU589834 JOY589834 JFC589834 IVG589834 ILK589834 IBO589834 HRS589834 HHW589834 GYA589834 GOE589834 GEI589834 FUM589834 FKQ589834 FAU589834 EQY589834 EHC589834 DXG589834 DNK589834 DDO589834 CTS589834 CJW589834 CAA589834 BQE589834 BGI589834 AWM589834 AMQ589834 ACU589834 SY589834 JC589834 G589834 WVO524298 WLS524298 WBW524298 VSA524298 VIE524298 UYI524298 UOM524298 UEQ524298 TUU524298 TKY524298 TBC524298 SRG524298 SHK524298 RXO524298 RNS524298 RDW524298 QUA524298 QKE524298 QAI524298 PQM524298 PGQ524298 OWU524298 OMY524298 ODC524298 NTG524298 NJK524298 MZO524298 MPS524298 MFW524298 LWA524298 LME524298 LCI524298 KSM524298 KIQ524298 JYU524298 JOY524298 JFC524298 IVG524298 ILK524298 IBO524298 HRS524298 HHW524298 GYA524298 GOE524298 GEI524298 FUM524298 FKQ524298 FAU524298 EQY524298 EHC524298 DXG524298 DNK524298 DDO524298 CTS524298 CJW524298 CAA524298 BQE524298 BGI524298 AWM524298 AMQ524298 ACU524298 SY524298 JC524298 G524298 WVO458762 WLS458762 WBW458762 VSA458762 VIE458762 UYI458762 UOM458762 UEQ458762 TUU458762 TKY458762 TBC458762 SRG458762 SHK458762 RXO458762 RNS458762 RDW458762 QUA458762 QKE458762 QAI458762 PQM458762 PGQ458762 OWU458762 OMY458762 ODC458762 NTG458762 NJK458762 MZO458762 MPS458762 MFW458762 LWA458762 LME458762 LCI458762 KSM458762 KIQ458762 JYU458762 JOY458762 JFC458762 IVG458762 ILK458762 IBO458762 HRS458762 HHW458762 GYA458762 GOE458762 GEI458762 FUM458762 FKQ458762 FAU458762 EQY458762 EHC458762 DXG458762 DNK458762 DDO458762 CTS458762 CJW458762 CAA458762 BQE458762 BGI458762 AWM458762 AMQ458762 ACU458762 SY458762 JC458762 G458762 WVO393226 WLS393226 WBW393226 VSA393226 VIE393226 UYI393226 UOM393226 UEQ393226 TUU393226 TKY393226 TBC393226 SRG393226 SHK393226 RXO393226 RNS393226 RDW393226 QUA393226 QKE393226 QAI393226 PQM393226 PGQ393226 OWU393226 OMY393226 ODC393226 NTG393226 NJK393226 MZO393226 MPS393226 MFW393226 LWA393226 LME393226 LCI393226 KSM393226 KIQ393226 JYU393226 JOY393226 JFC393226 IVG393226 ILK393226 IBO393226 HRS393226 HHW393226 GYA393226 GOE393226 GEI393226 FUM393226 FKQ393226 FAU393226 EQY393226 EHC393226 DXG393226 DNK393226 DDO393226 CTS393226 CJW393226 CAA393226 BQE393226 BGI393226 AWM393226 AMQ393226 ACU393226 SY393226 JC393226 G393226 WVO327690 WLS327690 WBW327690 VSA327690 VIE327690 UYI327690 UOM327690 UEQ327690 TUU327690 TKY327690 TBC327690 SRG327690 SHK327690 RXO327690 RNS327690 RDW327690 QUA327690 QKE327690 QAI327690 PQM327690 PGQ327690 OWU327690 OMY327690 ODC327690 NTG327690 NJK327690 MZO327690 MPS327690 MFW327690 LWA327690 LME327690 LCI327690 KSM327690 KIQ327690 JYU327690 JOY327690 JFC327690 IVG327690 ILK327690 IBO327690 HRS327690 HHW327690 GYA327690 GOE327690 GEI327690 FUM327690 FKQ327690 FAU327690 EQY327690 EHC327690 DXG327690 DNK327690 DDO327690 CTS327690 CJW327690 CAA327690 BQE327690 BGI327690 AWM327690 AMQ327690 ACU327690 SY327690 JC327690 G327690 WVO262154 WLS262154 WBW262154 VSA262154 VIE262154 UYI262154 UOM262154 UEQ262154 TUU262154 TKY262154 TBC262154 SRG262154 SHK262154 RXO262154 RNS262154 RDW262154 QUA262154 QKE262154 QAI262154 PQM262154 PGQ262154 OWU262154 OMY262154 ODC262154 NTG262154 NJK262154 MZO262154 MPS262154 MFW262154 LWA262154 LME262154 LCI262154 KSM262154 KIQ262154 JYU262154 JOY262154 JFC262154 IVG262154 ILK262154 IBO262154 HRS262154 HHW262154 GYA262154 GOE262154 GEI262154 FUM262154 FKQ262154 FAU262154 EQY262154 EHC262154 DXG262154 DNK262154 DDO262154 CTS262154 CJW262154 CAA262154 BQE262154 BGI262154 AWM262154 AMQ262154 ACU262154 SY262154 JC262154 G262154 WVO196618 WLS196618 WBW196618 VSA196618 VIE196618 UYI196618 UOM196618 UEQ196618 TUU196618 TKY196618 TBC196618 SRG196618 SHK196618 RXO196618 RNS196618 RDW196618 QUA196618 QKE196618 QAI196618 PQM196618 PGQ196618 OWU196618 OMY196618 ODC196618 NTG196618 NJK196618 MZO196618 MPS196618 MFW196618 LWA196618 LME196618 LCI196618 KSM196618 KIQ196618 JYU196618 JOY196618 JFC196618 IVG196618 ILK196618 IBO196618 HRS196618 HHW196618 GYA196618 GOE196618 GEI196618 FUM196618 FKQ196618 FAU196618 EQY196618 EHC196618 DXG196618 DNK196618 DDO196618 CTS196618 CJW196618 CAA196618 BQE196618 BGI196618 AWM196618 AMQ196618 ACU196618 SY196618 JC196618 G196618 WVO131082 WLS131082 WBW131082 VSA131082 VIE131082 UYI131082 UOM131082 UEQ131082 TUU131082 TKY131082 TBC131082 SRG131082 SHK131082 RXO131082 RNS131082 RDW131082 QUA131082 QKE131082 QAI131082 PQM131082 PGQ131082 OWU131082 OMY131082 ODC131082 NTG131082 NJK131082 MZO131082 MPS131082 MFW131082 LWA131082 LME131082 LCI131082 KSM131082 KIQ131082 JYU131082 JOY131082 JFC131082 IVG131082 ILK131082 IBO131082 HRS131082 HHW131082 GYA131082 GOE131082 GEI131082 FUM131082 FKQ131082 FAU131082 EQY131082 EHC131082 DXG131082 DNK131082 DDO131082 CTS131082 CJW131082 CAA131082 BQE131082 BGI131082 AWM131082 AMQ131082 ACU131082 SY131082 JC131082 G131082 WVO65546 WLS65546 WBW65546 VSA65546 VIE65546 UYI65546 UOM65546 UEQ65546 TUU65546 TKY65546 TBC65546 SRG65546 SHK65546 RXO65546 RNS65546 RDW65546 QUA65546 QKE65546 QAI65546 PQM65546 PGQ65546 OWU65546 OMY65546 ODC65546 NTG65546 NJK65546 MZO65546 MPS65546 MFW65546 LWA65546 LME65546 LCI65546 KSM65546 KIQ65546 JYU65546 JOY65546 JFC65546 IVG65546 ILK65546 IBO65546 HRS65546 HHW65546 GYA65546 GOE65546 GEI65546 FUM65546 FKQ65546 FAU65546 EQY65546 EHC65546 DXG65546 DNK65546 DDO65546 CTS65546 CJW65546 CAA65546 BQE65546 BGI65546 AWM65546 AMQ65546 ACU65546 SY65546 JC65546 G65546 WVO10 WLS10 WBW10 VSA10 VIE10 UYI10 UOM10 UEQ10 TUU10 TKY10 TBC10 SRG10 SHK10 RXO10 RNS10 RDW10 QUA10 QKE10 QAI10 PQM10 PGQ10 OWU10 OMY10 ODC10 NTG10 NJK10 MZO10 MPS10 MFW10 LWA10 LME10 LCI10 KSM10 KIQ10 JYU10 JOY10 JFC10 IVG10 ILK10 IBO10 HRS10 HHW10 GYA10 GOE10 GEI10 FUM10 FKQ10 FAU10 EQY10 EHC10 DXG10 DNK10 DDO10 CTS10 CJW10 CAA10 BQE10 BGI10 AWM10 AMQ10 ACU10 SY10 JC10" xr:uid="{00000000-0002-0000-0200-000005000000}">
      <formula1>Tyre</formula1>
      <formula2>0</formula2>
    </dataValidation>
    <dataValidation type="list" allowBlank="1" showErrorMessage="1" sqref="WVJ983045 WLN983045 WBR983045 VRV983045 VHZ983045 UYD983045 UOH983045 UEL983045 TUP983045 TKT983045 TAX983045 SRB983045 SHF983045 RXJ983045 RNN983045 RDR983045 QTV983045 QJZ983045 QAD983045 PQH983045 PGL983045 OWP983045 OMT983045 OCX983045 NTB983045 NJF983045 MZJ983045 MPN983045 MFR983045 LVV983045 LLZ983045 LCD983045 KSH983045 KIL983045 JYP983045 JOT983045 JEX983045 IVB983045 ILF983045 IBJ983045 HRN983045 HHR983045 GXV983045 GNZ983045 GED983045 FUH983045 FKL983045 FAP983045 EQT983045 EGX983045 DXB983045 DNF983045 DDJ983045 CTN983045 CJR983045 BZV983045 BPZ983045 BGD983045 AWH983045 AML983045 ACP983045 ST983045 IX983045 B983045 WVJ917509 WLN917509 WBR917509 VRV917509 VHZ917509 UYD917509 UOH917509 UEL917509 TUP917509 TKT917509 TAX917509 SRB917509 SHF917509 RXJ917509 RNN917509 RDR917509 QTV917509 QJZ917509 QAD917509 PQH917509 PGL917509 OWP917509 OMT917509 OCX917509 NTB917509 NJF917509 MZJ917509 MPN917509 MFR917509 LVV917509 LLZ917509 LCD917509 KSH917509 KIL917509 JYP917509 JOT917509 JEX917509 IVB917509 ILF917509 IBJ917509 HRN917509 HHR917509 GXV917509 GNZ917509 GED917509 FUH917509 FKL917509 FAP917509 EQT917509 EGX917509 DXB917509 DNF917509 DDJ917509 CTN917509 CJR917509 BZV917509 BPZ917509 BGD917509 AWH917509 AML917509 ACP917509 ST917509 IX917509 B917509 WVJ851973 WLN851973 WBR851973 VRV851973 VHZ851973 UYD851973 UOH851973 UEL851973 TUP851973 TKT851973 TAX851973 SRB851973 SHF851973 RXJ851973 RNN851973 RDR851973 QTV851973 QJZ851973 QAD851973 PQH851973 PGL851973 OWP851973 OMT851973 OCX851973 NTB851973 NJF851973 MZJ851973 MPN851973 MFR851973 LVV851973 LLZ851973 LCD851973 KSH851973 KIL851973 JYP851973 JOT851973 JEX851973 IVB851973 ILF851973 IBJ851973 HRN851973 HHR851973 GXV851973 GNZ851973 GED851973 FUH851973 FKL851973 FAP851973 EQT851973 EGX851973 DXB851973 DNF851973 DDJ851973 CTN851973 CJR851973 BZV851973 BPZ851973 BGD851973 AWH851973 AML851973 ACP851973 ST851973 IX851973 B851973 WVJ786437 WLN786437 WBR786437 VRV786437 VHZ786437 UYD786437 UOH786437 UEL786437 TUP786437 TKT786437 TAX786437 SRB786437 SHF786437 RXJ786437 RNN786437 RDR786437 QTV786437 QJZ786437 QAD786437 PQH786437 PGL786437 OWP786437 OMT786437 OCX786437 NTB786437 NJF786437 MZJ786437 MPN786437 MFR786437 LVV786437 LLZ786437 LCD786437 KSH786437 KIL786437 JYP786437 JOT786437 JEX786437 IVB786437 ILF786437 IBJ786437 HRN786437 HHR786437 GXV786437 GNZ786437 GED786437 FUH786437 FKL786437 FAP786437 EQT786437 EGX786437 DXB786437 DNF786437 DDJ786437 CTN786437 CJR786437 BZV786437 BPZ786437 BGD786437 AWH786437 AML786437 ACP786437 ST786437 IX786437 B786437 WVJ720901 WLN720901 WBR720901 VRV720901 VHZ720901 UYD720901 UOH720901 UEL720901 TUP720901 TKT720901 TAX720901 SRB720901 SHF720901 RXJ720901 RNN720901 RDR720901 QTV720901 QJZ720901 QAD720901 PQH720901 PGL720901 OWP720901 OMT720901 OCX720901 NTB720901 NJF720901 MZJ720901 MPN720901 MFR720901 LVV720901 LLZ720901 LCD720901 KSH720901 KIL720901 JYP720901 JOT720901 JEX720901 IVB720901 ILF720901 IBJ720901 HRN720901 HHR720901 GXV720901 GNZ720901 GED720901 FUH720901 FKL720901 FAP720901 EQT720901 EGX720901 DXB720901 DNF720901 DDJ720901 CTN720901 CJR720901 BZV720901 BPZ720901 BGD720901 AWH720901 AML720901 ACP720901 ST720901 IX720901 B720901 WVJ655365 WLN655365 WBR655365 VRV655365 VHZ655365 UYD655365 UOH655365 UEL655365 TUP655365 TKT655365 TAX655365 SRB655365 SHF655365 RXJ655365 RNN655365 RDR655365 QTV655365 QJZ655365 QAD655365 PQH655365 PGL655365 OWP655365 OMT655365 OCX655365 NTB655365 NJF655365 MZJ655365 MPN655365 MFR655365 LVV655365 LLZ655365 LCD655365 KSH655365 KIL655365 JYP655365 JOT655365 JEX655365 IVB655365 ILF655365 IBJ655365 HRN655365 HHR655365 GXV655365 GNZ655365 GED655365 FUH655365 FKL655365 FAP655365 EQT655365 EGX655365 DXB655365 DNF655365 DDJ655365 CTN655365 CJR655365 BZV655365 BPZ655365 BGD655365 AWH655365 AML655365 ACP655365 ST655365 IX655365 B655365 WVJ589829 WLN589829 WBR589829 VRV589829 VHZ589829 UYD589829 UOH589829 UEL589829 TUP589829 TKT589829 TAX589829 SRB589829 SHF589829 RXJ589829 RNN589829 RDR589829 QTV589829 QJZ589829 QAD589829 PQH589829 PGL589829 OWP589829 OMT589829 OCX589829 NTB589829 NJF589829 MZJ589829 MPN589829 MFR589829 LVV589829 LLZ589829 LCD589829 KSH589829 KIL589829 JYP589829 JOT589829 JEX589829 IVB589829 ILF589829 IBJ589829 HRN589829 HHR589829 GXV589829 GNZ589829 GED589829 FUH589829 FKL589829 FAP589829 EQT589829 EGX589829 DXB589829 DNF589829 DDJ589829 CTN589829 CJR589829 BZV589829 BPZ589829 BGD589829 AWH589829 AML589829 ACP589829 ST589829 IX589829 B589829 WVJ524293 WLN524293 WBR524293 VRV524293 VHZ524293 UYD524293 UOH524293 UEL524293 TUP524293 TKT524293 TAX524293 SRB524293 SHF524293 RXJ524293 RNN524293 RDR524293 QTV524293 QJZ524293 QAD524293 PQH524293 PGL524293 OWP524293 OMT524293 OCX524293 NTB524293 NJF524293 MZJ524293 MPN524293 MFR524293 LVV524293 LLZ524293 LCD524293 KSH524293 KIL524293 JYP524293 JOT524293 JEX524293 IVB524293 ILF524293 IBJ524293 HRN524293 HHR524293 GXV524293 GNZ524293 GED524293 FUH524293 FKL524293 FAP524293 EQT524293 EGX524293 DXB524293 DNF524293 DDJ524293 CTN524293 CJR524293 BZV524293 BPZ524293 BGD524293 AWH524293 AML524293 ACP524293 ST524293 IX524293 B524293 WVJ458757 WLN458757 WBR458757 VRV458757 VHZ458757 UYD458757 UOH458757 UEL458757 TUP458757 TKT458757 TAX458757 SRB458757 SHF458757 RXJ458757 RNN458757 RDR458757 QTV458757 QJZ458757 QAD458757 PQH458757 PGL458757 OWP458757 OMT458757 OCX458757 NTB458757 NJF458757 MZJ458757 MPN458757 MFR458757 LVV458757 LLZ458757 LCD458757 KSH458757 KIL458757 JYP458757 JOT458757 JEX458757 IVB458757 ILF458757 IBJ458757 HRN458757 HHR458757 GXV458757 GNZ458757 GED458757 FUH458757 FKL458757 FAP458757 EQT458757 EGX458757 DXB458757 DNF458757 DDJ458757 CTN458757 CJR458757 BZV458757 BPZ458757 BGD458757 AWH458757 AML458757 ACP458757 ST458757 IX458757 B458757 WVJ393221 WLN393221 WBR393221 VRV393221 VHZ393221 UYD393221 UOH393221 UEL393221 TUP393221 TKT393221 TAX393221 SRB393221 SHF393221 RXJ393221 RNN393221 RDR393221 QTV393221 QJZ393221 QAD393221 PQH393221 PGL393221 OWP393221 OMT393221 OCX393221 NTB393221 NJF393221 MZJ393221 MPN393221 MFR393221 LVV393221 LLZ393221 LCD393221 KSH393221 KIL393221 JYP393221 JOT393221 JEX393221 IVB393221 ILF393221 IBJ393221 HRN393221 HHR393221 GXV393221 GNZ393221 GED393221 FUH393221 FKL393221 FAP393221 EQT393221 EGX393221 DXB393221 DNF393221 DDJ393221 CTN393221 CJR393221 BZV393221 BPZ393221 BGD393221 AWH393221 AML393221 ACP393221 ST393221 IX393221 B393221 WVJ327685 WLN327685 WBR327685 VRV327685 VHZ327685 UYD327685 UOH327685 UEL327685 TUP327685 TKT327685 TAX327685 SRB327685 SHF327685 RXJ327685 RNN327685 RDR327685 QTV327685 QJZ327685 QAD327685 PQH327685 PGL327685 OWP327685 OMT327685 OCX327685 NTB327685 NJF327685 MZJ327685 MPN327685 MFR327685 LVV327685 LLZ327685 LCD327685 KSH327685 KIL327685 JYP327685 JOT327685 JEX327685 IVB327685 ILF327685 IBJ327685 HRN327685 HHR327685 GXV327685 GNZ327685 GED327685 FUH327685 FKL327685 FAP327685 EQT327685 EGX327685 DXB327685 DNF327685 DDJ327685 CTN327685 CJR327685 BZV327685 BPZ327685 BGD327685 AWH327685 AML327685 ACP327685 ST327685 IX327685 B327685 WVJ262149 WLN262149 WBR262149 VRV262149 VHZ262149 UYD262149 UOH262149 UEL262149 TUP262149 TKT262149 TAX262149 SRB262149 SHF262149 RXJ262149 RNN262149 RDR262149 QTV262149 QJZ262149 QAD262149 PQH262149 PGL262149 OWP262149 OMT262149 OCX262149 NTB262149 NJF262149 MZJ262149 MPN262149 MFR262149 LVV262149 LLZ262149 LCD262149 KSH262149 KIL262149 JYP262149 JOT262149 JEX262149 IVB262149 ILF262149 IBJ262149 HRN262149 HHR262149 GXV262149 GNZ262149 GED262149 FUH262149 FKL262149 FAP262149 EQT262149 EGX262149 DXB262149 DNF262149 DDJ262149 CTN262149 CJR262149 BZV262149 BPZ262149 BGD262149 AWH262149 AML262149 ACP262149 ST262149 IX262149 B262149 WVJ196613 WLN196613 WBR196613 VRV196613 VHZ196613 UYD196613 UOH196613 UEL196613 TUP196613 TKT196613 TAX196613 SRB196613 SHF196613 RXJ196613 RNN196613 RDR196613 QTV196613 QJZ196613 QAD196613 PQH196613 PGL196613 OWP196613 OMT196613 OCX196613 NTB196613 NJF196613 MZJ196613 MPN196613 MFR196613 LVV196613 LLZ196613 LCD196613 KSH196613 KIL196613 JYP196613 JOT196613 JEX196613 IVB196613 ILF196613 IBJ196613 HRN196613 HHR196613 GXV196613 GNZ196613 GED196613 FUH196613 FKL196613 FAP196613 EQT196613 EGX196613 DXB196613 DNF196613 DDJ196613 CTN196613 CJR196613 BZV196613 BPZ196613 BGD196613 AWH196613 AML196613 ACP196613 ST196613 IX196613 B196613 WVJ131077 WLN131077 WBR131077 VRV131077 VHZ131077 UYD131077 UOH131077 UEL131077 TUP131077 TKT131077 TAX131077 SRB131077 SHF131077 RXJ131077 RNN131077 RDR131077 QTV131077 QJZ131077 QAD131077 PQH131077 PGL131077 OWP131077 OMT131077 OCX131077 NTB131077 NJF131077 MZJ131077 MPN131077 MFR131077 LVV131077 LLZ131077 LCD131077 KSH131077 KIL131077 JYP131077 JOT131077 JEX131077 IVB131077 ILF131077 IBJ131077 HRN131077 HHR131077 GXV131077 GNZ131077 GED131077 FUH131077 FKL131077 FAP131077 EQT131077 EGX131077 DXB131077 DNF131077 DDJ131077 CTN131077 CJR131077 BZV131077 BPZ131077 BGD131077 AWH131077 AML131077 ACP131077 ST131077 IX131077 B131077 WVJ65541 WLN65541 WBR65541 VRV65541 VHZ65541 UYD65541 UOH65541 UEL65541 TUP65541 TKT65541 TAX65541 SRB65541 SHF65541 RXJ65541 RNN65541 RDR65541 QTV65541 QJZ65541 QAD65541 PQH65541 PGL65541 OWP65541 OMT65541 OCX65541 NTB65541 NJF65541 MZJ65541 MPN65541 MFR65541 LVV65541 LLZ65541 LCD65541 KSH65541 KIL65541 JYP65541 JOT65541 JEX65541 IVB65541 ILF65541 IBJ65541 HRN65541 HHR65541 GXV65541 GNZ65541 GED65541 FUH65541 FKL65541 FAP65541 EQT65541 EGX65541 DXB65541 DNF65541 DDJ65541 CTN65541 CJR65541 BZV65541 BPZ65541 BGD65541 AWH65541 AML65541 ACP65541 ST65541 IX65541 B65541 WVJ5 WLN5 WBR5 VRV5 VHZ5 UYD5 UOH5 UEL5 TUP5 TKT5 TAX5 SRB5 SHF5 RXJ5 RNN5 RDR5 QTV5 QJZ5 QAD5 PQH5 PGL5 OWP5 OMT5 OCX5 NTB5 NJF5 MZJ5 MPN5 MFR5 LVV5 LLZ5 LCD5 KSH5 KIL5 JYP5 JOT5 JEX5 IVB5 ILF5 IBJ5 HRN5 HHR5 GXV5 GNZ5 GED5 FUH5 FKL5 FAP5 EQT5 EGX5 DXB5 DNF5 DDJ5 CTN5 CJR5 BZV5 BPZ5 BGD5 AWH5 AML5 ACP5 ST5 IX5" xr:uid="{00000000-0002-0000-0200-000006000000}">
      <formula1>Supplier</formula1>
      <formula2>0</formula2>
    </dataValidation>
    <dataValidation type="list" allowBlank="1" showErrorMessage="1" sqref="WVJ983042 WLN983042 WBR983042 VRV983042 VHZ983042 UYD983042 UOH983042 UEL983042 TUP983042 TKT983042 TAX983042 SRB983042 SHF983042 RXJ983042 RNN983042 RDR983042 QTV983042 QJZ983042 QAD983042 PQH983042 PGL983042 OWP983042 OMT983042 OCX983042 NTB983042 NJF983042 MZJ983042 MPN983042 MFR983042 LVV983042 LLZ983042 LCD983042 KSH983042 KIL983042 JYP983042 JOT983042 JEX983042 IVB983042 ILF983042 IBJ983042 HRN983042 HHR983042 GXV983042 GNZ983042 GED983042 FUH983042 FKL983042 FAP983042 EQT983042 EGX983042 DXB983042 DNF983042 DDJ983042 CTN983042 CJR983042 BZV983042 BPZ983042 BGD983042 AWH983042 AML983042 ACP983042 ST983042 IX983042 B983042 WVJ917506 WLN917506 WBR917506 VRV917506 VHZ917506 UYD917506 UOH917506 UEL917506 TUP917506 TKT917506 TAX917506 SRB917506 SHF917506 RXJ917506 RNN917506 RDR917506 QTV917506 QJZ917506 QAD917506 PQH917506 PGL917506 OWP917506 OMT917506 OCX917506 NTB917506 NJF917506 MZJ917506 MPN917506 MFR917506 LVV917506 LLZ917506 LCD917506 KSH917506 KIL917506 JYP917506 JOT917506 JEX917506 IVB917506 ILF917506 IBJ917506 HRN917506 HHR917506 GXV917506 GNZ917506 GED917506 FUH917506 FKL917506 FAP917506 EQT917506 EGX917506 DXB917506 DNF917506 DDJ917506 CTN917506 CJR917506 BZV917506 BPZ917506 BGD917506 AWH917506 AML917506 ACP917506 ST917506 IX917506 B917506 WVJ851970 WLN851970 WBR851970 VRV851970 VHZ851970 UYD851970 UOH851970 UEL851970 TUP851970 TKT851970 TAX851970 SRB851970 SHF851970 RXJ851970 RNN851970 RDR851970 QTV851970 QJZ851970 QAD851970 PQH851970 PGL851970 OWP851970 OMT851970 OCX851970 NTB851970 NJF851970 MZJ851970 MPN851970 MFR851970 LVV851970 LLZ851970 LCD851970 KSH851970 KIL851970 JYP851970 JOT851970 JEX851970 IVB851970 ILF851970 IBJ851970 HRN851970 HHR851970 GXV851970 GNZ851970 GED851970 FUH851970 FKL851970 FAP851970 EQT851970 EGX851970 DXB851970 DNF851970 DDJ851970 CTN851970 CJR851970 BZV851970 BPZ851970 BGD851970 AWH851970 AML851970 ACP851970 ST851970 IX851970 B851970 WVJ786434 WLN786434 WBR786434 VRV786434 VHZ786434 UYD786434 UOH786434 UEL786434 TUP786434 TKT786434 TAX786434 SRB786434 SHF786434 RXJ786434 RNN786434 RDR786434 QTV786434 QJZ786434 QAD786434 PQH786434 PGL786434 OWP786434 OMT786434 OCX786434 NTB786434 NJF786434 MZJ786434 MPN786434 MFR786434 LVV786434 LLZ786434 LCD786434 KSH786434 KIL786434 JYP786434 JOT786434 JEX786434 IVB786434 ILF786434 IBJ786434 HRN786434 HHR786434 GXV786434 GNZ786434 GED786434 FUH786434 FKL786434 FAP786434 EQT786434 EGX786434 DXB786434 DNF786434 DDJ786434 CTN786434 CJR786434 BZV786434 BPZ786434 BGD786434 AWH786434 AML786434 ACP786434 ST786434 IX786434 B786434 WVJ720898 WLN720898 WBR720898 VRV720898 VHZ720898 UYD720898 UOH720898 UEL720898 TUP720898 TKT720898 TAX720898 SRB720898 SHF720898 RXJ720898 RNN720898 RDR720898 QTV720898 QJZ720898 QAD720898 PQH720898 PGL720898 OWP720898 OMT720898 OCX720898 NTB720898 NJF720898 MZJ720898 MPN720898 MFR720898 LVV720898 LLZ720898 LCD720898 KSH720898 KIL720898 JYP720898 JOT720898 JEX720898 IVB720898 ILF720898 IBJ720898 HRN720898 HHR720898 GXV720898 GNZ720898 GED720898 FUH720898 FKL720898 FAP720898 EQT720898 EGX720898 DXB720898 DNF720898 DDJ720898 CTN720898 CJR720898 BZV720898 BPZ720898 BGD720898 AWH720898 AML720898 ACP720898 ST720898 IX720898 B720898 WVJ655362 WLN655362 WBR655362 VRV655362 VHZ655362 UYD655362 UOH655362 UEL655362 TUP655362 TKT655362 TAX655362 SRB655362 SHF655362 RXJ655362 RNN655362 RDR655362 QTV655362 QJZ655362 QAD655362 PQH655362 PGL655362 OWP655362 OMT655362 OCX655362 NTB655362 NJF655362 MZJ655362 MPN655362 MFR655362 LVV655362 LLZ655362 LCD655362 KSH655362 KIL655362 JYP655362 JOT655362 JEX655362 IVB655362 ILF655362 IBJ655362 HRN655362 HHR655362 GXV655362 GNZ655362 GED655362 FUH655362 FKL655362 FAP655362 EQT655362 EGX655362 DXB655362 DNF655362 DDJ655362 CTN655362 CJR655362 BZV655362 BPZ655362 BGD655362 AWH655362 AML655362 ACP655362 ST655362 IX655362 B655362 WVJ589826 WLN589826 WBR589826 VRV589826 VHZ589826 UYD589826 UOH589826 UEL589826 TUP589826 TKT589826 TAX589826 SRB589826 SHF589826 RXJ589826 RNN589826 RDR589826 QTV589826 QJZ589826 QAD589826 PQH589826 PGL589826 OWP589826 OMT589826 OCX589826 NTB589826 NJF589826 MZJ589826 MPN589826 MFR589826 LVV589826 LLZ589826 LCD589826 KSH589826 KIL589826 JYP589826 JOT589826 JEX589826 IVB589826 ILF589826 IBJ589826 HRN589826 HHR589826 GXV589826 GNZ589826 GED589826 FUH589826 FKL589826 FAP589826 EQT589826 EGX589826 DXB589826 DNF589826 DDJ589826 CTN589826 CJR589826 BZV589826 BPZ589826 BGD589826 AWH589826 AML589826 ACP589826 ST589826 IX589826 B589826 WVJ524290 WLN524290 WBR524290 VRV524290 VHZ524290 UYD524290 UOH524290 UEL524290 TUP524290 TKT524290 TAX524290 SRB524290 SHF524290 RXJ524290 RNN524290 RDR524290 QTV524290 QJZ524290 QAD524290 PQH524290 PGL524290 OWP524290 OMT524290 OCX524290 NTB524290 NJF524290 MZJ524290 MPN524290 MFR524290 LVV524290 LLZ524290 LCD524290 KSH524290 KIL524290 JYP524290 JOT524290 JEX524290 IVB524290 ILF524290 IBJ524290 HRN524290 HHR524290 GXV524290 GNZ524290 GED524290 FUH524290 FKL524290 FAP524290 EQT524290 EGX524290 DXB524290 DNF524290 DDJ524290 CTN524290 CJR524290 BZV524290 BPZ524290 BGD524290 AWH524290 AML524290 ACP524290 ST524290 IX524290 B524290 WVJ458754 WLN458754 WBR458754 VRV458754 VHZ458754 UYD458754 UOH458754 UEL458754 TUP458754 TKT458754 TAX458754 SRB458754 SHF458754 RXJ458754 RNN458754 RDR458754 QTV458754 QJZ458754 QAD458754 PQH458754 PGL458754 OWP458754 OMT458754 OCX458754 NTB458754 NJF458754 MZJ458754 MPN458754 MFR458754 LVV458754 LLZ458754 LCD458754 KSH458754 KIL458754 JYP458754 JOT458754 JEX458754 IVB458754 ILF458754 IBJ458754 HRN458754 HHR458754 GXV458754 GNZ458754 GED458754 FUH458754 FKL458754 FAP458754 EQT458754 EGX458754 DXB458754 DNF458754 DDJ458754 CTN458754 CJR458754 BZV458754 BPZ458754 BGD458754 AWH458754 AML458754 ACP458754 ST458754 IX458754 B458754 WVJ393218 WLN393218 WBR393218 VRV393218 VHZ393218 UYD393218 UOH393218 UEL393218 TUP393218 TKT393218 TAX393218 SRB393218 SHF393218 RXJ393218 RNN393218 RDR393218 QTV393218 QJZ393218 QAD393218 PQH393218 PGL393218 OWP393218 OMT393218 OCX393218 NTB393218 NJF393218 MZJ393218 MPN393218 MFR393218 LVV393218 LLZ393218 LCD393218 KSH393218 KIL393218 JYP393218 JOT393218 JEX393218 IVB393218 ILF393218 IBJ393218 HRN393218 HHR393218 GXV393218 GNZ393218 GED393218 FUH393218 FKL393218 FAP393218 EQT393218 EGX393218 DXB393218 DNF393218 DDJ393218 CTN393218 CJR393218 BZV393218 BPZ393218 BGD393218 AWH393218 AML393218 ACP393218 ST393218 IX393218 B393218 WVJ327682 WLN327682 WBR327682 VRV327682 VHZ327682 UYD327682 UOH327682 UEL327682 TUP327682 TKT327682 TAX327682 SRB327682 SHF327682 RXJ327682 RNN327682 RDR327682 QTV327682 QJZ327682 QAD327682 PQH327682 PGL327682 OWP327682 OMT327682 OCX327682 NTB327682 NJF327682 MZJ327682 MPN327682 MFR327682 LVV327682 LLZ327682 LCD327682 KSH327682 KIL327682 JYP327682 JOT327682 JEX327682 IVB327682 ILF327682 IBJ327682 HRN327682 HHR327682 GXV327682 GNZ327682 GED327682 FUH327682 FKL327682 FAP327682 EQT327682 EGX327682 DXB327682 DNF327682 DDJ327682 CTN327682 CJR327682 BZV327682 BPZ327682 BGD327682 AWH327682 AML327682 ACP327682 ST327682 IX327682 B327682 WVJ262146 WLN262146 WBR262146 VRV262146 VHZ262146 UYD262146 UOH262146 UEL262146 TUP262146 TKT262146 TAX262146 SRB262146 SHF262146 RXJ262146 RNN262146 RDR262146 QTV262146 QJZ262146 QAD262146 PQH262146 PGL262146 OWP262146 OMT262146 OCX262146 NTB262146 NJF262146 MZJ262146 MPN262146 MFR262146 LVV262146 LLZ262146 LCD262146 KSH262146 KIL262146 JYP262146 JOT262146 JEX262146 IVB262146 ILF262146 IBJ262146 HRN262146 HHR262146 GXV262146 GNZ262146 GED262146 FUH262146 FKL262146 FAP262146 EQT262146 EGX262146 DXB262146 DNF262146 DDJ262146 CTN262146 CJR262146 BZV262146 BPZ262146 BGD262146 AWH262146 AML262146 ACP262146 ST262146 IX262146 B262146 WVJ196610 WLN196610 WBR196610 VRV196610 VHZ196610 UYD196610 UOH196610 UEL196610 TUP196610 TKT196610 TAX196610 SRB196610 SHF196610 RXJ196610 RNN196610 RDR196610 QTV196610 QJZ196610 QAD196610 PQH196610 PGL196610 OWP196610 OMT196610 OCX196610 NTB196610 NJF196610 MZJ196610 MPN196610 MFR196610 LVV196610 LLZ196610 LCD196610 KSH196610 KIL196610 JYP196610 JOT196610 JEX196610 IVB196610 ILF196610 IBJ196610 HRN196610 HHR196610 GXV196610 GNZ196610 GED196610 FUH196610 FKL196610 FAP196610 EQT196610 EGX196610 DXB196610 DNF196610 DDJ196610 CTN196610 CJR196610 BZV196610 BPZ196610 BGD196610 AWH196610 AML196610 ACP196610 ST196610 IX196610 B196610 WVJ131074 WLN131074 WBR131074 VRV131074 VHZ131074 UYD131074 UOH131074 UEL131074 TUP131074 TKT131074 TAX131074 SRB131074 SHF131074 RXJ131074 RNN131074 RDR131074 QTV131074 QJZ131074 QAD131074 PQH131074 PGL131074 OWP131074 OMT131074 OCX131074 NTB131074 NJF131074 MZJ131074 MPN131074 MFR131074 LVV131074 LLZ131074 LCD131074 KSH131074 KIL131074 JYP131074 JOT131074 JEX131074 IVB131074 ILF131074 IBJ131074 HRN131074 HHR131074 GXV131074 GNZ131074 GED131074 FUH131074 FKL131074 FAP131074 EQT131074 EGX131074 DXB131074 DNF131074 DDJ131074 CTN131074 CJR131074 BZV131074 BPZ131074 BGD131074 AWH131074 AML131074 ACP131074 ST131074 IX131074 B131074 WVJ65538 WLN65538 WBR65538 VRV65538 VHZ65538 UYD65538 UOH65538 UEL65538 TUP65538 TKT65538 TAX65538 SRB65538 SHF65538 RXJ65538 RNN65538 RDR65538 QTV65538 QJZ65538 QAD65538 PQH65538 PGL65538 OWP65538 OMT65538 OCX65538 NTB65538 NJF65538 MZJ65538 MPN65538 MFR65538 LVV65538 LLZ65538 LCD65538 KSH65538 KIL65538 JYP65538 JOT65538 JEX65538 IVB65538 ILF65538 IBJ65538 HRN65538 HHR65538 GXV65538 GNZ65538 GED65538 FUH65538 FKL65538 FAP65538 EQT65538 EGX65538 DXB65538 DNF65538 DDJ65538 CTN65538 CJR65538 BZV65538 BPZ65538 BGD65538 AWH65538 AML65538 ACP65538 ST65538 IX65538 B65538 WVJ2 WLN2 WBR2 VRV2 VHZ2 UYD2 UOH2 UEL2 TUP2 TKT2 TAX2 SRB2 SHF2 RXJ2 RNN2 RDR2 QTV2 QJZ2 QAD2 PQH2 PGL2 OWP2 OMT2 OCX2 NTB2 NJF2 MZJ2 MPN2 MFR2 LVV2 LLZ2 LCD2 KSH2 KIL2 JYP2 JOT2 JEX2 IVB2 ILF2 IBJ2 HRN2 HHR2 GXV2 GNZ2 GED2 FUH2 FKL2 FAP2 EQT2 EGX2 DXB2 DNF2 DDJ2 CTN2 CJR2 BZV2 BPZ2 BGD2 AWH2 AML2 ACP2 ST2 IX2" xr:uid="{00000000-0002-0000-0200-000007000000}">
      <formula1>Weather</formula1>
      <formula2>0</formula2>
    </dataValidation>
    <dataValidation type="list" allowBlank="1" showErrorMessage="1" sqref="WVJ983041 WLN983041 WBR983041 VRV983041 VHZ983041 UYD983041 UOH983041 UEL983041 TUP983041 TKT983041 TAX983041 SRB983041 SHF983041 RXJ983041 RNN983041 RDR983041 QTV983041 QJZ983041 QAD983041 PQH983041 PGL983041 OWP983041 OMT983041 OCX983041 NTB983041 NJF983041 MZJ983041 MPN983041 MFR983041 LVV983041 LLZ983041 LCD983041 KSH983041 KIL983041 JYP983041 JOT983041 JEX983041 IVB983041 ILF983041 IBJ983041 HRN983041 HHR983041 GXV983041 GNZ983041 GED983041 FUH983041 FKL983041 FAP983041 EQT983041 EGX983041 DXB983041 DNF983041 DDJ983041 CTN983041 CJR983041 BZV983041 BPZ983041 BGD983041 AWH983041 AML983041 ACP983041 ST983041 IX983041 B983041 WVJ917505 WLN917505 WBR917505 VRV917505 VHZ917505 UYD917505 UOH917505 UEL917505 TUP917505 TKT917505 TAX917505 SRB917505 SHF917505 RXJ917505 RNN917505 RDR917505 QTV917505 QJZ917505 QAD917505 PQH917505 PGL917505 OWP917505 OMT917505 OCX917505 NTB917505 NJF917505 MZJ917505 MPN917505 MFR917505 LVV917505 LLZ917505 LCD917505 KSH917505 KIL917505 JYP917505 JOT917505 JEX917505 IVB917505 ILF917505 IBJ917505 HRN917505 HHR917505 GXV917505 GNZ917505 GED917505 FUH917505 FKL917505 FAP917505 EQT917505 EGX917505 DXB917505 DNF917505 DDJ917505 CTN917505 CJR917505 BZV917505 BPZ917505 BGD917505 AWH917505 AML917505 ACP917505 ST917505 IX917505 B917505 WVJ851969 WLN851969 WBR851969 VRV851969 VHZ851969 UYD851969 UOH851969 UEL851969 TUP851969 TKT851969 TAX851969 SRB851969 SHF851969 RXJ851969 RNN851969 RDR851969 QTV851969 QJZ851969 QAD851969 PQH851969 PGL851969 OWP851969 OMT851969 OCX851969 NTB851969 NJF851969 MZJ851969 MPN851969 MFR851969 LVV851969 LLZ851969 LCD851969 KSH851969 KIL851969 JYP851969 JOT851969 JEX851969 IVB851969 ILF851969 IBJ851969 HRN851969 HHR851969 GXV851969 GNZ851969 GED851969 FUH851969 FKL851969 FAP851969 EQT851969 EGX851969 DXB851969 DNF851969 DDJ851969 CTN851969 CJR851969 BZV851969 BPZ851969 BGD851969 AWH851969 AML851969 ACP851969 ST851969 IX851969 B851969 WVJ786433 WLN786433 WBR786433 VRV786433 VHZ786433 UYD786433 UOH786433 UEL786433 TUP786433 TKT786433 TAX786433 SRB786433 SHF786433 RXJ786433 RNN786433 RDR786433 QTV786433 QJZ786433 QAD786433 PQH786433 PGL786433 OWP786433 OMT786433 OCX786433 NTB786433 NJF786433 MZJ786433 MPN786433 MFR786433 LVV786433 LLZ786433 LCD786433 KSH786433 KIL786433 JYP786433 JOT786433 JEX786433 IVB786433 ILF786433 IBJ786433 HRN786433 HHR786433 GXV786433 GNZ786433 GED786433 FUH786433 FKL786433 FAP786433 EQT786433 EGX786433 DXB786433 DNF786433 DDJ786433 CTN786433 CJR786433 BZV786433 BPZ786433 BGD786433 AWH786433 AML786433 ACP786433 ST786433 IX786433 B786433 WVJ720897 WLN720897 WBR720897 VRV720897 VHZ720897 UYD720897 UOH720897 UEL720897 TUP720897 TKT720897 TAX720897 SRB720897 SHF720897 RXJ720897 RNN720897 RDR720897 QTV720897 QJZ720897 QAD720897 PQH720897 PGL720897 OWP720897 OMT720897 OCX720897 NTB720897 NJF720897 MZJ720897 MPN720897 MFR720897 LVV720897 LLZ720897 LCD720897 KSH720897 KIL720897 JYP720897 JOT720897 JEX720897 IVB720897 ILF720897 IBJ720897 HRN720897 HHR720897 GXV720897 GNZ720897 GED720897 FUH720897 FKL720897 FAP720897 EQT720897 EGX720897 DXB720897 DNF720897 DDJ720897 CTN720897 CJR720897 BZV720897 BPZ720897 BGD720897 AWH720897 AML720897 ACP720897 ST720897 IX720897 B720897 WVJ655361 WLN655361 WBR655361 VRV655361 VHZ655361 UYD655361 UOH655361 UEL655361 TUP655361 TKT655361 TAX655361 SRB655361 SHF655361 RXJ655361 RNN655361 RDR655361 QTV655361 QJZ655361 QAD655361 PQH655361 PGL655361 OWP655361 OMT655361 OCX655361 NTB655361 NJF655361 MZJ655361 MPN655361 MFR655361 LVV655361 LLZ655361 LCD655361 KSH655361 KIL655361 JYP655361 JOT655361 JEX655361 IVB655361 ILF655361 IBJ655361 HRN655361 HHR655361 GXV655361 GNZ655361 GED655361 FUH655361 FKL655361 FAP655361 EQT655361 EGX655361 DXB655361 DNF655361 DDJ655361 CTN655361 CJR655361 BZV655361 BPZ655361 BGD655361 AWH655361 AML655361 ACP655361 ST655361 IX655361 B655361 WVJ589825 WLN589825 WBR589825 VRV589825 VHZ589825 UYD589825 UOH589825 UEL589825 TUP589825 TKT589825 TAX589825 SRB589825 SHF589825 RXJ589825 RNN589825 RDR589825 QTV589825 QJZ589825 QAD589825 PQH589825 PGL589825 OWP589825 OMT589825 OCX589825 NTB589825 NJF589825 MZJ589825 MPN589825 MFR589825 LVV589825 LLZ589825 LCD589825 KSH589825 KIL589825 JYP589825 JOT589825 JEX589825 IVB589825 ILF589825 IBJ589825 HRN589825 HHR589825 GXV589825 GNZ589825 GED589825 FUH589825 FKL589825 FAP589825 EQT589825 EGX589825 DXB589825 DNF589825 DDJ589825 CTN589825 CJR589825 BZV589825 BPZ589825 BGD589825 AWH589825 AML589825 ACP589825 ST589825 IX589825 B589825 WVJ524289 WLN524289 WBR524289 VRV524289 VHZ524289 UYD524289 UOH524289 UEL524289 TUP524289 TKT524289 TAX524289 SRB524289 SHF524289 RXJ524289 RNN524289 RDR524289 QTV524289 QJZ524289 QAD524289 PQH524289 PGL524289 OWP524289 OMT524289 OCX524289 NTB524289 NJF524289 MZJ524289 MPN524289 MFR524289 LVV524289 LLZ524289 LCD524289 KSH524289 KIL524289 JYP524289 JOT524289 JEX524289 IVB524289 ILF524289 IBJ524289 HRN524289 HHR524289 GXV524289 GNZ524289 GED524289 FUH524289 FKL524289 FAP524289 EQT524289 EGX524289 DXB524289 DNF524289 DDJ524289 CTN524289 CJR524289 BZV524289 BPZ524289 BGD524289 AWH524289 AML524289 ACP524289 ST524289 IX524289 B524289 WVJ458753 WLN458753 WBR458753 VRV458753 VHZ458753 UYD458753 UOH458753 UEL458753 TUP458753 TKT458753 TAX458753 SRB458753 SHF458753 RXJ458753 RNN458753 RDR458753 QTV458753 QJZ458753 QAD458753 PQH458753 PGL458753 OWP458753 OMT458753 OCX458753 NTB458753 NJF458753 MZJ458753 MPN458753 MFR458753 LVV458753 LLZ458753 LCD458753 KSH458753 KIL458753 JYP458753 JOT458753 JEX458753 IVB458753 ILF458753 IBJ458753 HRN458753 HHR458753 GXV458753 GNZ458753 GED458753 FUH458753 FKL458753 FAP458753 EQT458753 EGX458753 DXB458753 DNF458753 DDJ458753 CTN458753 CJR458753 BZV458753 BPZ458753 BGD458753 AWH458753 AML458753 ACP458753 ST458753 IX458753 B458753 WVJ393217 WLN393217 WBR393217 VRV393217 VHZ393217 UYD393217 UOH393217 UEL393217 TUP393217 TKT393217 TAX393217 SRB393217 SHF393217 RXJ393217 RNN393217 RDR393217 QTV393217 QJZ393217 QAD393217 PQH393217 PGL393217 OWP393217 OMT393217 OCX393217 NTB393217 NJF393217 MZJ393217 MPN393217 MFR393217 LVV393217 LLZ393217 LCD393217 KSH393217 KIL393217 JYP393217 JOT393217 JEX393217 IVB393217 ILF393217 IBJ393217 HRN393217 HHR393217 GXV393217 GNZ393217 GED393217 FUH393217 FKL393217 FAP393217 EQT393217 EGX393217 DXB393217 DNF393217 DDJ393217 CTN393217 CJR393217 BZV393217 BPZ393217 BGD393217 AWH393217 AML393217 ACP393217 ST393217 IX393217 B393217 WVJ327681 WLN327681 WBR327681 VRV327681 VHZ327681 UYD327681 UOH327681 UEL327681 TUP327681 TKT327681 TAX327681 SRB327681 SHF327681 RXJ327681 RNN327681 RDR327681 QTV327681 QJZ327681 QAD327681 PQH327681 PGL327681 OWP327681 OMT327681 OCX327681 NTB327681 NJF327681 MZJ327681 MPN327681 MFR327681 LVV327681 LLZ327681 LCD327681 KSH327681 KIL327681 JYP327681 JOT327681 JEX327681 IVB327681 ILF327681 IBJ327681 HRN327681 HHR327681 GXV327681 GNZ327681 GED327681 FUH327681 FKL327681 FAP327681 EQT327681 EGX327681 DXB327681 DNF327681 DDJ327681 CTN327681 CJR327681 BZV327681 BPZ327681 BGD327681 AWH327681 AML327681 ACP327681 ST327681 IX327681 B327681 WVJ262145 WLN262145 WBR262145 VRV262145 VHZ262145 UYD262145 UOH262145 UEL262145 TUP262145 TKT262145 TAX262145 SRB262145 SHF262145 RXJ262145 RNN262145 RDR262145 QTV262145 QJZ262145 QAD262145 PQH262145 PGL262145 OWP262145 OMT262145 OCX262145 NTB262145 NJF262145 MZJ262145 MPN262145 MFR262145 LVV262145 LLZ262145 LCD262145 KSH262145 KIL262145 JYP262145 JOT262145 JEX262145 IVB262145 ILF262145 IBJ262145 HRN262145 HHR262145 GXV262145 GNZ262145 GED262145 FUH262145 FKL262145 FAP262145 EQT262145 EGX262145 DXB262145 DNF262145 DDJ262145 CTN262145 CJR262145 BZV262145 BPZ262145 BGD262145 AWH262145 AML262145 ACP262145 ST262145 IX262145 B262145 WVJ196609 WLN196609 WBR196609 VRV196609 VHZ196609 UYD196609 UOH196609 UEL196609 TUP196609 TKT196609 TAX196609 SRB196609 SHF196609 RXJ196609 RNN196609 RDR196609 QTV196609 QJZ196609 QAD196609 PQH196609 PGL196609 OWP196609 OMT196609 OCX196609 NTB196609 NJF196609 MZJ196609 MPN196609 MFR196609 LVV196609 LLZ196609 LCD196609 KSH196609 KIL196609 JYP196609 JOT196609 JEX196609 IVB196609 ILF196609 IBJ196609 HRN196609 HHR196609 GXV196609 GNZ196609 GED196609 FUH196609 FKL196609 FAP196609 EQT196609 EGX196609 DXB196609 DNF196609 DDJ196609 CTN196609 CJR196609 BZV196609 BPZ196609 BGD196609 AWH196609 AML196609 ACP196609 ST196609 IX196609 B196609 WVJ131073 WLN131073 WBR131073 VRV131073 VHZ131073 UYD131073 UOH131073 UEL131073 TUP131073 TKT131073 TAX131073 SRB131073 SHF131073 RXJ131073 RNN131073 RDR131073 QTV131073 QJZ131073 QAD131073 PQH131073 PGL131073 OWP131073 OMT131073 OCX131073 NTB131073 NJF131073 MZJ131073 MPN131073 MFR131073 LVV131073 LLZ131073 LCD131073 KSH131073 KIL131073 JYP131073 JOT131073 JEX131073 IVB131073 ILF131073 IBJ131073 HRN131073 HHR131073 GXV131073 GNZ131073 GED131073 FUH131073 FKL131073 FAP131073 EQT131073 EGX131073 DXB131073 DNF131073 DDJ131073 CTN131073 CJR131073 BZV131073 BPZ131073 BGD131073 AWH131073 AML131073 ACP131073 ST131073 IX131073 B131073 WVJ65537 WLN65537 WBR65537 VRV65537 VHZ65537 UYD65537 UOH65537 UEL65537 TUP65537 TKT65537 TAX65537 SRB65537 SHF65537 RXJ65537 RNN65537 RDR65537 QTV65537 QJZ65537 QAD65537 PQH65537 PGL65537 OWP65537 OMT65537 OCX65537 NTB65537 NJF65537 MZJ65537 MPN65537 MFR65537 LVV65537 LLZ65537 LCD65537 KSH65537 KIL65537 JYP65537 JOT65537 JEX65537 IVB65537 ILF65537 IBJ65537 HRN65537 HHR65537 GXV65537 GNZ65537 GED65537 FUH65537 FKL65537 FAP65537 EQT65537 EGX65537 DXB65537 DNF65537 DDJ65537 CTN65537 CJR65537 BZV65537 BPZ65537 BGD65537 AWH65537 AML65537 ACP65537 ST65537 IX65537 B65537 WVJ1 WLN1 WBR1 VRV1 VHZ1 UYD1 UOH1 UEL1 TUP1 TKT1 TAX1 SRB1 SHF1 RXJ1 RNN1 RDR1 QTV1 QJZ1 QAD1 PQH1 PGL1 OWP1 OMT1 OCX1 NTB1 NJF1 MZJ1 MPN1 MFR1 LVV1 LLZ1 LCD1 KSH1 KIL1 JYP1 JOT1 JEX1 IVB1 ILF1 IBJ1 HRN1 HHR1 GXV1 GNZ1 GED1 FUH1 FKL1 FAP1 EQT1 EGX1 DXB1 DNF1 DDJ1 CTN1 CJR1 BZV1 BPZ1 BGD1 AWH1 AML1 ACP1 ST1 IX1" xr:uid="{00000000-0002-0000-0200-000008000000}">
      <formula1>TrackName</formula1>
      <formula2>0</formula2>
    </dataValidation>
    <dataValidation type="list" operator="equal" allowBlank="1" sqref="WVJ983051:WVJ983052 WLN983051:WLN983052 WBR983051:WBR983052 VRV983051:VRV983052 VHZ983051:VHZ983052 UYD983051:UYD983052 UOH983051:UOH983052 UEL983051:UEL983052 TUP983051:TUP983052 TKT983051:TKT983052 TAX983051:TAX983052 SRB983051:SRB983052 SHF983051:SHF983052 RXJ983051:RXJ983052 RNN983051:RNN983052 RDR983051:RDR983052 QTV983051:QTV983052 QJZ983051:QJZ983052 QAD983051:QAD983052 PQH983051:PQH983052 PGL983051:PGL983052 OWP983051:OWP983052 OMT983051:OMT983052 OCX983051:OCX983052 NTB983051:NTB983052 NJF983051:NJF983052 MZJ983051:MZJ983052 MPN983051:MPN983052 MFR983051:MFR983052 LVV983051:LVV983052 LLZ983051:LLZ983052 LCD983051:LCD983052 KSH983051:KSH983052 KIL983051:KIL983052 JYP983051:JYP983052 JOT983051:JOT983052 JEX983051:JEX983052 IVB983051:IVB983052 ILF983051:ILF983052 IBJ983051:IBJ983052 HRN983051:HRN983052 HHR983051:HHR983052 GXV983051:GXV983052 GNZ983051:GNZ983052 GED983051:GED983052 FUH983051:FUH983052 FKL983051:FKL983052 FAP983051:FAP983052 EQT983051:EQT983052 EGX983051:EGX983052 DXB983051:DXB983052 DNF983051:DNF983052 DDJ983051:DDJ983052 CTN983051:CTN983052 CJR983051:CJR983052 BZV983051:BZV983052 BPZ983051:BPZ983052 BGD983051:BGD983052 AWH983051:AWH983052 AML983051:AML983052 ACP983051:ACP983052 ST983051:ST983052 IX983051:IX983052 B983051:B983052 WVJ917515:WVJ917516 WLN917515:WLN917516 WBR917515:WBR917516 VRV917515:VRV917516 VHZ917515:VHZ917516 UYD917515:UYD917516 UOH917515:UOH917516 UEL917515:UEL917516 TUP917515:TUP917516 TKT917515:TKT917516 TAX917515:TAX917516 SRB917515:SRB917516 SHF917515:SHF917516 RXJ917515:RXJ917516 RNN917515:RNN917516 RDR917515:RDR917516 QTV917515:QTV917516 QJZ917515:QJZ917516 QAD917515:QAD917516 PQH917515:PQH917516 PGL917515:PGL917516 OWP917515:OWP917516 OMT917515:OMT917516 OCX917515:OCX917516 NTB917515:NTB917516 NJF917515:NJF917516 MZJ917515:MZJ917516 MPN917515:MPN917516 MFR917515:MFR917516 LVV917515:LVV917516 LLZ917515:LLZ917516 LCD917515:LCD917516 KSH917515:KSH917516 KIL917515:KIL917516 JYP917515:JYP917516 JOT917515:JOT917516 JEX917515:JEX917516 IVB917515:IVB917516 ILF917515:ILF917516 IBJ917515:IBJ917516 HRN917515:HRN917516 HHR917515:HHR917516 GXV917515:GXV917516 GNZ917515:GNZ917516 GED917515:GED917516 FUH917515:FUH917516 FKL917515:FKL917516 FAP917515:FAP917516 EQT917515:EQT917516 EGX917515:EGX917516 DXB917515:DXB917516 DNF917515:DNF917516 DDJ917515:DDJ917516 CTN917515:CTN917516 CJR917515:CJR917516 BZV917515:BZV917516 BPZ917515:BPZ917516 BGD917515:BGD917516 AWH917515:AWH917516 AML917515:AML917516 ACP917515:ACP917516 ST917515:ST917516 IX917515:IX917516 B917515:B917516 WVJ851979:WVJ851980 WLN851979:WLN851980 WBR851979:WBR851980 VRV851979:VRV851980 VHZ851979:VHZ851980 UYD851979:UYD851980 UOH851979:UOH851980 UEL851979:UEL851980 TUP851979:TUP851980 TKT851979:TKT851980 TAX851979:TAX851980 SRB851979:SRB851980 SHF851979:SHF851980 RXJ851979:RXJ851980 RNN851979:RNN851980 RDR851979:RDR851980 QTV851979:QTV851980 QJZ851979:QJZ851980 QAD851979:QAD851980 PQH851979:PQH851980 PGL851979:PGL851980 OWP851979:OWP851980 OMT851979:OMT851980 OCX851979:OCX851980 NTB851979:NTB851980 NJF851979:NJF851980 MZJ851979:MZJ851980 MPN851979:MPN851980 MFR851979:MFR851980 LVV851979:LVV851980 LLZ851979:LLZ851980 LCD851979:LCD851980 KSH851979:KSH851980 KIL851979:KIL851980 JYP851979:JYP851980 JOT851979:JOT851980 JEX851979:JEX851980 IVB851979:IVB851980 ILF851979:ILF851980 IBJ851979:IBJ851980 HRN851979:HRN851980 HHR851979:HHR851980 GXV851979:GXV851980 GNZ851979:GNZ851980 GED851979:GED851980 FUH851979:FUH851980 FKL851979:FKL851980 FAP851979:FAP851980 EQT851979:EQT851980 EGX851979:EGX851980 DXB851979:DXB851980 DNF851979:DNF851980 DDJ851979:DDJ851980 CTN851979:CTN851980 CJR851979:CJR851980 BZV851979:BZV851980 BPZ851979:BPZ851980 BGD851979:BGD851980 AWH851979:AWH851980 AML851979:AML851980 ACP851979:ACP851980 ST851979:ST851980 IX851979:IX851980 B851979:B851980 WVJ786443:WVJ786444 WLN786443:WLN786444 WBR786443:WBR786444 VRV786443:VRV786444 VHZ786443:VHZ786444 UYD786443:UYD786444 UOH786443:UOH786444 UEL786443:UEL786444 TUP786443:TUP786444 TKT786443:TKT786444 TAX786443:TAX786444 SRB786443:SRB786444 SHF786443:SHF786444 RXJ786443:RXJ786444 RNN786443:RNN786444 RDR786443:RDR786444 QTV786443:QTV786444 QJZ786443:QJZ786444 QAD786443:QAD786444 PQH786443:PQH786444 PGL786443:PGL786444 OWP786443:OWP786444 OMT786443:OMT786444 OCX786443:OCX786444 NTB786443:NTB786444 NJF786443:NJF786444 MZJ786443:MZJ786444 MPN786443:MPN786444 MFR786443:MFR786444 LVV786443:LVV786444 LLZ786443:LLZ786444 LCD786443:LCD786444 KSH786443:KSH786444 KIL786443:KIL786444 JYP786443:JYP786444 JOT786443:JOT786444 JEX786443:JEX786444 IVB786443:IVB786444 ILF786443:ILF786444 IBJ786443:IBJ786444 HRN786443:HRN786444 HHR786443:HHR786444 GXV786443:GXV786444 GNZ786443:GNZ786444 GED786443:GED786444 FUH786443:FUH786444 FKL786443:FKL786444 FAP786443:FAP786444 EQT786443:EQT786444 EGX786443:EGX786444 DXB786443:DXB786444 DNF786443:DNF786444 DDJ786443:DDJ786444 CTN786443:CTN786444 CJR786443:CJR786444 BZV786443:BZV786444 BPZ786443:BPZ786444 BGD786443:BGD786444 AWH786443:AWH786444 AML786443:AML786444 ACP786443:ACP786444 ST786443:ST786444 IX786443:IX786444 B786443:B786444 WVJ720907:WVJ720908 WLN720907:WLN720908 WBR720907:WBR720908 VRV720907:VRV720908 VHZ720907:VHZ720908 UYD720907:UYD720908 UOH720907:UOH720908 UEL720907:UEL720908 TUP720907:TUP720908 TKT720907:TKT720908 TAX720907:TAX720908 SRB720907:SRB720908 SHF720907:SHF720908 RXJ720907:RXJ720908 RNN720907:RNN720908 RDR720907:RDR720908 QTV720907:QTV720908 QJZ720907:QJZ720908 QAD720907:QAD720908 PQH720907:PQH720908 PGL720907:PGL720908 OWP720907:OWP720908 OMT720907:OMT720908 OCX720907:OCX720908 NTB720907:NTB720908 NJF720907:NJF720908 MZJ720907:MZJ720908 MPN720907:MPN720908 MFR720907:MFR720908 LVV720907:LVV720908 LLZ720907:LLZ720908 LCD720907:LCD720908 KSH720907:KSH720908 KIL720907:KIL720908 JYP720907:JYP720908 JOT720907:JOT720908 JEX720907:JEX720908 IVB720907:IVB720908 ILF720907:ILF720908 IBJ720907:IBJ720908 HRN720907:HRN720908 HHR720907:HHR720908 GXV720907:GXV720908 GNZ720907:GNZ720908 GED720907:GED720908 FUH720907:FUH720908 FKL720907:FKL720908 FAP720907:FAP720908 EQT720907:EQT720908 EGX720907:EGX720908 DXB720907:DXB720908 DNF720907:DNF720908 DDJ720907:DDJ720908 CTN720907:CTN720908 CJR720907:CJR720908 BZV720907:BZV720908 BPZ720907:BPZ720908 BGD720907:BGD720908 AWH720907:AWH720908 AML720907:AML720908 ACP720907:ACP720908 ST720907:ST720908 IX720907:IX720908 B720907:B720908 WVJ655371:WVJ655372 WLN655371:WLN655372 WBR655371:WBR655372 VRV655371:VRV655372 VHZ655371:VHZ655372 UYD655371:UYD655372 UOH655371:UOH655372 UEL655371:UEL655372 TUP655371:TUP655372 TKT655371:TKT655372 TAX655371:TAX655372 SRB655371:SRB655372 SHF655371:SHF655372 RXJ655371:RXJ655372 RNN655371:RNN655372 RDR655371:RDR655372 QTV655371:QTV655372 QJZ655371:QJZ655372 QAD655371:QAD655372 PQH655371:PQH655372 PGL655371:PGL655372 OWP655371:OWP655372 OMT655371:OMT655372 OCX655371:OCX655372 NTB655371:NTB655372 NJF655371:NJF655372 MZJ655371:MZJ655372 MPN655371:MPN655372 MFR655371:MFR655372 LVV655371:LVV655372 LLZ655371:LLZ655372 LCD655371:LCD655372 KSH655371:KSH655372 KIL655371:KIL655372 JYP655371:JYP655372 JOT655371:JOT655372 JEX655371:JEX655372 IVB655371:IVB655372 ILF655371:ILF655372 IBJ655371:IBJ655372 HRN655371:HRN655372 HHR655371:HHR655372 GXV655371:GXV655372 GNZ655371:GNZ655372 GED655371:GED655372 FUH655371:FUH655372 FKL655371:FKL655372 FAP655371:FAP655372 EQT655371:EQT655372 EGX655371:EGX655372 DXB655371:DXB655372 DNF655371:DNF655372 DDJ655371:DDJ655372 CTN655371:CTN655372 CJR655371:CJR655372 BZV655371:BZV655372 BPZ655371:BPZ655372 BGD655371:BGD655372 AWH655371:AWH655372 AML655371:AML655372 ACP655371:ACP655372 ST655371:ST655372 IX655371:IX655372 B655371:B655372 WVJ589835:WVJ589836 WLN589835:WLN589836 WBR589835:WBR589836 VRV589835:VRV589836 VHZ589835:VHZ589836 UYD589835:UYD589836 UOH589835:UOH589836 UEL589835:UEL589836 TUP589835:TUP589836 TKT589835:TKT589836 TAX589835:TAX589836 SRB589835:SRB589836 SHF589835:SHF589836 RXJ589835:RXJ589836 RNN589835:RNN589836 RDR589835:RDR589836 QTV589835:QTV589836 QJZ589835:QJZ589836 QAD589835:QAD589836 PQH589835:PQH589836 PGL589835:PGL589836 OWP589835:OWP589836 OMT589835:OMT589836 OCX589835:OCX589836 NTB589835:NTB589836 NJF589835:NJF589836 MZJ589835:MZJ589836 MPN589835:MPN589836 MFR589835:MFR589836 LVV589835:LVV589836 LLZ589835:LLZ589836 LCD589835:LCD589836 KSH589835:KSH589836 KIL589835:KIL589836 JYP589835:JYP589836 JOT589835:JOT589836 JEX589835:JEX589836 IVB589835:IVB589836 ILF589835:ILF589836 IBJ589835:IBJ589836 HRN589835:HRN589836 HHR589835:HHR589836 GXV589835:GXV589836 GNZ589835:GNZ589836 GED589835:GED589836 FUH589835:FUH589836 FKL589835:FKL589836 FAP589835:FAP589836 EQT589835:EQT589836 EGX589835:EGX589836 DXB589835:DXB589836 DNF589835:DNF589836 DDJ589835:DDJ589836 CTN589835:CTN589836 CJR589835:CJR589836 BZV589835:BZV589836 BPZ589835:BPZ589836 BGD589835:BGD589836 AWH589835:AWH589836 AML589835:AML589836 ACP589835:ACP589836 ST589835:ST589836 IX589835:IX589836 B589835:B589836 WVJ524299:WVJ524300 WLN524299:WLN524300 WBR524299:WBR524300 VRV524299:VRV524300 VHZ524299:VHZ524300 UYD524299:UYD524300 UOH524299:UOH524300 UEL524299:UEL524300 TUP524299:TUP524300 TKT524299:TKT524300 TAX524299:TAX524300 SRB524299:SRB524300 SHF524299:SHF524300 RXJ524299:RXJ524300 RNN524299:RNN524300 RDR524299:RDR524300 QTV524299:QTV524300 QJZ524299:QJZ524300 QAD524299:QAD524300 PQH524299:PQH524300 PGL524299:PGL524300 OWP524299:OWP524300 OMT524299:OMT524300 OCX524299:OCX524300 NTB524299:NTB524300 NJF524299:NJF524300 MZJ524299:MZJ524300 MPN524299:MPN524300 MFR524299:MFR524300 LVV524299:LVV524300 LLZ524299:LLZ524300 LCD524299:LCD524300 KSH524299:KSH524300 KIL524299:KIL524300 JYP524299:JYP524300 JOT524299:JOT524300 JEX524299:JEX524300 IVB524299:IVB524300 ILF524299:ILF524300 IBJ524299:IBJ524300 HRN524299:HRN524300 HHR524299:HHR524300 GXV524299:GXV524300 GNZ524299:GNZ524300 GED524299:GED524300 FUH524299:FUH524300 FKL524299:FKL524300 FAP524299:FAP524300 EQT524299:EQT524300 EGX524299:EGX524300 DXB524299:DXB524300 DNF524299:DNF524300 DDJ524299:DDJ524300 CTN524299:CTN524300 CJR524299:CJR524300 BZV524299:BZV524300 BPZ524299:BPZ524300 BGD524299:BGD524300 AWH524299:AWH524300 AML524299:AML524300 ACP524299:ACP524300 ST524299:ST524300 IX524299:IX524300 B524299:B524300 WVJ458763:WVJ458764 WLN458763:WLN458764 WBR458763:WBR458764 VRV458763:VRV458764 VHZ458763:VHZ458764 UYD458763:UYD458764 UOH458763:UOH458764 UEL458763:UEL458764 TUP458763:TUP458764 TKT458763:TKT458764 TAX458763:TAX458764 SRB458763:SRB458764 SHF458763:SHF458764 RXJ458763:RXJ458764 RNN458763:RNN458764 RDR458763:RDR458764 QTV458763:QTV458764 QJZ458763:QJZ458764 QAD458763:QAD458764 PQH458763:PQH458764 PGL458763:PGL458764 OWP458763:OWP458764 OMT458763:OMT458764 OCX458763:OCX458764 NTB458763:NTB458764 NJF458763:NJF458764 MZJ458763:MZJ458764 MPN458763:MPN458764 MFR458763:MFR458764 LVV458763:LVV458764 LLZ458763:LLZ458764 LCD458763:LCD458764 KSH458763:KSH458764 KIL458763:KIL458764 JYP458763:JYP458764 JOT458763:JOT458764 JEX458763:JEX458764 IVB458763:IVB458764 ILF458763:ILF458764 IBJ458763:IBJ458764 HRN458763:HRN458764 HHR458763:HHR458764 GXV458763:GXV458764 GNZ458763:GNZ458764 GED458763:GED458764 FUH458763:FUH458764 FKL458763:FKL458764 FAP458763:FAP458764 EQT458763:EQT458764 EGX458763:EGX458764 DXB458763:DXB458764 DNF458763:DNF458764 DDJ458763:DDJ458764 CTN458763:CTN458764 CJR458763:CJR458764 BZV458763:BZV458764 BPZ458763:BPZ458764 BGD458763:BGD458764 AWH458763:AWH458764 AML458763:AML458764 ACP458763:ACP458764 ST458763:ST458764 IX458763:IX458764 B458763:B458764 WVJ393227:WVJ393228 WLN393227:WLN393228 WBR393227:WBR393228 VRV393227:VRV393228 VHZ393227:VHZ393228 UYD393227:UYD393228 UOH393227:UOH393228 UEL393227:UEL393228 TUP393227:TUP393228 TKT393227:TKT393228 TAX393227:TAX393228 SRB393227:SRB393228 SHF393227:SHF393228 RXJ393227:RXJ393228 RNN393227:RNN393228 RDR393227:RDR393228 QTV393227:QTV393228 QJZ393227:QJZ393228 QAD393227:QAD393228 PQH393227:PQH393228 PGL393227:PGL393228 OWP393227:OWP393228 OMT393227:OMT393228 OCX393227:OCX393228 NTB393227:NTB393228 NJF393227:NJF393228 MZJ393227:MZJ393228 MPN393227:MPN393228 MFR393227:MFR393228 LVV393227:LVV393228 LLZ393227:LLZ393228 LCD393227:LCD393228 KSH393227:KSH393228 KIL393227:KIL393228 JYP393227:JYP393228 JOT393227:JOT393228 JEX393227:JEX393228 IVB393227:IVB393228 ILF393227:ILF393228 IBJ393227:IBJ393228 HRN393227:HRN393228 HHR393227:HHR393228 GXV393227:GXV393228 GNZ393227:GNZ393228 GED393227:GED393228 FUH393227:FUH393228 FKL393227:FKL393228 FAP393227:FAP393228 EQT393227:EQT393228 EGX393227:EGX393228 DXB393227:DXB393228 DNF393227:DNF393228 DDJ393227:DDJ393228 CTN393227:CTN393228 CJR393227:CJR393228 BZV393227:BZV393228 BPZ393227:BPZ393228 BGD393227:BGD393228 AWH393227:AWH393228 AML393227:AML393228 ACP393227:ACP393228 ST393227:ST393228 IX393227:IX393228 B393227:B393228 WVJ327691:WVJ327692 WLN327691:WLN327692 WBR327691:WBR327692 VRV327691:VRV327692 VHZ327691:VHZ327692 UYD327691:UYD327692 UOH327691:UOH327692 UEL327691:UEL327692 TUP327691:TUP327692 TKT327691:TKT327692 TAX327691:TAX327692 SRB327691:SRB327692 SHF327691:SHF327692 RXJ327691:RXJ327692 RNN327691:RNN327692 RDR327691:RDR327692 QTV327691:QTV327692 QJZ327691:QJZ327692 QAD327691:QAD327692 PQH327691:PQH327692 PGL327691:PGL327692 OWP327691:OWP327692 OMT327691:OMT327692 OCX327691:OCX327692 NTB327691:NTB327692 NJF327691:NJF327692 MZJ327691:MZJ327692 MPN327691:MPN327692 MFR327691:MFR327692 LVV327691:LVV327692 LLZ327691:LLZ327692 LCD327691:LCD327692 KSH327691:KSH327692 KIL327691:KIL327692 JYP327691:JYP327692 JOT327691:JOT327692 JEX327691:JEX327692 IVB327691:IVB327692 ILF327691:ILF327692 IBJ327691:IBJ327692 HRN327691:HRN327692 HHR327691:HHR327692 GXV327691:GXV327692 GNZ327691:GNZ327692 GED327691:GED327692 FUH327691:FUH327692 FKL327691:FKL327692 FAP327691:FAP327692 EQT327691:EQT327692 EGX327691:EGX327692 DXB327691:DXB327692 DNF327691:DNF327692 DDJ327691:DDJ327692 CTN327691:CTN327692 CJR327691:CJR327692 BZV327691:BZV327692 BPZ327691:BPZ327692 BGD327691:BGD327692 AWH327691:AWH327692 AML327691:AML327692 ACP327691:ACP327692 ST327691:ST327692 IX327691:IX327692 B327691:B327692 WVJ262155:WVJ262156 WLN262155:WLN262156 WBR262155:WBR262156 VRV262155:VRV262156 VHZ262155:VHZ262156 UYD262155:UYD262156 UOH262155:UOH262156 UEL262155:UEL262156 TUP262155:TUP262156 TKT262155:TKT262156 TAX262155:TAX262156 SRB262155:SRB262156 SHF262155:SHF262156 RXJ262155:RXJ262156 RNN262155:RNN262156 RDR262155:RDR262156 QTV262155:QTV262156 QJZ262155:QJZ262156 QAD262155:QAD262156 PQH262155:PQH262156 PGL262155:PGL262156 OWP262155:OWP262156 OMT262155:OMT262156 OCX262155:OCX262156 NTB262155:NTB262156 NJF262155:NJF262156 MZJ262155:MZJ262156 MPN262155:MPN262156 MFR262155:MFR262156 LVV262155:LVV262156 LLZ262155:LLZ262156 LCD262155:LCD262156 KSH262155:KSH262156 KIL262155:KIL262156 JYP262155:JYP262156 JOT262155:JOT262156 JEX262155:JEX262156 IVB262155:IVB262156 ILF262155:ILF262156 IBJ262155:IBJ262156 HRN262155:HRN262156 HHR262155:HHR262156 GXV262155:GXV262156 GNZ262155:GNZ262156 GED262155:GED262156 FUH262155:FUH262156 FKL262155:FKL262156 FAP262155:FAP262156 EQT262155:EQT262156 EGX262155:EGX262156 DXB262155:DXB262156 DNF262155:DNF262156 DDJ262155:DDJ262156 CTN262155:CTN262156 CJR262155:CJR262156 BZV262155:BZV262156 BPZ262155:BPZ262156 BGD262155:BGD262156 AWH262155:AWH262156 AML262155:AML262156 ACP262155:ACP262156 ST262155:ST262156 IX262155:IX262156 B262155:B262156 WVJ196619:WVJ196620 WLN196619:WLN196620 WBR196619:WBR196620 VRV196619:VRV196620 VHZ196619:VHZ196620 UYD196619:UYD196620 UOH196619:UOH196620 UEL196619:UEL196620 TUP196619:TUP196620 TKT196619:TKT196620 TAX196619:TAX196620 SRB196619:SRB196620 SHF196619:SHF196620 RXJ196619:RXJ196620 RNN196619:RNN196620 RDR196619:RDR196620 QTV196619:QTV196620 QJZ196619:QJZ196620 QAD196619:QAD196620 PQH196619:PQH196620 PGL196619:PGL196620 OWP196619:OWP196620 OMT196619:OMT196620 OCX196619:OCX196620 NTB196619:NTB196620 NJF196619:NJF196620 MZJ196619:MZJ196620 MPN196619:MPN196620 MFR196619:MFR196620 LVV196619:LVV196620 LLZ196619:LLZ196620 LCD196619:LCD196620 KSH196619:KSH196620 KIL196619:KIL196620 JYP196619:JYP196620 JOT196619:JOT196620 JEX196619:JEX196620 IVB196619:IVB196620 ILF196619:ILF196620 IBJ196619:IBJ196620 HRN196619:HRN196620 HHR196619:HHR196620 GXV196619:GXV196620 GNZ196619:GNZ196620 GED196619:GED196620 FUH196619:FUH196620 FKL196619:FKL196620 FAP196619:FAP196620 EQT196619:EQT196620 EGX196619:EGX196620 DXB196619:DXB196620 DNF196619:DNF196620 DDJ196619:DDJ196620 CTN196619:CTN196620 CJR196619:CJR196620 BZV196619:BZV196620 BPZ196619:BPZ196620 BGD196619:BGD196620 AWH196619:AWH196620 AML196619:AML196620 ACP196619:ACP196620 ST196619:ST196620 IX196619:IX196620 B196619:B196620 WVJ131083:WVJ131084 WLN131083:WLN131084 WBR131083:WBR131084 VRV131083:VRV131084 VHZ131083:VHZ131084 UYD131083:UYD131084 UOH131083:UOH131084 UEL131083:UEL131084 TUP131083:TUP131084 TKT131083:TKT131084 TAX131083:TAX131084 SRB131083:SRB131084 SHF131083:SHF131084 RXJ131083:RXJ131084 RNN131083:RNN131084 RDR131083:RDR131084 QTV131083:QTV131084 QJZ131083:QJZ131084 QAD131083:QAD131084 PQH131083:PQH131084 PGL131083:PGL131084 OWP131083:OWP131084 OMT131083:OMT131084 OCX131083:OCX131084 NTB131083:NTB131084 NJF131083:NJF131084 MZJ131083:MZJ131084 MPN131083:MPN131084 MFR131083:MFR131084 LVV131083:LVV131084 LLZ131083:LLZ131084 LCD131083:LCD131084 KSH131083:KSH131084 KIL131083:KIL131084 JYP131083:JYP131084 JOT131083:JOT131084 JEX131083:JEX131084 IVB131083:IVB131084 ILF131083:ILF131084 IBJ131083:IBJ131084 HRN131083:HRN131084 HHR131083:HHR131084 GXV131083:GXV131084 GNZ131083:GNZ131084 GED131083:GED131084 FUH131083:FUH131084 FKL131083:FKL131084 FAP131083:FAP131084 EQT131083:EQT131084 EGX131083:EGX131084 DXB131083:DXB131084 DNF131083:DNF131084 DDJ131083:DDJ131084 CTN131083:CTN131084 CJR131083:CJR131084 BZV131083:BZV131084 BPZ131083:BPZ131084 BGD131083:BGD131084 AWH131083:AWH131084 AML131083:AML131084 ACP131083:ACP131084 ST131083:ST131084 IX131083:IX131084 B131083:B131084 WVJ65547:WVJ65548 WLN65547:WLN65548 WBR65547:WBR65548 VRV65547:VRV65548 VHZ65547:VHZ65548 UYD65547:UYD65548 UOH65547:UOH65548 UEL65547:UEL65548 TUP65547:TUP65548 TKT65547:TKT65548 TAX65547:TAX65548 SRB65547:SRB65548 SHF65547:SHF65548 RXJ65547:RXJ65548 RNN65547:RNN65548 RDR65547:RDR65548 QTV65547:QTV65548 QJZ65547:QJZ65548 QAD65547:QAD65548 PQH65547:PQH65548 PGL65547:PGL65548 OWP65547:OWP65548 OMT65547:OMT65548 OCX65547:OCX65548 NTB65547:NTB65548 NJF65547:NJF65548 MZJ65547:MZJ65548 MPN65547:MPN65548 MFR65547:MFR65548 LVV65547:LVV65548 LLZ65547:LLZ65548 LCD65547:LCD65548 KSH65547:KSH65548 KIL65547:KIL65548 JYP65547:JYP65548 JOT65547:JOT65548 JEX65547:JEX65548 IVB65547:IVB65548 ILF65547:ILF65548 IBJ65547:IBJ65548 HRN65547:HRN65548 HHR65547:HHR65548 GXV65547:GXV65548 GNZ65547:GNZ65548 GED65547:GED65548 FUH65547:FUH65548 FKL65547:FKL65548 FAP65547:FAP65548 EQT65547:EQT65548 EGX65547:EGX65548 DXB65547:DXB65548 DNF65547:DNF65548 DDJ65547:DDJ65548 CTN65547:CTN65548 CJR65547:CJR65548 BZV65547:BZV65548 BPZ65547:BPZ65548 BGD65547:BGD65548 AWH65547:AWH65548 AML65547:AML65548 ACP65547:ACP65548 ST65547:ST65548 IX65547:IX65548 B65547:B65548 WVJ11:WVJ12 WLN11:WLN12 WBR11:WBR12 VRV11:VRV12 VHZ11:VHZ12 UYD11:UYD12 UOH11:UOH12 UEL11:UEL12 TUP11:TUP12 TKT11:TKT12 TAX11:TAX12 SRB11:SRB12 SHF11:SHF12 RXJ11:RXJ12 RNN11:RNN12 RDR11:RDR12 QTV11:QTV12 QJZ11:QJZ12 QAD11:QAD12 PQH11:PQH12 PGL11:PGL12 OWP11:OWP12 OMT11:OMT12 OCX11:OCX12 NTB11:NTB12 NJF11:NJF12 MZJ11:MZJ12 MPN11:MPN12 MFR11:MFR12 LVV11:LVV12 LLZ11:LLZ12 LCD11:LCD12 KSH11:KSH12 KIL11:KIL12 JYP11:JYP12 JOT11:JOT12 JEX11:JEX12 IVB11:IVB12 ILF11:ILF12 IBJ11:IBJ12 HRN11:HRN12 HHR11:HHR12 GXV11:GXV12 GNZ11:GNZ12 GED11:GED12 FUH11:FUH12 FKL11:FKL12 FAP11:FAP12 EQT11:EQT12 EGX11:EGX12 DXB11:DXB12 DNF11:DNF12 DDJ11:DDJ12 CTN11:CTN12 CJR11:CJR12 BZV11:BZV12 BPZ11:BPZ12 BGD11:BGD12 AWH11:AWH12 AML11:AML12 ACP11:ACP12 ST11:ST12 IX11:IX12" xr:uid="{00000000-0002-0000-0200-000009000000}">
      <formula1>EngineLevel</formula1>
      <formula2>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BR177"/>
  <sheetViews>
    <sheetView zoomScale="85" zoomScaleNormal="85" workbookViewId="0">
      <selection activeCell="B8" sqref="B8"/>
    </sheetView>
  </sheetViews>
  <sheetFormatPr defaultRowHeight="12" x14ac:dyDescent="0.2"/>
  <cols>
    <col min="1" max="1" width="16.7109375" style="229" customWidth="1"/>
    <col min="2" max="2" width="15.28515625" style="229" customWidth="1"/>
    <col min="3" max="3" width="10.7109375" style="229" customWidth="1"/>
    <col min="4" max="6" width="9.7109375" style="229" customWidth="1"/>
    <col min="7" max="7" width="10" style="229" customWidth="1"/>
    <col min="8" max="9" width="9.7109375" style="229" customWidth="1"/>
    <col min="10" max="11" width="9.85546875" style="229" customWidth="1"/>
    <col min="12" max="12" width="9.7109375" style="229" customWidth="1"/>
    <col min="13" max="13" width="10.140625" style="229" customWidth="1"/>
    <col min="14" max="15" width="9.7109375" style="229" customWidth="1"/>
    <col min="16" max="17" width="10" style="229" customWidth="1"/>
    <col min="18" max="19" width="9.7109375" style="229" customWidth="1"/>
    <col min="20" max="21" width="9.140625" style="229"/>
    <col min="22" max="22" width="12.7109375" style="229" customWidth="1"/>
    <col min="23" max="16384" width="9.140625" style="229"/>
  </cols>
  <sheetData>
    <row r="1" spans="1:70" ht="15" customHeight="1" thickBot="1" x14ac:dyDescent="0.3">
      <c r="A1" s="394" t="s">
        <v>168</v>
      </c>
      <c r="B1" s="395" t="s">
        <v>50</v>
      </c>
      <c r="C1" s="419" t="s">
        <v>471</v>
      </c>
      <c r="D1" s="401">
        <v>64</v>
      </c>
      <c r="E1" s="807" t="s">
        <v>470</v>
      </c>
      <c r="F1" s="807"/>
      <c r="G1" s="807"/>
      <c r="H1" s="807"/>
      <c r="I1" s="810" t="s">
        <v>469</v>
      </c>
      <c r="J1" s="810"/>
      <c r="K1" s="401">
        <v>0</v>
      </c>
      <c r="L1" s="796" t="s">
        <v>806</v>
      </c>
      <c r="M1" s="797"/>
      <c r="N1" s="797"/>
      <c r="O1" s="797"/>
      <c r="P1" s="797"/>
      <c r="Q1" s="797"/>
      <c r="V1" s="657" t="s">
        <v>48</v>
      </c>
      <c r="W1" s="657" t="s">
        <v>177</v>
      </c>
      <c r="X1" s="657" t="s">
        <v>170</v>
      </c>
      <c r="Y1" s="657" t="s">
        <v>248</v>
      </c>
      <c r="Z1" s="657"/>
      <c r="AA1" s="657"/>
      <c r="BN1" s="304"/>
      <c r="BO1" s="304"/>
      <c r="BP1" s="304"/>
      <c r="BQ1" s="304"/>
      <c r="BR1" s="304"/>
    </row>
    <row r="2" spans="1:70" ht="25.5" customHeight="1" thickBot="1" x14ac:dyDescent="0.25">
      <c r="A2" s="394" t="s">
        <v>468</v>
      </c>
      <c r="B2" s="395" t="s">
        <v>177</v>
      </c>
      <c r="C2" s="394"/>
      <c r="D2" s="403" t="s">
        <v>467</v>
      </c>
      <c r="E2" s="404" t="s">
        <v>466</v>
      </c>
      <c r="F2" s="404" t="s">
        <v>793</v>
      </c>
      <c r="G2" s="404" t="s">
        <v>792</v>
      </c>
      <c r="H2" s="404" t="s">
        <v>465</v>
      </c>
      <c r="I2" s="404" t="s">
        <v>464</v>
      </c>
      <c r="J2" s="405" t="s">
        <v>810</v>
      </c>
      <c r="K2" s="403" t="s">
        <v>803</v>
      </c>
      <c r="L2" s="403" t="s">
        <v>463</v>
      </c>
      <c r="M2" s="403" t="s">
        <v>462</v>
      </c>
      <c r="N2" s="404" t="s">
        <v>804</v>
      </c>
      <c r="O2" s="404" t="s">
        <v>805</v>
      </c>
      <c r="P2" s="788" t="s">
        <v>811</v>
      </c>
      <c r="Q2" s="788"/>
      <c r="V2" s="657" t="s">
        <v>257</v>
      </c>
      <c r="W2" s="657" t="s">
        <v>174</v>
      </c>
      <c r="X2" s="657" t="s">
        <v>169</v>
      </c>
      <c r="Y2" s="657" t="s">
        <v>143</v>
      </c>
      <c r="Z2" s="657"/>
      <c r="AA2" s="657"/>
      <c r="BN2" s="304"/>
      <c r="BO2" s="304"/>
      <c r="BP2" s="304"/>
      <c r="BQ2" s="304"/>
      <c r="BR2" s="304"/>
    </row>
    <row r="3" spans="1:70" x14ac:dyDescent="0.2">
      <c r="A3" s="394" t="s">
        <v>461</v>
      </c>
      <c r="B3" s="395">
        <v>22</v>
      </c>
      <c r="C3" s="394" t="s">
        <v>0</v>
      </c>
      <c r="D3" s="420">
        <f t="shared" ref="D3:D8" si="0">IF((COUNTIF(E3:H3,"&gt;0")=1),IF(E3&gt;1,(E3+D$1),IF(H3&gt;0,(H3-D$1),MAX(F3:G3)-D$1)),IF((COUNTIF(E3:H3,"&gt;0")=2),IF((COUNTIF(F3:G3,"&gt;0")=2),(F3-D$1),(SUM(E3:H3)/2)),IF((COUNTIF(E3:F3,"&gt;0")=2),SUM(E3:F3)/2,IF((COUNTIF(G3:H3,"&gt;0")=2),SUM(G3:H3)/2,0))))</f>
        <v>756.5</v>
      </c>
      <c r="E3" s="397">
        <v>750</v>
      </c>
      <c r="F3" s="397">
        <v>763</v>
      </c>
      <c r="G3" s="397"/>
      <c r="H3" s="397"/>
      <c r="I3" s="425">
        <f>SUM('Happiness Range'!I8)</f>
        <v>124.66908000000001</v>
      </c>
      <c r="J3" s="426">
        <f t="shared" ref="J3:J8" si="1">ROUND(IF(ISBLANK(G3),(D3+I3/2),(D3-I3/2)),0)</f>
        <v>819</v>
      </c>
      <c r="K3" s="424">
        <f>SUM(J4+(K1/2))</f>
        <v>819</v>
      </c>
      <c r="L3" s="428">
        <f>$K3+J13</f>
        <v>810</v>
      </c>
      <c r="M3" s="618">
        <f>$K3+K13</f>
        <v>814.5</v>
      </c>
      <c r="N3" s="619">
        <f>N4</f>
        <v>819</v>
      </c>
      <c r="O3" s="619">
        <f>O4</f>
        <v>694</v>
      </c>
      <c r="P3" s="620">
        <f>P4</f>
        <v>-9</v>
      </c>
      <c r="Q3" s="613">
        <f>Q4</f>
        <v>-4.5</v>
      </c>
      <c r="V3" s="657" t="s">
        <v>49</v>
      </c>
      <c r="W3" s="657"/>
      <c r="X3" s="657" t="s">
        <v>172</v>
      </c>
      <c r="Y3" s="657" t="s">
        <v>250</v>
      </c>
      <c r="Z3" s="657"/>
      <c r="AA3" s="657"/>
      <c r="BN3" s="304"/>
      <c r="BO3" s="304"/>
      <c r="BP3" s="304"/>
      <c r="BQ3" s="304"/>
      <c r="BR3" s="304"/>
    </row>
    <row r="4" spans="1:70" x14ac:dyDescent="0.2">
      <c r="A4" s="394" t="s">
        <v>459</v>
      </c>
      <c r="B4" s="395" t="s">
        <v>177</v>
      </c>
      <c r="C4" s="394" t="s">
        <v>1</v>
      </c>
      <c r="D4" s="421">
        <f t="shared" si="0"/>
        <v>756.5</v>
      </c>
      <c r="E4" s="397">
        <v>750</v>
      </c>
      <c r="F4" s="397">
        <v>763</v>
      </c>
      <c r="G4" s="397"/>
      <c r="H4" s="398"/>
      <c r="I4" s="425">
        <f>SUM('Happiness Range'!I9)</f>
        <v>124.66908000000001</v>
      </c>
      <c r="J4" s="426">
        <f t="shared" si="1"/>
        <v>819</v>
      </c>
      <c r="K4" s="427">
        <f>SUM(J4-(K1/2))</f>
        <v>819</v>
      </c>
      <c r="L4" s="428">
        <f t="shared" ref="L4:M8" si="2">$K4+J14</f>
        <v>810</v>
      </c>
      <c r="M4" s="618">
        <f t="shared" si="2"/>
        <v>814.5</v>
      </c>
      <c r="N4" s="619">
        <f>ROUND(D4+(I4/2),0)</f>
        <v>819</v>
      </c>
      <c r="O4" s="619">
        <f>ROUND(D4-(I4/2),0)</f>
        <v>694</v>
      </c>
      <c r="P4" s="621">
        <f>ROUNDUP(IF(AND($B$2="Wet",$B$4="Wet"),($B$5-$B$3)*('Raw Data'!$B92+'Raw Data'!$R92),IF(AND('Setup Tool'!$B$2="Wet",'Setup Tool'!$B$4="Dry"),-('Raw Data'!$S92+('Raw Data'!$R92)*('Setup Tool'!$B$3)-($B$5-$B$3)*('Raw Data'!$B92)),IF(AND('Setup Tool'!$B$2="Dry",'Setup Tool'!$B$4="Wet"),('Raw Data'!$S92+('Raw Data'!$R92)*('Setup Tool'!$B$3)+($B$5-$B$3)*('Raw Data'!$B92+'Raw Data'!$R92)),('Setup Tool'!$B$5-'Setup Tool'!$B$3)*'Raw Data'!$B92))),0)</f>
        <v>-9</v>
      </c>
      <c r="Q4" s="628">
        <f>IF(AND($B$2="Wet",$B$6="Wet"),($B$7-$B$3)*('Raw Data'!$B92+'Raw Data'!$R92),IF(AND('Setup Tool'!$B$2="Wet",'Setup Tool'!$B$6="Dry"),-('Raw Data'!$S92+('Raw Data'!$R92)*('Setup Tool'!$B$3)-($B$7-$B$3)*('Raw Data'!$B92)),IF(AND('Setup Tool'!$B$2="Dry",'Setup Tool'!$B$6="Wet"),('Raw Data'!$S92+('Raw Data'!$R92)*('Setup Tool'!$B$3)+($B$7-$B$3)*('Raw Data'!$B92+'Raw Data'!$R92)),('Setup Tool'!$B$7-'Setup Tool'!$B$3)*'Raw Data'!$B92)))</f>
        <v>-4.5</v>
      </c>
      <c r="V4" s="657" t="s">
        <v>50</v>
      </c>
      <c r="W4" s="657"/>
      <c r="X4" s="657" t="s">
        <v>175</v>
      </c>
      <c r="Y4" s="657" t="s">
        <v>444</v>
      </c>
      <c r="Z4" s="657"/>
      <c r="AA4" s="657"/>
      <c r="BN4" s="304"/>
      <c r="BO4" s="304"/>
      <c r="BP4" s="304"/>
      <c r="BQ4" s="304"/>
      <c r="BR4" s="304"/>
    </row>
    <row r="5" spans="1:70" x14ac:dyDescent="0.2">
      <c r="A5" s="394" t="s">
        <v>458</v>
      </c>
      <c r="B5" s="395">
        <v>20</v>
      </c>
      <c r="C5" s="394" t="s">
        <v>2</v>
      </c>
      <c r="D5" s="421">
        <f t="shared" si="0"/>
        <v>441.5</v>
      </c>
      <c r="E5" s="397">
        <v>440</v>
      </c>
      <c r="F5" s="397">
        <v>443</v>
      </c>
      <c r="G5" s="397"/>
      <c r="H5" s="398"/>
      <c r="I5" s="425">
        <f>SUM('Happiness Range'!I10)</f>
        <v>124.66908000000001</v>
      </c>
      <c r="J5" s="426">
        <f t="shared" si="1"/>
        <v>504</v>
      </c>
      <c r="K5" s="427">
        <f>SUM(J5)</f>
        <v>504</v>
      </c>
      <c r="L5" s="428">
        <f t="shared" si="2"/>
        <v>512</v>
      </c>
      <c r="M5" s="618">
        <f t="shared" si="2"/>
        <v>507.75</v>
      </c>
      <c r="N5" s="619">
        <f>ROUND(D5+(I5/2),0)</f>
        <v>504</v>
      </c>
      <c r="O5" s="619">
        <f>ROUND(D5-(I5/2),0)</f>
        <v>379</v>
      </c>
      <c r="P5" s="622">
        <f>ROUNDUP(IF(AND($B$2="Wet",$B$4="Wet"),($B$5-$B$3)*('Raw Data'!$B93+'Raw Data'!$R93),IF(AND('Setup Tool'!$B$2="Wet",'Setup Tool'!$B$4="Dry"),-('Raw Data'!$S93+('Raw Data'!$R93)*('Setup Tool'!$B$3)-($B$5-$B$3)*('Raw Data'!$B93)),IF(AND('Setup Tool'!$B$2="Dry",'Setup Tool'!$B$4="Wet"),('Raw Data'!$S93+('Raw Data'!$R93)*('Setup Tool'!$B$3)+($B$5-$B$3)*('Raw Data'!$B93+'Raw Data'!$R93)),('Setup Tool'!$B$5-'Setup Tool'!$B$3)*'Raw Data'!$B93))),0)</f>
        <v>8</v>
      </c>
      <c r="Q5" s="628">
        <f>IF(AND($B$2="Wet",$B$6="Wet"),($B$7-$B$3)*('Raw Data'!$B93+'Raw Data'!$R93),IF(AND('Setup Tool'!$B$2="Wet",'Setup Tool'!$B$6="Dry"),-('Raw Data'!$S93+('Raw Data'!$R93)*('Setup Tool'!$B$3)-($B$7-$B$3)*('Raw Data'!$B93)),IF(AND('Setup Tool'!$B$2="Dry",'Setup Tool'!$B$6="Wet"),('Raw Data'!$S93+('Raw Data'!$R93)*('Setup Tool'!$B$3)+($B$7-$B$3)*('Raw Data'!$B93+'Raw Data'!$R93)),('Setup Tool'!$B$7-'Setup Tool'!$B$3)*'Raw Data'!$B93)))</f>
        <v>3.75</v>
      </c>
      <c r="V5" s="657" t="s">
        <v>785</v>
      </c>
      <c r="W5" s="657"/>
      <c r="X5" s="657" t="s">
        <v>173</v>
      </c>
      <c r="Y5" s="657"/>
      <c r="Z5" s="657"/>
      <c r="AA5" s="657"/>
      <c r="BN5" s="304"/>
      <c r="BO5" s="304"/>
      <c r="BP5" s="304"/>
      <c r="BQ5" s="304"/>
      <c r="BR5" s="304"/>
    </row>
    <row r="6" spans="1:70" x14ac:dyDescent="0.2">
      <c r="A6" s="394" t="s">
        <v>236</v>
      </c>
      <c r="B6" s="395" t="s">
        <v>177</v>
      </c>
      <c r="C6" s="394" t="s">
        <v>3</v>
      </c>
      <c r="D6" s="421">
        <f t="shared" si="0"/>
        <v>512.5</v>
      </c>
      <c r="E6" s="397">
        <v>500</v>
      </c>
      <c r="F6" s="397">
        <v>525</v>
      </c>
      <c r="G6" s="397"/>
      <c r="H6" s="398"/>
      <c r="I6" s="425">
        <f>SUM('Happiness Range'!I11)</f>
        <v>124.66908000000001</v>
      </c>
      <c r="J6" s="426">
        <f t="shared" si="1"/>
        <v>575</v>
      </c>
      <c r="K6" s="427">
        <f>SUM(J6)</f>
        <v>575</v>
      </c>
      <c r="L6" s="428">
        <f t="shared" si="2"/>
        <v>563</v>
      </c>
      <c r="M6" s="618">
        <f t="shared" si="2"/>
        <v>569.1</v>
      </c>
      <c r="N6" s="619">
        <f>ROUND(D6+(I6/2),0)</f>
        <v>575</v>
      </c>
      <c r="O6" s="619">
        <f>ROUND(D6-(I6/2),0)</f>
        <v>450</v>
      </c>
      <c r="P6" s="622">
        <f>ROUNDUP(IF(AND($B$2="Wet",$B$4="Wet"),($B$5-$B$3)*('Raw Data'!$B94+'Raw Data'!$R94),IF(AND('Setup Tool'!$B$2="Wet",'Setup Tool'!$B$4="Dry"),-('Raw Data'!$S94+('Raw Data'!$R94)*('Setup Tool'!$B$3)-($B$5-$B$3)*('Raw Data'!$B94)),IF(AND('Setup Tool'!$B$2="Dry",'Setup Tool'!$B$4="Wet"),('Raw Data'!$S94+('Raw Data'!$R94)*('Setup Tool'!$B$3)+($B$5-$B$3)*('Raw Data'!$B94+'Raw Data'!$R94)),('Setup Tool'!$B$5-'Setup Tool'!$B$3)*'Raw Data'!$B94))),0)</f>
        <v>-12</v>
      </c>
      <c r="Q6" s="628">
        <f>IF(AND($B$2="Wet",$B$6="Wet"),($B$7-$B$3)*('Raw Data'!$B94+'Raw Data'!$R94),IF(AND('Setup Tool'!$B$2="Wet",'Setup Tool'!$B$6="Dry"),-('Raw Data'!$S94+('Raw Data'!$R94)*('Setup Tool'!$B$3)-($B$7-$B$3)*('Raw Data'!$B94)),IF(AND('Setup Tool'!$B$2="Dry",'Setup Tool'!$B$6="Wet"),('Raw Data'!$S94+('Raw Data'!$R94)*('Setup Tool'!$B$3)+($B$7-$B$3)*('Raw Data'!$B94+'Raw Data'!$R94)),('Setup Tool'!$B$7-'Setup Tool'!$B$3)*'Raw Data'!$B94)))</f>
        <v>-5.9</v>
      </c>
      <c r="V6" s="657" t="s">
        <v>871</v>
      </c>
      <c r="W6" s="657"/>
      <c r="X6" s="657" t="s">
        <v>171</v>
      </c>
      <c r="Y6" s="657"/>
      <c r="Z6" s="657"/>
      <c r="AA6" s="657"/>
      <c r="BN6" s="304"/>
      <c r="BO6" s="304"/>
      <c r="BP6" s="304"/>
      <c r="BQ6" s="304"/>
      <c r="BR6" s="304"/>
    </row>
    <row r="7" spans="1:70" x14ac:dyDescent="0.2">
      <c r="A7" s="394" t="s">
        <v>234</v>
      </c>
      <c r="B7" s="395">
        <v>21</v>
      </c>
      <c r="C7" s="394" t="s">
        <v>12</v>
      </c>
      <c r="D7" s="421">
        <f t="shared" si="0"/>
        <v>285.5</v>
      </c>
      <c r="E7" s="397">
        <v>281</v>
      </c>
      <c r="F7" s="397">
        <v>290</v>
      </c>
      <c r="G7" s="397"/>
      <c r="H7" s="398"/>
      <c r="I7" s="425">
        <f>SUM('Happiness Range'!I12)</f>
        <v>124.66908000000001</v>
      </c>
      <c r="J7" s="426">
        <f t="shared" si="1"/>
        <v>348</v>
      </c>
      <c r="K7" s="427">
        <f>SUM(J7)</f>
        <v>348</v>
      </c>
      <c r="L7" s="428">
        <f t="shared" si="2"/>
        <v>357</v>
      </c>
      <c r="M7" s="618">
        <f t="shared" si="2"/>
        <v>352.2</v>
      </c>
      <c r="N7" s="619">
        <f>ROUND(D7+(I7/2),0)</f>
        <v>348</v>
      </c>
      <c r="O7" s="619">
        <f>ROUND(D7-(I7/2),0)</f>
        <v>223</v>
      </c>
      <c r="P7" s="622">
        <f>ROUNDUP(IF(AND($B$2="Wet",$B$4="Wet"),($B$5-$B$3)*('Raw Data'!$B95+'Raw Data'!$R95),IF(AND('Setup Tool'!$B$2="Wet",'Setup Tool'!$B$4="Dry"),-('Raw Data'!$S95+('Raw Data'!$R95)*('Setup Tool'!$B$3)-($B$5-$B$3)*('Raw Data'!$B95)),IF(AND('Setup Tool'!$B$2="Dry",'Setup Tool'!$B$4="Wet"),('Raw Data'!$S95+('Raw Data'!$R95)*('Setup Tool'!$B$3)+($B$5-$B$3)*('Raw Data'!$B95+'Raw Data'!$R95)),('Setup Tool'!$B$5-'Setup Tool'!$B$3)*'Raw Data'!$B95))),0)</f>
        <v>9</v>
      </c>
      <c r="Q7" s="628">
        <f>IF(AND($B$2="Wet",$B$6="Wet"),($B$7-$B$3)*('Raw Data'!$B95+'Raw Data'!$R95),IF(AND('Setup Tool'!$B$2="Wet",'Setup Tool'!$B$6="Dry"),-('Raw Data'!$S95+('Raw Data'!$R95)*('Setup Tool'!$B$3)-($B$7-$B$3)*('Raw Data'!$B95)),IF(AND('Setup Tool'!$B$2="Dry",'Setup Tool'!$B$6="Wet"),('Raw Data'!$S95+('Raw Data'!$R95)*('Setup Tool'!$B$3)+($B$7-$B$3)*('Raw Data'!$B95+'Raw Data'!$R95)),('Setup Tool'!$B$7-'Setup Tool'!$B$3)*'Raw Data'!$B95)))</f>
        <v>4.2</v>
      </c>
      <c r="V7" s="657" t="s">
        <v>841</v>
      </c>
      <c r="W7" s="657"/>
      <c r="X7" s="657"/>
      <c r="Y7" s="657"/>
      <c r="Z7" s="657"/>
      <c r="AA7" s="657"/>
      <c r="BN7" s="304"/>
      <c r="BO7" s="304"/>
      <c r="BP7" s="304"/>
      <c r="BQ7" s="304"/>
      <c r="BR7" s="304"/>
    </row>
    <row r="8" spans="1:70" ht="12.75" thickBot="1" x14ac:dyDescent="0.25">
      <c r="A8" s="394" t="s">
        <v>457</v>
      </c>
      <c r="B8" s="395">
        <v>30</v>
      </c>
      <c r="C8" s="394" t="s">
        <v>5</v>
      </c>
      <c r="D8" s="422">
        <f t="shared" si="0"/>
        <v>440</v>
      </c>
      <c r="E8" s="399">
        <v>438</v>
      </c>
      <c r="F8" s="399">
        <v>442</v>
      </c>
      <c r="G8" s="399"/>
      <c r="H8" s="400"/>
      <c r="I8" s="425">
        <f>SUM('Happiness Range'!I13)</f>
        <v>124.66908000000001</v>
      </c>
      <c r="J8" s="426">
        <f t="shared" si="1"/>
        <v>502</v>
      </c>
      <c r="K8" s="427">
        <f>SUM(J8)</f>
        <v>502</v>
      </c>
      <c r="L8" s="428">
        <f t="shared" si="2"/>
        <v>514</v>
      </c>
      <c r="M8" s="618">
        <f t="shared" si="2"/>
        <v>508</v>
      </c>
      <c r="N8" s="619">
        <f>ROUND(D8+(I8/2),0)</f>
        <v>502</v>
      </c>
      <c r="O8" s="619">
        <f>ROUND(D8-(I8/2),0)</f>
        <v>378</v>
      </c>
      <c r="P8" s="622">
        <f>ROUNDUP(IF(AND($B$2="Wet",$B$4="Wet"),($B$5-$B$3)*('Raw Data'!$B96+'Raw Data'!$R96),IF(AND('Setup Tool'!$B$2="Wet",'Setup Tool'!$B$4="Dry"),-('Raw Data'!$S96+('Raw Data'!$R96)*('Setup Tool'!$B$3)-($B$5-$B$3)*('Raw Data'!$B96)),IF(AND('Setup Tool'!$B$2="Dry",'Setup Tool'!$B$4="Wet"),('Raw Data'!$S96+('Raw Data'!$R96)*('Setup Tool'!$B$3)+($B$5-$B$3)*('Raw Data'!$B96+'Raw Data'!$R96)),('Setup Tool'!$B$5-'Setup Tool'!$B$3)*'Raw Data'!$B96))),0)</f>
        <v>12</v>
      </c>
      <c r="Q8" s="628">
        <f>IF(AND($B$2="Wet",$B$6="Wet"),($B$7-$B$3)*('Raw Data'!$B96+'Raw Data'!$R96),IF(AND('Setup Tool'!$B$2="Wet",'Setup Tool'!$B$6="Dry"),-('Raw Data'!$S96+('Raw Data'!$R96)*('Setup Tool'!$B$3)-($B$7-$B$3)*('Raw Data'!$B96)),IF(AND('Setup Tool'!$B$2="Dry",'Setup Tool'!$B$6="Wet"),('Raw Data'!$S96+('Raw Data'!$R96)*('Setup Tool'!$B$3)+($B$7-$B$3)*('Raw Data'!$B96+'Raw Data'!$R96)),('Setup Tool'!$B$7-'Setup Tool'!$B$3)*'Raw Data'!$B96)))</f>
        <v>6</v>
      </c>
      <c r="V8" s="657" t="s">
        <v>51</v>
      </c>
      <c r="W8" s="657"/>
      <c r="X8" s="657"/>
      <c r="Y8" s="657"/>
      <c r="Z8" s="657"/>
      <c r="AA8" s="657"/>
      <c r="BN8" s="304"/>
      <c r="BO8" s="304"/>
      <c r="BP8" s="304"/>
      <c r="BQ8" s="304"/>
      <c r="BR8" s="304"/>
    </row>
    <row r="9" spans="1:70" ht="12.75" customHeight="1" x14ac:dyDescent="0.2">
      <c r="A9" s="394" t="s">
        <v>456</v>
      </c>
      <c r="B9" s="395" t="s">
        <v>170</v>
      </c>
      <c r="C9" s="304"/>
      <c r="D9" s="809" t="s">
        <v>807</v>
      </c>
      <c r="E9" s="809"/>
      <c r="F9" s="809"/>
      <c r="G9" s="809"/>
      <c r="H9" s="809"/>
      <c r="I9" s="809"/>
      <c r="J9" s="304"/>
      <c r="K9" s="789" t="s">
        <v>798</v>
      </c>
      <c r="L9" s="789"/>
      <c r="M9" s="789"/>
      <c r="N9" s="789"/>
      <c r="O9" s="789"/>
      <c r="P9" s="789"/>
      <c r="Q9" s="789"/>
      <c r="V9" s="657" t="s">
        <v>52</v>
      </c>
      <c r="W9" s="657"/>
      <c r="X9" s="657"/>
      <c r="Y9" s="657"/>
      <c r="Z9" s="657"/>
      <c r="AA9" s="657"/>
      <c r="BN9" s="304"/>
      <c r="BO9" s="304"/>
      <c r="BP9" s="304"/>
      <c r="BQ9" s="304"/>
      <c r="BR9" s="304"/>
    </row>
    <row r="10" spans="1:70" x14ac:dyDescent="0.2">
      <c r="A10" s="802" t="s">
        <v>455</v>
      </c>
      <c r="B10" s="802"/>
      <c r="C10" s="304"/>
      <c r="D10" s="809" t="s">
        <v>808</v>
      </c>
      <c r="E10" s="809"/>
      <c r="F10" s="809"/>
      <c r="G10" s="809"/>
      <c r="H10" s="809"/>
      <c r="I10" s="809"/>
      <c r="J10" s="304"/>
      <c r="K10" s="789"/>
      <c r="L10" s="789"/>
      <c r="M10" s="789"/>
      <c r="N10" s="789"/>
      <c r="O10" s="789"/>
      <c r="P10" s="789"/>
      <c r="Q10" s="789"/>
      <c r="V10" s="657" t="s">
        <v>53</v>
      </c>
      <c r="W10" s="657"/>
      <c r="X10" s="657"/>
      <c r="Y10" s="657"/>
      <c r="Z10" s="657"/>
      <c r="AA10" s="657"/>
      <c r="BN10" s="304"/>
      <c r="BO10" s="304"/>
      <c r="BP10" s="304"/>
      <c r="BQ10" s="304"/>
      <c r="BR10" s="304"/>
    </row>
    <row r="11" spans="1:70" ht="12" customHeight="1" x14ac:dyDescent="0.2">
      <c r="A11" s="394" t="s">
        <v>266</v>
      </c>
      <c r="B11" s="395">
        <v>118</v>
      </c>
      <c r="C11" s="805" t="s">
        <v>454</v>
      </c>
      <c r="D11" s="805"/>
      <c r="E11" s="805"/>
      <c r="F11" s="805"/>
      <c r="G11" s="805"/>
      <c r="H11" s="805"/>
      <c r="I11" s="805"/>
      <c r="J11" s="801" t="s">
        <v>789</v>
      </c>
      <c r="K11" s="801"/>
      <c r="L11" s="805" t="s">
        <v>453</v>
      </c>
      <c r="M11" s="805"/>
      <c r="N11" s="805"/>
      <c r="O11" s="805"/>
      <c r="P11" s="805"/>
      <c r="Q11" s="805"/>
      <c r="V11" s="657" t="s">
        <v>829</v>
      </c>
      <c r="W11" s="657"/>
      <c r="X11" s="657"/>
      <c r="Y11" s="657"/>
      <c r="Z11" s="657"/>
      <c r="AA11" s="657"/>
      <c r="BN11" s="304"/>
      <c r="BO11" s="304"/>
      <c r="BP11" s="304"/>
      <c r="BQ11" s="304"/>
      <c r="BR11" s="304"/>
    </row>
    <row r="12" spans="1:70" ht="12" customHeight="1" x14ac:dyDescent="0.2">
      <c r="A12" s="394" t="s">
        <v>265</v>
      </c>
      <c r="B12" s="395">
        <v>207</v>
      </c>
      <c r="C12" s="394" t="s">
        <v>344</v>
      </c>
      <c r="D12" s="409" t="s">
        <v>452</v>
      </c>
      <c r="E12" s="409" t="s">
        <v>230</v>
      </c>
      <c r="F12" s="409" t="s">
        <v>787</v>
      </c>
      <c r="G12" s="409" t="s">
        <v>451</v>
      </c>
      <c r="H12" s="409" t="s">
        <v>33</v>
      </c>
      <c r="I12" s="409" t="s">
        <v>450</v>
      </c>
      <c r="J12" s="615" t="s">
        <v>460</v>
      </c>
      <c r="K12" s="615" t="s">
        <v>809</v>
      </c>
      <c r="L12" s="803" t="s">
        <v>449</v>
      </c>
      <c r="M12" s="803"/>
      <c r="N12" s="409" t="s">
        <v>448</v>
      </c>
      <c r="O12" s="409" t="s">
        <v>447</v>
      </c>
      <c r="P12" s="409" t="s">
        <v>446</v>
      </c>
      <c r="Q12" s="409" t="s">
        <v>445</v>
      </c>
      <c r="V12" s="657" t="s">
        <v>159</v>
      </c>
      <c r="W12" s="657"/>
      <c r="X12" s="657"/>
      <c r="Y12" s="657"/>
      <c r="Z12" s="657"/>
      <c r="AA12" s="657"/>
      <c r="BN12" s="304"/>
      <c r="BO12" s="304"/>
      <c r="BP12" s="304"/>
      <c r="BQ12" s="304"/>
      <c r="BR12" s="304"/>
    </row>
    <row r="13" spans="1:70" x14ac:dyDescent="0.2">
      <c r="A13" s="394" t="s">
        <v>196</v>
      </c>
      <c r="B13" s="395">
        <v>45</v>
      </c>
      <c r="C13" s="394" t="s">
        <v>0</v>
      </c>
      <c r="D13" s="395">
        <v>3</v>
      </c>
      <c r="E13" s="395">
        <v>14</v>
      </c>
      <c r="F13" s="423">
        <f>IF(I4&lt;0,1,I4)</f>
        <v>124.66908000000001</v>
      </c>
      <c r="G13" s="418">
        <f t="shared" ref="G13:G18" si="3">H13-F13/2</f>
        <v>281.66546</v>
      </c>
      <c r="H13" s="424">
        <f>ROUNDUP(Calculations!B7,0)</f>
        <v>344</v>
      </c>
      <c r="I13" s="612">
        <f t="shared" ref="I13:I18" si="4">H13+F13/2</f>
        <v>406.33454</v>
      </c>
      <c r="J13" s="620">
        <f>J14</f>
        <v>-9</v>
      </c>
      <c r="K13" s="613">
        <f>K14</f>
        <v>-4.5</v>
      </c>
      <c r="L13" s="803" t="s">
        <v>225</v>
      </c>
      <c r="M13" s="803"/>
      <c r="N13" s="625" t="s">
        <v>248</v>
      </c>
      <c r="O13" s="623" t="s">
        <v>143</v>
      </c>
      <c r="P13" s="395" t="s">
        <v>250</v>
      </c>
      <c r="Q13" s="395" t="s">
        <v>444</v>
      </c>
      <c r="V13" s="658" t="s">
        <v>156</v>
      </c>
      <c r="W13" s="657"/>
      <c r="X13" s="657"/>
      <c r="Y13" s="657"/>
      <c r="Z13" s="657"/>
      <c r="AA13" s="657"/>
      <c r="BN13" s="304"/>
      <c r="BO13" s="304"/>
      <c r="BP13" s="304"/>
      <c r="BQ13" s="304"/>
      <c r="BR13" s="304"/>
    </row>
    <row r="14" spans="1:70" x14ac:dyDescent="0.2">
      <c r="A14" s="394" t="s">
        <v>10</v>
      </c>
      <c r="B14" s="395">
        <v>22</v>
      </c>
      <c r="C14" s="394" t="s">
        <v>1</v>
      </c>
      <c r="D14" s="395">
        <v>3</v>
      </c>
      <c r="E14" s="395">
        <v>15</v>
      </c>
      <c r="F14" s="423">
        <f>IF(I4&lt;0,1,I4)</f>
        <v>124.66908000000001</v>
      </c>
      <c r="G14" s="418">
        <f t="shared" si="3"/>
        <v>281.66546</v>
      </c>
      <c r="H14" s="424">
        <f>H13</f>
        <v>344</v>
      </c>
      <c r="I14" s="418">
        <f t="shared" si="4"/>
        <v>406.33454</v>
      </c>
      <c r="J14" s="621">
        <f>ROUNDUP(IF(AND($B$2="Wet",$B$4="Wet"),($B$5-$B$3)*('Raw Data'!$B92+'Raw Data'!$R92),IF(AND('Setup Tool'!$B$2="Wet",'Setup Tool'!$B$4="Dry"),-('Raw Data'!$S92+('Raw Data'!$R92)*('Setup Tool'!$B$3)-($B$5-$B$3)*('Raw Data'!$B92)),IF(AND('Setup Tool'!$B$2="Dry",'Setup Tool'!$B$4="Wet"),('Raw Data'!$S92+('Raw Data'!$R92)*('Setup Tool'!$B$3)+($B$5-$B$3)*('Raw Data'!$B92+'Raw Data'!$R92)),('Setup Tool'!$B$5-'Setup Tool'!$B$3)*'Raw Data'!$B92))),0)</f>
        <v>-9</v>
      </c>
      <c r="K14" s="628">
        <f>IF(AND($B$2="Wet",$B$6="Wet"),($B$7-$B$3)*('Raw Data'!$B92+'Raw Data'!$R92),IF(AND('Setup Tool'!$B$2="Wet",'Setup Tool'!$B$6="Dry"),-('Raw Data'!$S92+('Raw Data'!$R92)*('Setup Tool'!$B$3)-($B$7-$B$3)*('Raw Data'!$B92)),IF(AND('Setup Tool'!$B$2="Dry",'Setup Tool'!$B$6="Wet"),('Raw Data'!$S92+('Raw Data'!$R92)*('Setup Tool'!$B$3)+($B$7-$B$3)*('Raw Data'!$B92+'Raw Data'!$R92)),('Setup Tool'!$B$7-'Setup Tool'!$B$3)*'Raw Data'!$B92)))</f>
        <v>-4.5</v>
      </c>
      <c r="L14" s="803" t="s">
        <v>443</v>
      </c>
      <c r="M14" s="803"/>
      <c r="N14" s="626">
        <f>'Strategy Calcs'!G7</f>
        <v>341.51</v>
      </c>
      <c r="O14" s="624">
        <f>'Strategy Calcs'!I7</f>
        <v>291.33</v>
      </c>
      <c r="P14" s="424">
        <f>'Strategy Calcs'!K7</f>
        <v>284.38</v>
      </c>
      <c r="Q14" s="424">
        <f>'Strategy Calcs'!M7</f>
        <v>306.15999999999997</v>
      </c>
      <c r="V14" s="657" t="s">
        <v>54</v>
      </c>
      <c r="W14" s="657"/>
      <c r="X14" s="657"/>
      <c r="Y14" s="657"/>
      <c r="Z14" s="657"/>
      <c r="AA14" s="657"/>
      <c r="BN14" s="304"/>
      <c r="BO14" s="304"/>
      <c r="BP14" s="304"/>
      <c r="BQ14" s="304"/>
      <c r="BR14" s="304"/>
    </row>
    <row r="15" spans="1:70" x14ac:dyDescent="0.2">
      <c r="A15" s="394" t="s">
        <v>9</v>
      </c>
      <c r="B15" s="395">
        <v>27</v>
      </c>
      <c r="C15" s="394" t="s">
        <v>2</v>
      </c>
      <c r="D15" s="395">
        <v>3</v>
      </c>
      <c r="E15" s="395">
        <v>33</v>
      </c>
      <c r="F15" s="423">
        <f>IF(I5&lt;0,1,I5)</f>
        <v>124.66908000000001</v>
      </c>
      <c r="G15" s="418">
        <f t="shared" si="3"/>
        <v>667.66545999999994</v>
      </c>
      <c r="H15" s="424">
        <f>ROUNDUP(Calculations!B8,0)</f>
        <v>730</v>
      </c>
      <c r="I15" s="418">
        <f t="shared" si="4"/>
        <v>792.33454000000006</v>
      </c>
      <c r="J15" s="622">
        <f>ROUNDUP(IF(AND($B$2="Wet",$B$4="Wet"),($B$5-$B$3)*('Raw Data'!$B93+'Raw Data'!$R93),IF(AND('Setup Tool'!$B$2="Wet",'Setup Tool'!$B$4="Dry"),-('Raw Data'!$S93+('Raw Data'!$R93)*('Setup Tool'!$B$3)-($B$5-$B$3)*('Raw Data'!$B93)),IF(AND('Setup Tool'!$B$2="Dry",'Setup Tool'!$B$4="Wet"),('Raw Data'!$S93+('Raw Data'!$R93)*('Setup Tool'!$B$3)+($B$5-$B$3)*('Raw Data'!$B93+'Raw Data'!$R93)),('Setup Tool'!$B$5-'Setup Tool'!$B$3)*'Raw Data'!$B93))),0)</f>
        <v>8</v>
      </c>
      <c r="K15" s="628">
        <f>IF(AND($B$2="Wet",$B$6="Wet"),($B$7-$B$3)*('Raw Data'!$B93+'Raw Data'!$R93),IF(AND('Setup Tool'!$B$2="Wet",'Setup Tool'!$B$6="Dry"),-('Raw Data'!$S93+('Raw Data'!$R93)*('Setup Tool'!$B$3)-($B$7-$B$3)*('Raw Data'!$B93)),IF(AND('Setup Tool'!$B$2="Dry",'Setup Tool'!$B$6="Wet"),('Raw Data'!$S93+('Raw Data'!$R93)*('Setup Tool'!$B$3)+($B$7-$B$3)*('Raw Data'!$B93+'Raw Data'!$R93)),('Setup Tool'!$B$7-'Setup Tool'!$B$3)*'Raw Data'!$B93)))</f>
        <v>3.75</v>
      </c>
      <c r="L15" s="802" t="s">
        <v>442</v>
      </c>
      <c r="M15" s="802"/>
      <c r="N15" s="625">
        <v>36</v>
      </c>
      <c r="O15" s="304"/>
      <c r="P15" s="304"/>
      <c r="Q15" s="304"/>
      <c r="V15" s="657" t="s">
        <v>55</v>
      </c>
      <c r="W15" s="657"/>
      <c r="X15" s="657"/>
      <c r="Y15" s="657"/>
      <c r="Z15" s="657"/>
      <c r="AA15" s="657"/>
      <c r="BN15" s="304"/>
      <c r="BO15" s="304"/>
      <c r="BP15" s="304"/>
      <c r="BQ15" s="304"/>
      <c r="BR15" s="304"/>
    </row>
    <row r="16" spans="1:70" x14ac:dyDescent="0.2">
      <c r="A16" s="394" t="s">
        <v>264</v>
      </c>
      <c r="B16" s="395">
        <v>5</v>
      </c>
      <c r="C16" s="394" t="s">
        <v>3</v>
      </c>
      <c r="D16" s="395">
        <v>3</v>
      </c>
      <c r="E16" s="395">
        <v>28</v>
      </c>
      <c r="F16" s="423">
        <f>IF(I6&lt;0,1,I6)</f>
        <v>124.66908000000001</v>
      </c>
      <c r="G16" s="418">
        <f t="shared" si="3"/>
        <v>698.66545999999994</v>
      </c>
      <c r="H16" s="424">
        <f>ROUNDUP(Calculations!B9,0)</f>
        <v>761</v>
      </c>
      <c r="I16" s="418">
        <f t="shared" si="4"/>
        <v>823.33454000000006</v>
      </c>
      <c r="J16" s="622">
        <f>ROUNDUP(IF(AND($B$2="Wet",$B$4="Wet"),($B$5-$B$3)*('Raw Data'!$B94+'Raw Data'!$R94),IF(AND('Setup Tool'!$B$2="Wet",'Setup Tool'!$B$4="Dry"),-('Raw Data'!$S94+('Raw Data'!$R94)*('Setup Tool'!$B$3)-($B$5-$B$3)*('Raw Data'!$B94)),IF(AND('Setup Tool'!$B$2="Dry",'Setup Tool'!$B$4="Wet"),('Raw Data'!$S94+('Raw Data'!$R94)*('Setup Tool'!$B$3)+($B$5-$B$3)*('Raw Data'!$B94+'Raw Data'!$R94)),('Setup Tool'!$B$5-'Setup Tool'!$B$3)*'Raw Data'!$B94))),0)</f>
        <v>-12</v>
      </c>
      <c r="K16" s="628">
        <f>IF(AND($B$2="Wet",$B$6="Wet"),($B$7-$B$3)*('Raw Data'!$B94+'Raw Data'!$R94),IF(AND('Setup Tool'!$B$2="Wet",'Setup Tool'!$B$6="Dry"),-('Raw Data'!$S94+('Raw Data'!$R94)*('Setup Tool'!$B$3)-($B$7-$B$3)*('Raw Data'!$B94)),IF(AND('Setup Tool'!$B$2="Dry",'Setup Tool'!$B$6="Wet"),('Raw Data'!$S94+('Raw Data'!$R94)*('Setup Tool'!$B$3)+($B$7-$B$3)*('Raw Data'!$B94+'Raw Data'!$R94)),('Setup Tool'!$B$7-'Setup Tool'!$B$3)*'Raw Data'!$B94)))</f>
        <v>-5.9</v>
      </c>
      <c r="L16" s="804" t="s">
        <v>441</v>
      </c>
      <c r="M16" s="804"/>
      <c r="N16" s="627"/>
      <c r="O16" s="304"/>
      <c r="P16" s="304"/>
      <c r="Q16" s="304"/>
      <c r="V16" s="657" t="s">
        <v>56</v>
      </c>
      <c r="W16" s="657"/>
      <c r="X16" s="657"/>
      <c r="Y16" s="657"/>
      <c r="Z16" s="657"/>
      <c r="AA16" s="657"/>
      <c r="BN16" s="304"/>
      <c r="BO16" s="304"/>
      <c r="BP16" s="304"/>
      <c r="BQ16" s="304"/>
      <c r="BR16" s="304"/>
    </row>
    <row r="17" spans="1:70" x14ac:dyDescent="0.2">
      <c r="A17" s="394" t="s">
        <v>440</v>
      </c>
      <c r="B17" s="395">
        <v>76</v>
      </c>
      <c r="C17" s="394" t="s">
        <v>295</v>
      </c>
      <c r="D17" s="395">
        <v>3</v>
      </c>
      <c r="E17" s="395">
        <v>24</v>
      </c>
      <c r="F17" s="423">
        <f>IF(I7&lt;0,1,I7)</f>
        <v>124.66908000000001</v>
      </c>
      <c r="G17" s="418">
        <f t="shared" si="3"/>
        <v>448.66546</v>
      </c>
      <c r="H17" s="424">
        <f>ROUNDUP(Calculations!B10,0)</f>
        <v>511</v>
      </c>
      <c r="I17" s="418">
        <f t="shared" si="4"/>
        <v>573.33454000000006</v>
      </c>
      <c r="J17" s="622">
        <f>ROUNDUP(IF(AND($B$2="Wet",$B$4="Wet"),($B$5-$B$3)*('Raw Data'!$B95+'Raw Data'!$R95),IF(AND('Setup Tool'!$B$2="Wet",'Setup Tool'!$B$4="Dry"),-('Raw Data'!$S95+('Raw Data'!$R95)*('Setup Tool'!$B$3)-($B$5-$B$3)*('Raw Data'!$B95)),IF(AND('Setup Tool'!$B$2="Dry",'Setup Tool'!$B$4="Wet"),('Raw Data'!$S95+('Raw Data'!$R95)*('Setup Tool'!$B$3)+($B$5-$B$3)*('Raw Data'!$B95+'Raw Data'!$R95)),('Setup Tool'!$B$5-'Setup Tool'!$B$3)*'Raw Data'!$B95))),0)</f>
        <v>9</v>
      </c>
      <c r="K17" s="628">
        <f>IF(AND($B$2="Wet",$B$6="Wet"),($B$7-$B$3)*('Raw Data'!$B95+'Raw Data'!$R95),IF(AND('Setup Tool'!$B$2="Wet",'Setup Tool'!$B$6="Dry"),-('Raw Data'!$S95+('Raw Data'!$R95)*('Setup Tool'!$B$3)-($B$7-$B$3)*('Raw Data'!$B95)),IF(AND('Setup Tool'!$B$2="Dry",'Setup Tool'!$B$6="Wet"),('Raw Data'!$S95+('Raw Data'!$R95)*('Setup Tool'!$B$3)+($B$7-$B$3)*('Raw Data'!$B95+'Raw Data'!$R95)),('Setup Tool'!$B$7-'Setup Tool'!$B$3)*'Raw Data'!$B95)))</f>
        <v>4.2</v>
      </c>
      <c r="L17" s="802" t="s">
        <v>439</v>
      </c>
      <c r="M17" s="802"/>
      <c r="N17" s="625">
        <v>27</v>
      </c>
      <c r="O17" s="304"/>
      <c r="P17" s="304"/>
      <c r="Q17" s="304"/>
      <c r="V17" s="657" t="s">
        <v>57</v>
      </c>
      <c r="W17" s="657"/>
      <c r="X17" s="657"/>
      <c r="Y17" s="657"/>
      <c r="Z17" s="657"/>
      <c r="AA17" s="657"/>
      <c r="BN17" s="304"/>
      <c r="BO17" s="304"/>
      <c r="BP17" s="304"/>
      <c r="BQ17" s="304"/>
      <c r="BR17" s="304"/>
    </row>
    <row r="18" spans="1:70" x14ac:dyDescent="0.2">
      <c r="A18" s="802" t="s">
        <v>438</v>
      </c>
      <c r="B18" s="802"/>
      <c r="C18" s="394" t="s">
        <v>5</v>
      </c>
      <c r="D18" s="395">
        <v>3</v>
      </c>
      <c r="E18" s="395">
        <v>18</v>
      </c>
      <c r="F18" s="423">
        <f>IF(I8&lt;0,1,I8)</f>
        <v>124.66908000000001</v>
      </c>
      <c r="G18" s="418">
        <f t="shared" si="3"/>
        <v>153.66546</v>
      </c>
      <c r="H18" s="424">
        <f>ROUNDUP(Calculations!B11,0)</f>
        <v>216</v>
      </c>
      <c r="I18" s="418">
        <f t="shared" si="4"/>
        <v>278.33454</v>
      </c>
      <c r="J18" s="622">
        <f>ROUNDUP(IF(AND($B$2="Wet",$B$4="Wet"),($B$5-$B$3)*('Raw Data'!$B96+'Raw Data'!$R96),IF(AND('Setup Tool'!$B$2="Wet",'Setup Tool'!$B$4="Dry"),-('Raw Data'!$S96+('Raw Data'!$R96)*('Setup Tool'!$B$3)-($B$5-$B$3)*('Raw Data'!$B96)),IF(AND('Setup Tool'!$B$2="Dry",'Setup Tool'!$B$4="Wet"),('Raw Data'!$S96+('Raw Data'!$R96)*('Setup Tool'!$B$3)+($B$5-$B$3)*('Raw Data'!$B96+'Raw Data'!$R96)),('Setup Tool'!$B$5-'Setup Tool'!$B$3)*'Raw Data'!$B96))),0)</f>
        <v>12</v>
      </c>
      <c r="K18" s="628">
        <f>IF(AND($B$2="Wet",$B$6="Wet"),($B$7-$B$3)*('Raw Data'!$B96+'Raw Data'!$R96),IF(AND('Setup Tool'!$B$2="Wet",'Setup Tool'!$B$6="Dry"),-('Raw Data'!$S96+('Raw Data'!$R96)*('Setup Tool'!$B$3)-($B$7-$B$3)*('Raw Data'!$B96)),IF(AND('Setup Tool'!$B$2="Dry",'Setup Tool'!$B$6="Wet"),('Raw Data'!$S96+('Raw Data'!$R96)*('Setup Tool'!$B$3)+($B$7-$B$3)*('Raw Data'!$B96+'Raw Data'!$R96)),('Setup Tool'!$B$7-'Setup Tool'!$B$3)*'Raw Data'!$B96)))</f>
        <v>6</v>
      </c>
      <c r="L18" s="802" t="s">
        <v>437</v>
      </c>
      <c r="M18" s="802"/>
      <c r="N18" s="625">
        <v>88</v>
      </c>
      <c r="O18" s="304"/>
      <c r="P18" s="304"/>
      <c r="Q18" s="304"/>
      <c r="V18" s="657" t="s">
        <v>834</v>
      </c>
      <c r="W18" s="657"/>
      <c r="X18" s="657"/>
      <c r="Y18" s="657"/>
      <c r="Z18" s="657"/>
      <c r="AA18" s="657"/>
      <c r="BN18" s="304"/>
      <c r="BO18" s="304"/>
      <c r="BP18" s="304"/>
      <c r="BQ18" s="304"/>
      <c r="BR18" s="304"/>
    </row>
    <row r="19" spans="1:70" ht="12" customHeight="1" x14ac:dyDescent="0.2">
      <c r="A19" s="394" t="s">
        <v>10</v>
      </c>
      <c r="B19" s="396">
        <v>0</v>
      </c>
      <c r="C19" s="394" t="s">
        <v>299</v>
      </c>
      <c r="D19" s="395">
        <v>3</v>
      </c>
      <c r="E19" s="602"/>
      <c r="F19" s="602"/>
      <c r="G19" s="602"/>
      <c r="H19" s="610"/>
      <c r="I19" s="610"/>
      <c r="J19" s="784" t="s">
        <v>791</v>
      </c>
      <c r="K19" s="784"/>
      <c r="L19" s="802" t="s">
        <v>436</v>
      </c>
      <c r="M19" s="802"/>
      <c r="N19" s="625">
        <v>14.8</v>
      </c>
      <c r="O19" s="304"/>
      <c r="P19" s="304"/>
      <c r="Q19" s="304"/>
      <c r="V19" s="657" t="s">
        <v>58</v>
      </c>
      <c r="W19" s="657"/>
      <c r="X19" s="657"/>
      <c r="Y19" s="657"/>
      <c r="Z19" s="657"/>
      <c r="AA19" s="657"/>
      <c r="BN19" s="304"/>
      <c r="BO19" s="304"/>
      <c r="BP19" s="304"/>
      <c r="BQ19" s="304"/>
      <c r="BR19" s="304"/>
    </row>
    <row r="20" spans="1:70" x14ac:dyDescent="0.2">
      <c r="A20" s="394" t="s">
        <v>435</v>
      </c>
      <c r="B20" s="396">
        <v>0</v>
      </c>
      <c r="C20" s="394" t="s">
        <v>298</v>
      </c>
      <c r="D20" s="395">
        <v>3</v>
      </c>
      <c r="E20" s="611"/>
      <c r="F20" s="785" t="s">
        <v>802</v>
      </c>
      <c r="G20" s="785"/>
      <c r="H20" s="785"/>
      <c r="I20" s="610"/>
      <c r="J20" s="784"/>
      <c r="K20" s="784"/>
      <c r="L20" s="802" t="s">
        <v>434</v>
      </c>
      <c r="M20" s="802"/>
      <c r="N20" s="625">
        <v>14.6</v>
      </c>
      <c r="O20" s="304"/>
      <c r="P20" s="304"/>
      <c r="Q20" s="304"/>
      <c r="V20" s="657" t="s">
        <v>59</v>
      </c>
      <c r="W20" s="657"/>
      <c r="X20" s="657"/>
      <c r="Y20" s="657"/>
      <c r="Z20" s="657"/>
      <c r="AA20" s="657"/>
      <c r="BN20" s="304"/>
      <c r="BO20" s="304"/>
      <c r="BP20" s="304"/>
      <c r="BQ20" s="304"/>
      <c r="BR20" s="304"/>
    </row>
    <row r="21" spans="1:70" x14ac:dyDescent="0.2">
      <c r="A21" s="394" t="s">
        <v>433</v>
      </c>
      <c r="B21" s="396">
        <v>0</v>
      </c>
      <c r="C21" s="394" t="s">
        <v>296</v>
      </c>
      <c r="D21" s="395">
        <v>3</v>
      </c>
      <c r="E21" s="611"/>
      <c r="F21" s="785"/>
      <c r="G21" s="785"/>
      <c r="H21" s="785"/>
      <c r="I21" s="610"/>
      <c r="J21" s="784"/>
      <c r="K21" s="784"/>
      <c r="L21" s="803" t="s">
        <v>432</v>
      </c>
      <c r="M21" s="803"/>
      <c r="N21" s="625">
        <v>22</v>
      </c>
      <c r="O21" s="304"/>
      <c r="P21" s="304"/>
      <c r="Q21" s="304"/>
      <c r="V21" s="657" t="s">
        <v>60</v>
      </c>
      <c r="W21" s="657"/>
      <c r="X21" s="657"/>
      <c r="Y21" s="657"/>
      <c r="Z21" s="657"/>
      <c r="AA21" s="657"/>
      <c r="BN21" s="304"/>
      <c r="BO21" s="304"/>
      <c r="BP21" s="304"/>
      <c r="BQ21" s="304"/>
      <c r="BR21" s="304"/>
    </row>
    <row r="22" spans="1:70" x14ac:dyDescent="0.2">
      <c r="A22" s="394" t="s">
        <v>431</v>
      </c>
      <c r="B22" s="396">
        <v>0</v>
      </c>
      <c r="C22" s="394" t="s">
        <v>294</v>
      </c>
      <c r="D22" s="395">
        <v>3</v>
      </c>
      <c r="E22" s="611"/>
      <c r="F22" s="602"/>
      <c r="G22" s="602"/>
      <c r="H22" s="610"/>
      <c r="I22" s="610"/>
      <c r="J22" s="630"/>
      <c r="K22" s="630"/>
      <c r="L22" s="803" t="s">
        <v>430</v>
      </c>
      <c r="M22" s="803"/>
      <c r="N22" s="625">
        <v>23</v>
      </c>
      <c r="O22" s="304"/>
      <c r="P22" s="304"/>
      <c r="Q22" s="304"/>
      <c r="V22" s="657" t="s">
        <v>61</v>
      </c>
      <c r="W22" s="657"/>
      <c r="X22" s="657"/>
      <c r="Y22" s="657"/>
      <c r="Z22" s="657"/>
      <c r="AA22" s="657"/>
      <c r="BN22" s="304"/>
      <c r="BO22" s="304"/>
      <c r="BP22" s="304"/>
      <c r="BQ22" s="304"/>
      <c r="BR22" s="304"/>
    </row>
    <row r="23" spans="1:70" ht="12" customHeight="1" x14ac:dyDescent="0.25">
      <c r="A23" s="808" t="s">
        <v>794</v>
      </c>
      <c r="B23" s="808"/>
      <c r="C23" s="808"/>
      <c r="D23" s="808"/>
      <c r="E23" s="808"/>
      <c r="F23" s="808"/>
      <c r="G23" s="808"/>
      <c r="H23" s="808"/>
      <c r="I23" s="808"/>
      <c r="J23" s="808"/>
      <c r="K23" s="629"/>
      <c r="L23" s="629"/>
      <c r="M23" s="304"/>
      <c r="N23" s="304"/>
      <c r="O23" s="304"/>
      <c r="P23" s="304"/>
      <c r="Q23" s="304"/>
      <c r="V23" s="658" t="s">
        <v>256</v>
      </c>
      <c r="W23" s="657"/>
      <c r="X23" s="657"/>
      <c r="Y23" s="657"/>
      <c r="Z23" s="657"/>
      <c r="AA23" s="657"/>
      <c r="BN23" s="304"/>
      <c r="BO23" s="304"/>
      <c r="BP23" s="304"/>
      <c r="BQ23" s="304"/>
      <c r="BR23" s="304"/>
    </row>
    <row r="24" spans="1:70" ht="12" customHeight="1" x14ac:dyDescent="0.25">
      <c r="A24" s="394" t="s">
        <v>218</v>
      </c>
      <c r="B24" s="424">
        <f>VLOOKUP(B1,'Raw Data'!A1:Q82,3,FALSE)</f>
        <v>70</v>
      </c>
      <c r="C24" s="409" t="s">
        <v>243</v>
      </c>
      <c r="D24" s="409" t="s">
        <v>242</v>
      </c>
      <c r="E24" s="409" t="s">
        <v>241</v>
      </c>
      <c r="F24" s="409" t="s">
        <v>240</v>
      </c>
      <c r="G24" s="409" t="s">
        <v>237</v>
      </c>
      <c r="H24" s="634"/>
      <c r="I24" s="634"/>
      <c r="J24" s="634"/>
      <c r="K24" s="614"/>
      <c r="L24" s="304"/>
      <c r="M24" s="806" t="s">
        <v>790</v>
      </c>
      <c r="N24" s="806"/>
      <c r="O24" s="806"/>
      <c r="P24" s="806"/>
      <c r="Q24" s="806"/>
      <c r="V24" s="657" t="s">
        <v>62</v>
      </c>
      <c r="W24" s="657"/>
      <c r="X24" s="657"/>
      <c r="Y24" s="657"/>
      <c r="Z24" s="657"/>
      <c r="AA24" s="657"/>
      <c r="BN24" s="304"/>
      <c r="BO24" s="304"/>
      <c r="BP24" s="304"/>
      <c r="BQ24" s="304"/>
      <c r="BR24" s="304"/>
    </row>
    <row r="25" spans="1:70" ht="12" customHeight="1" x14ac:dyDescent="0.2">
      <c r="A25" s="394" t="s">
        <v>429</v>
      </c>
      <c r="B25" s="424">
        <f>Calculations!B2</f>
        <v>235</v>
      </c>
      <c r="C25" s="395">
        <v>23</v>
      </c>
      <c r="D25" s="395">
        <v>24</v>
      </c>
      <c r="E25" s="395">
        <v>24</v>
      </c>
      <c r="F25" s="395"/>
      <c r="G25" s="431">
        <f>IF(SUM($C$25:$F$25)=$B$24,"Yes",$B$24-SUM($C$25:$F$25))</f>
        <v>-1</v>
      </c>
      <c r="H25" s="414"/>
      <c r="I25" s="642" t="s">
        <v>426</v>
      </c>
      <c r="J25" s="642" t="s">
        <v>425</v>
      </c>
      <c r="K25" s="642" t="s">
        <v>424</v>
      </c>
      <c r="L25" s="641" t="s">
        <v>423</v>
      </c>
      <c r="M25" s="412" t="s">
        <v>422</v>
      </c>
      <c r="N25" s="636">
        <v>24</v>
      </c>
      <c r="O25" s="786" t="s">
        <v>799</v>
      </c>
      <c r="P25" s="787"/>
      <c r="Q25" s="787"/>
      <c r="V25" s="657" t="s">
        <v>125</v>
      </c>
      <c r="W25" s="657"/>
      <c r="X25" s="657"/>
      <c r="Y25" s="657"/>
      <c r="Z25" s="657"/>
      <c r="AA25" s="657"/>
      <c r="BN25" s="304"/>
      <c r="BO25" s="304"/>
      <c r="BP25" s="304"/>
      <c r="BQ25" s="304"/>
      <c r="BR25" s="304"/>
    </row>
    <row r="26" spans="1:70" ht="12" customHeight="1" x14ac:dyDescent="0.2">
      <c r="A26" s="394" t="s">
        <v>428</v>
      </c>
      <c r="B26" s="429">
        <f>B25/B24</f>
        <v>3.3571428571428572</v>
      </c>
      <c r="C26" s="427">
        <f>(ROUNDUP($B$26*C25,0))</f>
        <v>78</v>
      </c>
      <c r="D26" s="427">
        <f>(ROUNDUP($B$26*D25,0))</f>
        <v>81</v>
      </c>
      <c r="E26" s="427">
        <f>(ROUNDUP($B$26*E25,0))</f>
        <v>81</v>
      </c>
      <c r="F26" s="427">
        <f>(ROUNDUP($B$26*F25,0))</f>
        <v>0</v>
      </c>
      <c r="G26" s="631" t="s">
        <v>795</v>
      </c>
      <c r="H26" s="601" t="s">
        <v>420</v>
      </c>
      <c r="I26" s="798" t="s">
        <v>419</v>
      </c>
      <c r="J26" s="799"/>
      <c r="K26" s="799"/>
      <c r="L26" s="800"/>
      <c r="M26" s="394"/>
      <c r="N26" s="617" t="s">
        <v>418</v>
      </c>
      <c r="O26" s="616"/>
      <c r="P26" s="616"/>
      <c r="Q26" s="635"/>
      <c r="V26" s="657" t="s">
        <v>63</v>
      </c>
      <c r="W26" s="657"/>
      <c r="X26" s="657"/>
      <c r="Y26" s="657"/>
      <c r="Z26" s="657"/>
      <c r="AA26" s="657"/>
      <c r="BN26" s="304"/>
      <c r="BO26" s="304"/>
      <c r="BP26" s="304"/>
      <c r="BQ26" s="304"/>
      <c r="BR26" s="304"/>
    </row>
    <row r="27" spans="1:70" ht="12" customHeight="1" x14ac:dyDescent="0.2">
      <c r="A27" s="394" t="s">
        <v>427</v>
      </c>
      <c r="B27" s="430">
        <f>Calculations!B3</f>
        <v>0.20890799999999998</v>
      </c>
      <c r="C27" s="402">
        <f>(ROUNDUP(C26*0.85,0))</f>
        <v>67</v>
      </c>
      <c r="D27" s="402">
        <f>(ROUNDUP(D26*0.85,0))</f>
        <v>69</v>
      </c>
      <c r="E27" s="402">
        <f>(ROUNDUP(E26*0.85,0))</f>
        <v>69</v>
      </c>
      <c r="F27" s="632">
        <f>(ROUNDUP(F26*0.85,0))</f>
        <v>0</v>
      </c>
      <c r="G27" s="633" t="s">
        <v>796</v>
      </c>
      <c r="H27" s="793">
        <f>B24</f>
        <v>70</v>
      </c>
      <c r="I27" s="435">
        <v>2</v>
      </c>
      <c r="J27" s="435">
        <v>3</v>
      </c>
      <c r="K27" s="435">
        <v>4</v>
      </c>
      <c r="L27" s="435">
        <v>5</v>
      </c>
      <c r="M27" s="415" t="str">
        <f>'Strategy Calcs'!A134</f>
        <v># stops</v>
      </c>
      <c r="N27" s="444" t="str">
        <f>'Strategy Calcs'!B134</f>
        <v>E Soft</v>
      </c>
      <c r="O27" s="444" t="str">
        <f>'Strategy Calcs'!C134</f>
        <v>Soft</v>
      </c>
      <c r="P27" s="444" t="str">
        <f>'Strategy Calcs'!D134</f>
        <v>Med</v>
      </c>
      <c r="Q27" s="444" t="str">
        <f>'Strategy Calcs'!E134</f>
        <v>Hard</v>
      </c>
      <c r="V27" s="657" t="s">
        <v>870</v>
      </c>
      <c r="W27" s="657"/>
      <c r="X27" s="657"/>
      <c r="Y27" s="657"/>
      <c r="Z27" s="657"/>
      <c r="AA27" s="657"/>
      <c r="BN27" s="304"/>
      <c r="BO27" s="304"/>
      <c r="BP27" s="304"/>
      <c r="BQ27" s="304"/>
      <c r="BR27" s="304"/>
    </row>
    <row r="28" spans="1:70" ht="12" customHeight="1" thickBot="1" x14ac:dyDescent="0.25">
      <c r="A28" s="394" t="s">
        <v>421</v>
      </c>
      <c r="B28" s="430">
        <f>Calculations!B4</f>
        <v>0.22383</v>
      </c>
      <c r="C28" s="602"/>
      <c r="D28" s="602"/>
      <c r="E28" s="600" t="s">
        <v>797</v>
      </c>
      <c r="F28" s="600"/>
      <c r="G28" s="600"/>
      <c r="H28" s="794"/>
      <c r="I28" s="436">
        <f>SUM(H27/I27)</f>
        <v>35</v>
      </c>
      <c r="J28" s="436">
        <f>SUM(H27/J27)</f>
        <v>23.333333333333332</v>
      </c>
      <c r="K28" s="436">
        <f>SUM(H27/K27)</f>
        <v>17.5</v>
      </c>
      <c r="L28" s="436">
        <f>SUM(H27/L27)</f>
        <v>14</v>
      </c>
      <c r="M28" s="415" t="str">
        <f>'Strategy Calcs'!A135</f>
        <v>1 Stop</v>
      </c>
      <c r="N28" s="442">
        <f ca="1">'Strategy Calcs'!B135</f>
        <v>86.345257360053751</v>
      </c>
      <c r="O28" s="442">
        <f ca="1">'Strategy Calcs'!C135</f>
        <v>71.199427360053761</v>
      </c>
      <c r="P28" s="442">
        <f ca="1">'Strategy Calcs'!D135</f>
        <v>56.053597360053757</v>
      </c>
      <c r="Q28" s="442">
        <f ca="1">'Strategy Calcs'!E135</f>
        <v>40.907767360053754</v>
      </c>
      <c r="V28" s="657" t="s">
        <v>64</v>
      </c>
      <c r="W28" s="657"/>
      <c r="X28" s="657"/>
      <c r="Y28" s="657"/>
      <c r="Z28" s="657"/>
      <c r="AA28" s="657"/>
      <c r="BN28" s="304"/>
      <c r="BO28" s="304"/>
      <c r="BP28" s="304"/>
      <c r="BQ28" s="304"/>
      <c r="BR28" s="304"/>
    </row>
    <row r="29" spans="1:70" ht="12" customHeight="1" thickBot="1" x14ac:dyDescent="0.25">
      <c r="A29" s="394" t="s">
        <v>228</v>
      </c>
      <c r="B29" s="637">
        <f>Calculations!B5</f>
        <v>0.21636900000000001</v>
      </c>
      <c r="C29" s="640" t="s">
        <v>167</v>
      </c>
      <c r="D29" s="638">
        <f>B27/(50-B3)</f>
        <v>7.4609999999999998E-3</v>
      </c>
      <c r="E29" s="609"/>
      <c r="F29" s="602"/>
      <c r="G29" s="609"/>
      <c r="H29" s="413" t="s">
        <v>416</v>
      </c>
      <c r="I29" s="413" t="s">
        <v>415</v>
      </c>
      <c r="J29" s="413" t="s">
        <v>415</v>
      </c>
      <c r="K29" s="413" t="s">
        <v>415</v>
      </c>
      <c r="L29" s="413" t="s">
        <v>415</v>
      </c>
      <c r="M29" s="415" t="str">
        <f>'Strategy Calcs'!A136</f>
        <v>2 Stop</v>
      </c>
      <c r="N29" s="442">
        <f ca="1">'Strategy Calcs'!B136</f>
        <v>71.573412453351239</v>
      </c>
      <c r="O29" s="442">
        <f ca="1">'Strategy Calcs'!C136</f>
        <v>56.427582453351249</v>
      </c>
      <c r="P29" s="442">
        <f ca="1">'Strategy Calcs'!D136</f>
        <v>41.281752453351245</v>
      </c>
      <c r="Q29" s="442">
        <f ca="1">'Strategy Calcs'!E136</f>
        <v>26.135922453351242</v>
      </c>
      <c r="V29" s="657" t="s">
        <v>837</v>
      </c>
      <c r="W29" s="657"/>
      <c r="X29" s="657"/>
      <c r="Y29" s="657"/>
      <c r="Z29" s="657"/>
      <c r="AA29" s="657"/>
      <c r="BN29" s="304"/>
      <c r="BO29" s="304"/>
      <c r="BP29" s="304"/>
      <c r="BQ29" s="304"/>
      <c r="BR29" s="304"/>
    </row>
    <row r="30" spans="1:70" ht="12" customHeight="1" thickBot="1" x14ac:dyDescent="0.25">
      <c r="A30" s="406" t="s">
        <v>133</v>
      </c>
      <c r="B30" s="406" t="s">
        <v>407</v>
      </c>
      <c r="C30" s="639" t="s">
        <v>226</v>
      </c>
      <c r="D30" s="406" t="s">
        <v>406</v>
      </c>
      <c r="E30" s="406" t="s">
        <v>405</v>
      </c>
      <c r="F30" s="407" t="s">
        <v>404</v>
      </c>
      <c r="G30" s="408" t="s">
        <v>417</v>
      </c>
      <c r="H30" s="795">
        <f>VLOOKUP(B1,'Raw Data'!A1:R59,18,TRUE)</f>
        <v>4.0259999999999998</v>
      </c>
      <c r="I30" s="437">
        <f>ROUNDUP(I28,0)</f>
        <v>35</v>
      </c>
      <c r="J30" s="437">
        <f>ROUNDUP(J28,0)</f>
        <v>24</v>
      </c>
      <c r="K30" s="437">
        <f>ROUNDUP(K28,0)</f>
        <v>18</v>
      </c>
      <c r="L30" s="437">
        <f>ROUNDUP(L28,0)</f>
        <v>14</v>
      </c>
      <c r="M30" s="415" t="str">
        <f>'Strategy Calcs'!A137</f>
        <v>3 Stop</v>
      </c>
      <c r="N30" s="442">
        <f ca="1">'Strategy Calcs'!B137</f>
        <v>45.437489999999997</v>
      </c>
      <c r="O30" s="442">
        <f ca="1">'Strategy Calcs'!C137</f>
        <v>30.291660000000007</v>
      </c>
      <c r="P30" s="442">
        <f ca="1">'Strategy Calcs'!D137</f>
        <v>15.145829999999989</v>
      </c>
      <c r="Q30" s="442">
        <v>0</v>
      </c>
      <c r="V30" s="658" t="s">
        <v>245</v>
      </c>
      <c r="W30" s="657"/>
      <c r="X30" s="657"/>
      <c r="Y30" s="657"/>
      <c r="Z30" s="657"/>
      <c r="AA30" s="657"/>
      <c r="BN30" s="304"/>
      <c r="BO30" s="304"/>
      <c r="BP30" s="304"/>
      <c r="BQ30" s="304"/>
      <c r="BR30" s="304"/>
    </row>
    <row r="31" spans="1:70" ht="12" customHeight="1" thickBot="1" x14ac:dyDescent="0.25">
      <c r="A31" s="432">
        <f>ROUNDUP(B7,0)</f>
        <v>21</v>
      </c>
      <c r="B31" s="432">
        <f>ROUNDDOWN(B8,0)</f>
        <v>30</v>
      </c>
      <c r="C31" s="432" t="str">
        <f ca="1">OFFSET('Raw Data'!A1,MATCH('Setup Tool'!B1,'Raw Data'!A2:A82,0),18)</f>
        <v>Medium</v>
      </c>
      <c r="D31" s="396" t="s">
        <v>378</v>
      </c>
      <c r="E31" s="433">
        <f ca="1">PRODUCT(A32:D32)</f>
        <v>189.92508847337433</v>
      </c>
      <c r="F31" s="396">
        <v>20</v>
      </c>
      <c r="G31" s="434">
        <f ca="1">E31-(E31*E32*F31/100)</f>
        <v>178.52958316497188</v>
      </c>
      <c r="H31" s="794"/>
      <c r="I31" s="438">
        <f>SUM(H30*I30)</f>
        <v>140.91</v>
      </c>
      <c r="J31" s="438">
        <f>SUM(H30*J30)</f>
        <v>96.623999999999995</v>
      </c>
      <c r="K31" s="438">
        <f>SUM(H30*K30)</f>
        <v>72.467999999999989</v>
      </c>
      <c r="L31" s="438">
        <f>SUM(H30*L30)</f>
        <v>56.363999999999997</v>
      </c>
      <c r="M31" s="415" t="str">
        <f>'Strategy Calcs'!A138</f>
        <v>4 Stop</v>
      </c>
      <c r="N31" s="443">
        <f ca="1">'Strategy Calcs'!B138</f>
        <v>14.755936527989235</v>
      </c>
      <c r="O31" s="443">
        <f ca="1">'Strategy Calcs'!C138</f>
        <v>-0.38989347201075475</v>
      </c>
      <c r="P31" s="443">
        <f ca="1">'Strategy Calcs'!D138</f>
        <v>-15.535723472010773</v>
      </c>
      <c r="Q31" s="443"/>
      <c r="V31" s="657" t="s">
        <v>65</v>
      </c>
      <c r="W31" s="657"/>
      <c r="X31" s="657"/>
      <c r="Y31" s="657"/>
      <c r="Z31" s="657"/>
      <c r="AA31" s="657"/>
      <c r="BN31" s="304"/>
      <c r="BO31" s="304"/>
      <c r="BP31" s="304"/>
      <c r="BQ31" s="304"/>
      <c r="BR31" s="304"/>
    </row>
    <row r="32" spans="1:70" ht="12" customHeight="1" thickBot="1" x14ac:dyDescent="0.25">
      <c r="A32" s="306">
        <f ca="1">OFFSET(A69,MATCH(A31,A70:A130,0),1)</f>
        <v>0.73149794898893694</v>
      </c>
      <c r="B32" s="306">
        <f ca="1">OFFSET(E69,MATCH(B31,E70:E170,0),1)</f>
        <v>1.0617729230784563</v>
      </c>
      <c r="C32" s="603">
        <f ca="1">OFFSET(I68,MATCH(C31,I69:I73,0),1)</f>
        <v>0.82644628099173545</v>
      </c>
      <c r="D32" s="306">
        <f ca="1">OFFSET(L68,MATCH(D31,L69:L98,0),1)</f>
        <v>295.88499999999999</v>
      </c>
      <c r="E32" s="305">
        <f ca="1">OFFSET(L68,MATCH(D31,L69:L98,0),2)</f>
        <v>0.3</v>
      </c>
      <c r="F32" s="790" t="s">
        <v>800</v>
      </c>
      <c r="G32" s="791"/>
      <c r="H32" s="792"/>
      <c r="I32" s="416">
        <f ca="1">SUM(I31/L34)</f>
        <v>0.78928095558141087</v>
      </c>
      <c r="J32" s="417">
        <f ca="1">SUM(J31/L34)</f>
        <v>0.54122122668439598</v>
      </c>
      <c r="K32" s="604">
        <f ca="1">SUM(K31/L34)</f>
        <v>0.40591592001329696</v>
      </c>
      <c r="L32" s="605">
        <f ca="1">SUM(L31/L34)</f>
        <v>0.31571238223256437</v>
      </c>
      <c r="M32" s="784" t="s">
        <v>801</v>
      </c>
      <c r="N32" s="784"/>
      <c r="O32" s="784"/>
      <c r="P32" s="784"/>
      <c r="Q32" s="784"/>
      <c r="V32" s="657" t="s">
        <v>66</v>
      </c>
      <c r="W32" s="657"/>
      <c r="X32" s="657"/>
      <c r="Y32" s="657"/>
      <c r="Z32" s="657"/>
      <c r="AA32" s="657"/>
      <c r="BN32" s="304"/>
      <c r="BO32" s="304"/>
      <c r="BP32" s="304"/>
      <c r="BQ32" s="304"/>
      <c r="BR32" s="304"/>
    </row>
    <row r="33" spans="1:70" ht="12" customHeight="1" x14ac:dyDescent="0.2">
      <c r="A33" s="410" t="s">
        <v>413</v>
      </c>
      <c r="B33" s="410" t="s">
        <v>412</v>
      </c>
      <c r="C33" s="410" t="s">
        <v>411</v>
      </c>
      <c r="D33" s="410" t="s">
        <v>410</v>
      </c>
      <c r="E33" s="410" t="s">
        <v>404</v>
      </c>
      <c r="F33" s="410" t="s">
        <v>409</v>
      </c>
      <c r="G33" s="411" t="s">
        <v>408</v>
      </c>
      <c r="H33" s="411" t="s">
        <v>407</v>
      </c>
      <c r="I33" s="411" t="s">
        <v>406</v>
      </c>
      <c r="J33" s="411" t="s">
        <v>405</v>
      </c>
      <c r="K33" s="412" t="s">
        <v>404</v>
      </c>
      <c r="L33" s="608" t="s">
        <v>788</v>
      </c>
      <c r="M33" s="784"/>
      <c r="N33" s="784"/>
      <c r="O33" s="784"/>
      <c r="P33" s="784"/>
      <c r="Q33" s="784"/>
      <c r="V33" s="657" t="s">
        <v>879</v>
      </c>
      <c r="W33" s="657"/>
      <c r="X33" s="657"/>
      <c r="Y33" s="657"/>
      <c r="Z33" s="657"/>
      <c r="AA33" s="657"/>
      <c r="BN33" s="304"/>
      <c r="BO33" s="304"/>
      <c r="BP33" s="304"/>
      <c r="BQ33" s="304"/>
      <c r="BR33" s="304"/>
    </row>
    <row r="34" spans="1:70" ht="12" customHeight="1" x14ac:dyDescent="0.2">
      <c r="A34" s="441">
        <f>A31</f>
        <v>21</v>
      </c>
      <c r="B34" s="441">
        <f>B31</f>
        <v>30</v>
      </c>
      <c r="C34" s="395" t="s">
        <v>389</v>
      </c>
      <c r="D34" s="440">
        <f ca="1">G31</f>
        <v>178.52958316497188</v>
      </c>
      <c r="E34" s="396">
        <v>50</v>
      </c>
      <c r="F34" s="439">
        <f ca="1">1/E35</f>
        <v>0.80959803599663749</v>
      </c>
      <c r="G34" s="432">
        <f>ROUNDUP(B7,0)</f>
        <v>21</v>
      </c>
      <c r="H34" s="432">
        <f>ROUNDDOWN(B8,0)</f>
        <v>30</v>
      </c>
      <c r="I34" s="396" t="s">
        <v>389</v>
      </c>
      <c r="J34" s="433">
        <f ca="1">SUM(F34*G35*H35*I35)</f>
        <v>223.16197895621488</v>
      </c>
      <c r="K34" s="606">
        <v>50</v>
      </c>
      <c r="L34" s="607">
        <f ca="1">J34-(J34*I36*K34/100)</f>
        <v>178.52958316497191</v>
      </c>
      <c r="M34" s="602"/>
      <c r="N34" s="304"/>
      <c r="O34" s="304"/>
      <c r="P34" s="304"/>
      <c r="Q34" s="304"/>
      <c r="V34" s="657" t="s">
        <v>878</v>
      </c>
      <c r="W34" s="657"/>
      <c r="X34" s="657"/>
      <c r="Y34" s="657"/>
      <c r="Z34" s="657"/>
      <c r="AA34" s="657"/>
      <c r="BN34" s="304"/>
      <c r="BO34" s="304"/>
      <c r="BP34" s="304"/>
      <c r="BQ34" s="304"/>
      <c r="BR34" s="304"/>
    </row>
    <row r="35" spans="1:70" ht="12" customHeight="1" x14ac:dyDescent="0.2">
      <c r="A35" s="657">
        <f ca="1">OFFSET(A69,MATCH(A34,A70:A130,0),1)</f>
        <v>0.73149794898893694</v>
      </c>
      <c r="B35" s="657">
        <f ca="1">OFFSET(E69,MATCH(B34,E70:E170,0),1)</f>
        <v>1.0617729230784563</v>
      </c>
      <c r="C35" s="657">
        <f ca="1">OFFSET(L68,MATCH(C34,L69:L98,0),1)</f>
        <v>354.9</v>
      </c>
      <c r="D35" s="657">
        <f ca="1">SUM(1/D36)</f>
        <v>223.16197895621485</v>
      </c>
      <c r="E35" s="657">
        <f ca="1">SUM(A35*B35*C35)/D35</f>
        <v>1.2351808620298497</v>
      </c>
      <c r="F35" s="657"/>
      <c r="G35" s="659">
        <f ca="1">OFFSET(A69,MATCH(G34,A70:A130,0),1)</f>
        <v>0.73149794898893694</v>
      </c>
      <c r="H35" s="659">
        <f ca="1">OFFSET(E69,MATCH(H34,E70:E170,0),1)</f>
        <v>1.0617729230784563</v>
      </c>
      <c r="I35" s="659">
        <f ca="1">OFFSET(L68,MATCH(I34,L69:L98,0),1)</f>
        <v>354.9</v>
      </c>
      <c r="V35" s="657" t="s">
        <v>67</v>
      </c>
      <c r="W35" s="657"/>
      <c r="X35" s="657"/>
      <c r="Y35" s="657"/>
      <c r="Z35" s="657"/>
      <c r="AA35" s="657"/>
      <c r="BN35" s="304"/>
      <c r="BO35" s="304"/>
      <c r="BP35" s="304"/>
      <c r="BQ35" s="304"/>
      <c r="BR35" s="304"/>
    </row>
    <row r="36" spans="1:70" x14ac:dyDescent="0.2">
      <c r="A36" s="657"/>
      <c r="B36" s="657"/>
      <c r="C36" s="657">
        <f ca="1">OFFSET(L68,MATCH(C34,L69:L98,0),2)</f>
        <v>0.4</v>
      </c>
      <c r="D36" s="657">
        <f ca="1">(1-(C36*(E34/100)))/D34</f>
        <v>4.4810500636230845E-3</v>
      </c>
      <c r="E36" s="657"/>
      <c r="F36" s="657"/>
      <c r="G36" s="657"/>
      <c r="H36" s="657"/>
      <c r="I36" s="660">
        <f ca="1">OFFSET(L68,MATCH(I34,L69:L98,0),2)</f>
        <v>0.4</v>
      </c>
      <c r="V36" s="657" t="s">
        <v>68</v>
      </c>
      <c r="W36" s="657"/>
      <c r="X36" s="657"/>
      <c r="Y36" s="657"/>
      <c r="Z36" s="657"/>
      <c r="AA36" s="657"/>
      <c r="BN36" s="304"/>
      <c r="BO36" s="304"/>
      <c r="BP36" s="304"/>
      <c r="BQ36" s="304"/>
      <c r="BR36" s="304"/>
    </row>
    <row r="37" spans="1:70" x14ac:dyDescent="0.2">
      <c r="V37" s="657" t="s">
        <v>69</v>
      </c>
      <c r="W37" s="657"/>
      <c r="X37" s="657"/>
      <c r="Y37" s="657"/>
      <c r="Z37" s="657"/>
      <c r="AA37" s="657"/>
      <c r="BN37" s="304"/>
      <c r="BO37" s="304"/>
      <c r="BP37" s="304"/>
      <c r="BQ37" s="304"/>
      <c r="BR37" s="304"/>
    </row>
    <row r="38" spans="1:70" x14ac:dyDescent="0.2">
      <c r="V38" s="657" t="s">
        <v>873</v>
      </c>
      <c r="W38" s="657"/>
      <c r="X38" s="657"/>
      <c r="Y38" s="657"/>
      <c r="Z38" s="657"/>
      <c r="AA38" s="657"/>
      <c r="BN38" s="304"/>
      <c r="BO38" s="304"/>
      <c r="BP38" s="304"/>
      <c r="BQ38" s="304"/>
      <c r="BR38" s="304"/>
    </row>
    <row r="39" spans="1:70" x14ac:dyDescent="0.2">
      <c r="A39" s="657"/>
      <c r="B39" s="657"/>
      <c r="C39" s="657"/>
      <c r="D39" s="657"/>
      <c r="E39" s="657"/>
      <c r="F39" s="657"/>
      <c r="G39" s="657"/>
      <c r="H39" s="657"/>
      <c r="I39" s="657"/>
      <c r="V39" s="657" t="s">
        <v>70</v>
      </c>
      <c r="W39" s="657"/>
      <c r="X39" s="657"/>
      <c r="Y39" s="657"/>
      <c r="Z39" s="657"/>
      <c r="AA39" s="657"/>
      <c r="BN39" s="304"/>
      <c r="BO39" s="304"/>
      <c r="BP39" s="304"/>
      <c r="BQ39" s="304"/>
      <c r="BR39" s="304"/>
    </row>
    <row r="40" spans="1:70" x14ac:dyDescent="0.2">
      <c r="V40" s="657" t="s">
        <v>71</v>
      </c>
      <c r="W40" s="657"/>
      <c r="X40" s="657"/>
      <c r="Y40" s="657"/>
      <c r="Z40" s="657"/>
      <c r="AA40" s="657"/>
      <c r="BN40" s="304"/>
      <c r="BO40" s="304"/>
      <c r="BP40" s="304"/>
      <c r="BQ40" s="304"/>
      <c r="BR40" s="304"/>
    </row>
    <row r="41" spans="1:70" x14ac:dyDescent="0.2">
      <c r="V41" s="657" t="s">
        <v>72</v>
      </c>
      <c r="W41" s="657"/>
      <c r="X41" s="657"/>
      <c r="Y41" s="657"/>
      <c r="Z41" s="657"/>
      <c r="AA41" s="657"/>
      <c r="BN41" s="304"/>
      <c r="BO41" s="304"/>
      <c r="BP41" s="304"/>
      <c r="BQ41" s="304"/>
      <c r="BR41" s="304"/>
    </row>
    <row r="42" spans="1:70" x14ac:dyDescent="0.2">
      <c r="V42" s="657" t="s">
        <v>73</v>
      </c>
      <c r="W42" s="657"/>
      <c r="X42" s="657"/>
      <c r="Y42" s="657"/>
      <c r="Z42" s="657"/>
      <c r="AA42" s="657"/>
      <c r="BN42" s="304"/>
      <c r="BO42" s="304"/>
      <c r="BP42" s="304"/>
      <c r="BQ42" s="304"/>
      <c r="BR42" s="304"/>
    </row>
    <row r="43" spans="1:70" x14ac:dyDescent="0.2">
      <c r="V43" s="658" t="s">
        <v>253</v>
      </c>
      <c r="W43" s="657"/>
      <c r="X43" s="657"/>
      <c r="Y43" s="657"/>
      <c r="Z43" s="657"/>
      <c r="AA43" s="657"/>
      <c r="BN43" s="304"/>
      <c r="BO43" s="304"/>
      <c r="BP43" s="304"/>
      <c r="BQ43" s="304"/>
      <c r="BR43" s="304"/>
    </row>
    <row r="44" spans="1:70" x14ac:dyDescent="0.2">
      <c r="V44" s="657" t="s">
        <v>74</v>
      </c>
      <c r="W44" s="657"/>
      <c r="X44" s="657"/>
      <c r="Y44" s="657"/>
      <c r="Z44" s="657"/>
      <c r="AA44" s="657"/>
      <c r="BN44" s="304"/>
      <c r="BO44" s="304"/>
      <c r="BP44" s="304"/>
      <c r="BQ44" s="304"/>
      <c r="BR44" s="304"/>
    </row>
    <row r="45" spans="1:70" x14ac:dyDescent="0.2">
      <c r="V45" s="657" t="s">
        <v>75</v>
      </c>
      <c r="BN45" s="304"/>
      <c r="BO45" s="304"/>
      <c r="BP45" s="304"/>
      <c r="BQ45" s="304"/>
      <c r="BR45" s="304"/>
    </row>
    <row r="46" spans="1:70" x14ac:dyDescent="0.2">
      <c r="V46" s="657" t="s">
        <v>76</v>
      </c>
      <c r="BN46" s="304"/>
      <c r="BO46" s="304"/>
      <c r="BP46" s="304"/>
      <c r="BQ46" s="304"/>
      <c r="BR46" s="304"/>
    </row>
    <row r="47" spans="1:70" x14ac:dyDescent="0.2">
      <c r="V47" s="658" t="s">
        <v>252</v>
      </c>
      <c r="BN47" s="304"/>
      <c r="BO47" s="304"/>
      <c r="BP47" s="304"/>
      <c r="BQ47" s="304"/>
      <c r="BR47" s="304"/>
    </row>
    <row r="48" spans="1:70" x14ac:dyDescent="0.2">
      <c r="V48" s="657" t="s">
        <v>414</v>
      </c>
      <c r="BN48" s="304"/>
      <c r="BO48" s="304"/>
      <c r="BP48" s="304"/>
      <c r="BQ48" s="304"/>
      <c r="BR48" s="304"/>
    </row>
    <row r="49" spans="9:70" x14ac:dyDescent="0.2">
      <c r="V49" s="657" t="s">
        <v>848</v>
      </c>
      <c r="BN49" s="304"/>
      <c r="BO49" s="304"/>
      <c r="BP49" s="304"/>
      <c r="BQ49" s="304"/>
      <c r="BR49" s="304"/>
    </row>
    <row r="50" spans="9:70" x14ac:dyDescent="0.2">
      <c r="V50" s="657" t="s">
        <v>77</v>
      </c>
      <c r="BN50" s="304"/>
      <c r="BO50" s="304"/>
      <c r="BP50" s="304"/>
      <c r="BQ50" s="304"/>
      <c r="BR50" s="304"/>
    </row>
    <row r="51" spans="9:70" x14ac:dyDescent="0.2">
      <c r="V51" s="657" t="s">
        <v>844</v>
      </c>
      <c r="BN51" s="304"/>
      <c r="BO51" s="304"/>
      <c r="BP51" s="304"/>
      <c r="BQ51" s="304"/>
      <c r="BR51" s="304"/>
    </row>
    <row r="52" spans="9:70" x14ac:dyDescent="0.2">
      <c r="V52" s="657" t="s">
        <v>78</v>
      </c>
      <c r="BN52" s="304"/>
      <c r="BO52" s="304"/>
      <c r="BP52" s="304"/>
      <c r="BQ52" s="304"/>
      <c r="BR52" s="304"/>
    </row>
    <row r="53" spans="9:70" x14ac:dyDescent="0.2">
      <c r="V53" s="657" t="s">
        <v>79</v>
      </c>
      <c r="BN53" s="304"/>
      <c r="BO53" s="304"/>
      <c r="BP53" s="304"/>
      <c r="BQ53" s="304"/>
      <c r="BR53" s="304"/>
    </row>
    <row r="54" spans="9:70" x14ac:dyDescent="0.2">
      <c r="V54" s="657" t="s">
        <v>80</v>
      </c>
      <c r="BN54" s="304"/>
      <c r="BO54" s="304"/>
      <c r="BP54" s="304"/>
      <c r="BQ54" s="304"/>
      <c r="BR54" s="304"/>
    </row>
    <row r="55" spans="9:70" x14ac:dyDescent="0.2">
      <c r="V55" s="657" t="s">
        <v>81</v>
      </c>
      <c r="BN55" s="304"/>
      <c r="BO55" s="304"/>
      <c r="BP55" s="304"/>
      <c r="BQ55" s="304"/>
      <c r="BR55" s="304"/>
    </row>
    <row r="56" spans="9:70" x14ac:dyDescent="0.2">
      <c r="V56" s="657" t="s">
        <v>847</v>
      </c>
      <c r="BN56" s="304"/>
      <c r="BO56" s="304"/>
      <c r="BP56" s="304"/>
      <c r="BQ56" s="304"/>
      <c r="BR56" s="304"/>
    </row>
    <row r="57" spans="9:70" x14ac:dyDescent="0.2">
      <c r="V57" s="657" t="s">
        <v>839</v>
      </c>
      <c r="BN57" s="304"/>
      <c r="BO57" s="304"/>
      <c r="BP57" s="304"/>
      <c r="BQ57" s="304"/>
      <c r="BR57" s="304"/>
    </row>
    <row r="58" spans="9:70" x14ac:dyDescent="0.2">
      <c r="V58" s="657" t="s">
        <v>82</v>
      </c>
      <c r="BN58" s="304"/>
      <c r="BO58" s="304"/>
      <c r="BP58" s="304"/>
      <c r="BQ58" s="304"/>
      <c r="BR58" s="304"/>
    </row>
    <row r="59" spans="9:70" x14ac:dyDescent="0.2">
      <c r="V59" s="657" t="s">
        <v>83</v>
      </c>
      <c r="BN59" s="304"/>
      <c r="BO59" s="304"/>
      <c r="BP59" s="304"/>
      <c r="BQ59" s="304"/>
      <c r="BR59" s="304"/>
    </row>
    <row r="60" spans="9:70" x14ac:dyDescent="0.2">
      <c r="J60" s="661"/>
      <c r="K60" s="661"/>
      <c r="L60" s="661"/>
      <c r="M60" s="661"/>
      <c r="N60" s="661"/>
      <c r="O60" s="661"/>
      <c r="P60" s="661"/>
      <c r="V60" s="657" t="s">
        <v>84</v>
      </c>
      <c r="BN60" s="304"/>
      <c r="BO60" s="304"/>
      <c r="BP60" s="304"/>
      <c r="BQ60" s="304"/>
      <c r="BR60" s="304"/>
    </row>
    <row r="61" spans="9:70" x14ac:dyDescent="0.2">
      <c r="J61" s="661"/>
      <c r="K61" s="661"/>
      <c r="L61" s="661"/>
      <c r="M61" s="661"/>
      <c r="N61" s="661"/>
      <c r="O61" s="661"/>
      <c r="P61" s="661"/>
      <c r="V61" s="657" t="s">
        <v>88</v>
      </c>
      <c r="BN61" s="304"/>
      <c r="BO61" s="304"/>
      <c r="BP61" s="304"/>
      <c r="BQ61" s="304"/>
      <c r="BR61" s="304"/>
    </row>
    <row r="62" spans="9:70" x14ac:dyDescent="0.2">
      <c r="J62" s="661"/>
      <c r="K62" s="661"/>
      <c r="L62" s="661"/>
      <c r="M62" s="661"/>
      <c r="N62" s="661"/>
      <c r="O62" s="661"/>
      <c r="P62" s="661"/>
      <c r="V62" s="657" t="s">
        <v>87</v>
      </c>
      <c r="BN62" s="304"/>
      <c r="BO62" s="304"/>
      <c r="BP62" s="304"/>
      <c r="BQ62" s="304"/>
      <c r="BR62" s="304"/>
    </row>
    <row r="63" spans="9:70" x14ac:dyDescent="0.2">
      <c r="J63" s="661"/>
      <c r="K63" s="661"/>
      <c r="L63" s="661"/>
      <c r="M63" s="661"/>
      <c r="N63" s="661"/>
      <c r="O63" s="661"/>
      <c r="P63" s="661"/>
      <c r="V63" s="657" t="s">
        <v>85</v>
      </c>
      <c r="BN63" s="304"/>
      <c r="BO63" s="304"/>
      <c r="BP63" s="304"/>
      <c r="BQ63" s="304"/>
      <c r="BR63" s="304"/>
    </row>
    <row r="64" spans="9:70" x14ac:dyDescent="0.2">
      <c r="I64" s="657"/>
      <c r="J64" s="657"/>
      <c r="K64" s="657"/>
      <c r="L64" s="657"/>
      <c r="M64" s="657"/>
      <c r="N64" s="657"/>
      <c r="O64" s="657"/>
      <c r="P64" s="661"/>
      <c r="V64" s="657" t="s">
        <v>86</v>
      </c>
      <c r="BN64" s="304"/>
      <c r="BO64" s="304"/>
      <c r="BP64" s="304"/>
      <c r="BQ64" s="304"/>
      <c r="BR64" s="304"/>
    </row>
    <row r="65" spans="1:70" x14ac:dyDescent="0.2">
      <c r="I65" s="657"/>
      <c r="J65" s="657"/>
      <c r="K65" s="657"/>
      <c r="L65" s="657"/>
      <c r="M65" s="657"/>
      <c r="N65" s="657"/>
      <c r="O65" s="657"/>
      <c r="P65" s="661"/>
      <c r="BN65" s="304"/>
      <c r="BO65" s="304"/>
      <c r="BP65" s="304"/>
      <c r="BQ65" s="304"/>
      <c r="BR65" s="304"/>
    </row>
    <row r="66" spans="1:70" x14ac:dyDescent="0.2">
      <c r="I66" s="657"/>
      <c r="J66" s="657"/>
      <c r="K66" s="657"/>
      <c r="L66" s="657"/>
      <c r="M66" s="657"/>
      <c r="N66" s="657"/>
      <c r="O66" s="657"/>
      <c r="P66" s="661"/>
      <c r="BN66" s="304"/>
      <c r="BO66" s="304"/>
      <c r="BP66" s="304"/>
      <c r="BQ66" s="304"/>
      <c r="BR66" s="304"/>
    </row>
    <row r="67" spans="1:70" x14ac:dyDescent="0.2">
      <c r="I67" s="657"/>
      <c r="J67" s="657"/>
      <c r="K67" s="657"/>
      <c r="L67" s="657"/>
      <c r="M67" s="657"/>
      <c r="N67" s="657"/>
      <c r="O67" s="657"/>
      <c r="P67" s="661"/>
      <c r="BN67" s="304"/>
      <c r="BO67" s="304"/>
      <c r="BP67" s="304"/>
      <c r="BQ67" s="304"/>
      <c r="BR67" s="304"/>
    </row>
    <row r="68" spans="1:70" x14ac:dyDescent="0.2">
      <c r="A68" s="657"/>
      <c r="B68" s="657"/>
      <c r="C68" s="657"/>
      <c r="D68" s="657"/>
      <c r="E68" s="657"/>
      <c r="F68" s="657"/>
      <c r="G68" s="657"/>
      <c r="H68" s="657"/>
      <c r="I68" s="657"/>
      <c r="J68" s="657"/>
      <c r="K68" s="657"/>
      <c r="L68" s="657"/>
      <c r="M68" s="657"/>
      <c r="N68" s="659" t="s">
        <v>403</v>
      </c>
      <c r="O68" s="657"/>
      <c r="P68" s="661"/>
      <c r="Q68" s="657"/>
      <c r="R68" s="657"/>
      <c r="S68" s="657"/>
      <c r="BN68" s="304"/>
      <c r="BO68" s="304"/>
      <c r="BP68" s="304"/>
      <c r="BQ68" s="304"/>
      <c r="BR68" s="304"/>
    </row>
    <row r="69" spans="1:70" x14ac:dyDescent="0.2">
      <c r="A69" s="662" t="s">
        <v>402</v>
      </c>
      <c r="B69" s="662" t="s">
        <v>400</v>
      </c>
      <c r="C69" s="657"/>
      <c r="D69" s="657"/>
      <c r="E69" s="662" t="s">
        <v>401</v>
      </c>
      <c r="F69" s="662" t="s">
        <v>400</v>
      </c>
      <c r="G69" s="657"/>
      <c r="H69" s="657"/>
      <c r="I69" s="657" t="s">
        <v>136</v>
      </c>
      <c r="J69" s="657">
        <v>1</v>
      </c>
      <c r="K69" s="657"/>
      <c r="L69" s="657" t="s">
        <v>399</v>
      </c>
      <c r="M69" s="657">
        <v>143.69999999999999</v>
      </c>
      <c r="N69" s="663">
        <v>0.12</v>
      </c>
      <c r="O69" s="657" t="s">
        <v>398</v>
      </c>
      <c r="P69" s="661"/>
      <c r="Q69" s="657"/>
      <c r="R69" s="657"/>
      <c r="S69" s="657"/>
      <c r="BN69" s="304"/>
      <c r="BO69" s="304"/>
      <c r="BP69" s="304"/>
      <c r="BQ69" s="304"/>
      <c r="BR69" s="304"/>
    </row>
    <row r="70" spans="1:70" x14ac:dyDescent="0.2">
      <c r="A70" s="659">
        <v>0</v>
      </c>
      <c r="B70" s="659">
        <v>1</v>
      </c>
      <c r="C70" s="657"/>
      <c r="D70" s="657"/>
      <c r="E70" s="659">
        <v>0</v>
      </c>
      <c r="F70" s="664">
        <v>1</v>
      </c>
      <c r="G70" s="657"/>
      <c r="H70" s="657"/>
      <c r="I70" s="665" t="s">
        <v>147</v>
      </c>
      <c r="J70" s="666">
        <f>J69*10/11</f>
        <v>0.90909090909090906</v>
      </c>
      <c r="K70" s="657"/>
      <c r="L70" s="657" t="s">
        <v>397</v>
      </c>
      <c r="M70" s="657">
        <v>191.1</v>
      </c>
      <c r="N70" s="663">
        <v>0.21</v>
      </c>
      <c r="O70" s="657"/>
      <c r="P70" s="661"/>
      <c r="Q70" s="657"/>
      <c r="R70" s="657"/>
      <c r="S70" s="657"/>
      <c r="BN70" s="304"/>
      <c r="BO70" s="304"/>
      <c r="BP70" s="304"/>
      <c r="BQ70" s="304"/>
      <c r="BR70" s="304"/>
    </row>
    <row r="71" spans="1:70" x14ac:dyDescent="0.2">
      <c r="A71" s="659">
        <v>1</v>
      </c>
      <c r="B71" s="664">
        <f t="shared" ref="B71:B102" si="5">B70*100/101.5</f>
        <v>0.98522167487684731</v>
      </c>
      <c r="C71" s="657"/>
      <c r="D71" s="657"/>
      <c r="E71" s="659">
        <v>1</v>
      </c>
      <c r="F71" s="664">
        <f t="shared" ref="F71:F102" si="6">F70*1.002</f>
        <v>1.002</v>
      </c>
      <c r="G71" s="657"/>
      <c r="H71" s="657"/>
      <c r="I71" s="667" t="s">
        <v>143</v>
      </c>
      <c r="J71" s="668">
        <f>J70*10/11</f>
        <v>0.82644628099173545</v>
      </c>
      <c r="K71" s="657"/>
      <c r="L71" s="657" t="s">
        <v>396</v>
      </c>
      <c r="M71" s="657">
        <v>254.2</v>
      </c>
      <c r="N71" s="663">
        <v>0.3</v>
      </c>
      <c r="O71" s="657"/>
      <c r="P71" s="661"/>
      <c r="Q71" s="657"/>
      <c r="R71" s="657"/>
      <c r="S71" s="657"/>
      <c r="BN71" s="304"/>
      <c r="BO71" s="304"/>
      <c r="BP71" s="304"/>
      <c r="BQ71" s="304"/>
      <c r="BR71" s="304"/>
    </row>
    <row r="72" spans="1:70" x14ac:dyDescent="0.2">
      <c r="A72" s="659">
        <v>2</v>
      </c>
      <c r="B72" s="664">
        <f t="shared" si="5"/>
        <v>0.97066174864714017</v>
      </c>
      <c r="C72" s="657"/>
      <c r="D72" s="657"/>
      <c r="E72" s="659">
        <v>2</v>
      </c>
      <c r="F72" s="664">
        <f t="shared" si="6"/>
        <v>1.0040039999999999</v>
      </c>
      <c r="G72" s="657"/>
      <c r="H72" s="657"/>
      <c r="I72" s="665" t="s">
        <v>151</v>
      </c>
      <c r="J72" s="666">
        <f>J71*10/11</f>
        <v>0.75131480090157765</v>
      </c>
      <c r="K72" s="657"/>
      <c r="L72" s="657" t="s">
        <v>395</v>
      </c>
      <c r="M72" s="657">
        <v>338</v>
      </c>
      <c r="N72" s="663">
        <v>0.4</v>
      </c>
      <c r="O72" s="657"/>
      <c r="P72" s="661"/>
      <c r="Q72" s="657"/>
      <c r="R72" s="657"/>
      <c r="S72" s="657"/>
      <c r="BN72" s="304"/>
      <c r="BO72" s="304"/>
      <c r="BP72" s="304"/>
      <c r="BQ72" s="304"/>
      <c r="BR72" s="304"/>
    </row>
    <row r="73" spans="1:70" x14ac:dyDescent="0.2">
      <c r="A73" s="659">
        <v>3</v>
      </c>
      <c r="B73" s="664">
        <f t="shared" si="5"/>
        <v>0.95631699374102475</v>
      </c>
      <c r="C73" s="657"/>
      <c r="D73" s="657"/>
      <c r="E73" s="659">
        <v>3</v>
      </c>
      <c r="F73" s="664">
        <f t="shared" si="6"/>
        <v>1.0060120079999999</v>
      </c>
      <c r="G73" s="657"/>
      <c r="H73" s="657"/>
      <c r="I73" s="665" t="s">
        <v>139</v>
      </c>
      <c r="J73" s="666">
        <f>J72*10/11</f>
        <v>0.68301345536507063</v>
      </c>
      <c r="K73" s="657"/>
      <c r="L73" s="657" t="s">
        <v>394</v>
      </c>
      <c r="M73" s="657">
        <v>388.7</v>
      </c>
      <c r="N73" s="657">
        <v>0.42</v>
      </c>
      <c r="O73" s="657"/>
      <c r="P73" s="661"/>
      <c r="Q73" s="657"/>
      <c r="R73" s="657"/>
      <c r="S73" s="657"/>
      <c r="BN73" s="304"/>
      <c r="BO73" s="304"/>
      <c r="BP73" s="304"/>
      <c r="BQ73" s="304"/>
      <c r="BR73" s="304"/>
    </row>
    <row r="74" spans="1:70" x14ac:dyDescent="0.2">
      <c r="A74" s="659">
        <v>4</v>
      </c>
      <c r="B74" s="664">
        <f t="shared" si="5"/>
        <v>0.94218423028672393</v>
      </c>
      <c r="C74" s="657"/>
      <c r="D74" s="657"/>
      <c r="E74" s="659">
        <v>4</v>
      </c>
      <c r="F74" s="664">
        <f t="shared" si="6"/>
        <v>1.0080240320159999</v>
      </c>
      <c r="G74" s="657"/>
      <c r="H74" s="657"/>
      <c r="I74" s="657"/>
      <c r="J74" s="657"/>
      <c r="K74" s="657"/>
      <c r="L74" s="657" t="s">
        <v>393</v>
      </c>
      <c r="M74" s="657">
        <v>150.9</v>
      </c>
      <c r="N74" s="657">
        <v>0.12</v>
      </c>
      <c r="O74" s="657" t="s">
        <v>392</v>
      </c>
      <c r="P74" s="661"/>
      <c r="Q74" s="657"/>
      <c r="R74" s="657"/>
      <c r="S74" s="657"/>
      <c r="BN74" s="304"/>
      <c r="BO74" s="304"/>
      <c r="BP74" s="304"/>
      <c r="BQ74" s="304"/>
      <c r="BR74" s="304"/>
    </row>
    <row r="75" spans="1:70" x14ac:dyDescent="0.2">
      <c r="A75" s="659">
        <v>5</v>
      </c>
      <c r="B75" s="664">
        <f t="shared" si="5"/>
        <v>0.9282603254056393</v>
      </c>
      <c r="C75" s="657"/>
      <c r="D75" s="657"/>
      <c r="E75" s="669">
        <v>5</v>
      </c>
      <c r="F75" s="670">
        <f t="shared" si="6"/>
        <v>1.010040080080032</v>
      </c>
      <c r="G75" s="657"/>
      <c r="H75" s="657"/>
      <c r="I75" s="657"/>
      <c r="J75" s="657"/>
      <c r="K75" s="657"/>
      <c r="L75" s="657" t="s">
        <v>391</v>
      </c>
      <c r="M75" s="657">
        <v>200.7</v>
      </c>
      <c r="N75" s="657">
        <v>0.21</v>
      </c>
      <c r="O75" s="657"/>
      <c r="P75" s="661"/>
      <c r="Q75" s="657"/>
      <c r="R75" s="657"/>
      <c r="S75" s="657"/>
      <c r="BN75" s="304"/>
      <c r="BO75" s="304"/>
      <c r="BP75" s="304"/>
      <c r="BQ75" s="304"/>
      <c r="BR75" s="304"/>
    </row>
    <row r="76" spans="1:70" x14ac:dyDescent="0.2">
      <c r="A76" s="659">
        <v>6</v>
      </c>
      <c r="B76" s="664">
        <f t="shared" si="5"/>
        <v>0.91454219251787128</v>
      </c>
      <c r="C76" s="657"/>
      <c r="D76" s="657"/>
      <c r="E76" s="659">
        <v>6</v>
      </c>
      <c r="F76" s="664">
        <f t="shared" si="6"/>
        <v>1.012060160240192</v>
      </c>
      <c r="G76" s="657"/>
      <c r="H76" s="657"/>
      <c r="I76" s="657"/>
      <c r="J76" s="657"/>
      <c r="K76" s="657"/>
      <c r="L76" s="657" t="s">
        <v>390</v>
      </c>
      <c r="M76" s="657">
        <v>267</v>
      </c>
      <c r="N76" s="657">
        <v>0.3</v>
      </c>
      <c r="O76" s="657"/>
      <c r="P76" s="661"/>
      <c r="Q76" s="657"/>
      <c r="R76" s="657"/>
      <c r="S76" s="657"/>
      <c r="BN76" s="304"/>
      <c r="BO76" s="304"/>
      <c r="BP76" s="304"/>
      <c r="BQ76" s="304"/>
      <c r="BR76" s="304"/>
    </row>
    <row r="77" spans="1:70" x14ac:dyDescent="0.2">
      <c r="A77" s="659">
        <v>7</v>
      </c>
      <c r="B77" s="664">
        <f t="shared" si="5"/>
        <v>0.90102679065800118</v>
      </c>
      <c r="C77" s="657"/>
      <c r="D77" s="657"/>
      <c r="E77" s="659">
        <v>7</v>
      </c>
      <c r="F77" s="664">
        <f t="shared" si="6"/>
        <v>1.0140842805606725</v>
      </c>
      <c r="G77" s="657"/>
      <c r="H77" s="657"/>
      <c r="I77" s="657"/>
      <c r="J77" s="657"/>
      <c r="K77" s="657"/>
      <c r="L77" s="657" t="s">
        <v>389</v>
      </c>
      <c r="M77" s="657">
        <v>354.9</v>
      </c>
      <c r="N77" s="657">
        <v>0.4</v>
      </c>
      <c r="O77" s="657"/>
      <c r="P77" s="661"/>
      <c r="Q77" s="657"/>
      <c r="R77" s="657"/>
      <c r="S77" s="657"/>
      <c r="BN77" s="304"/>
      <c r="BO77" s="304"/>
      <c r="BP77" s="304"/>
      <c r="BQ77" s="304"/>
      <c r="BR77" s="304"/>
    </row>
    <row r="78" spans="1:70" x14ac:dyDescent="0.2">
      <c r="A78" s="659">
        <v>8</v>
      </c>
      <c r="B78" s="664">
        <f t="shared" si="5"/>
        <v>0.88771112380098638</v>
      </c>
      <c r="C78" s="657"/>
      <c r="D78" s="657"/>
      <c r="E78" s="659">
        <v>8</v>
      </c>
      <c r="F78" s="664">
        <f t="shared" si="6"/>
        <v>1.0161124491217939</v>
      </c>
      <c r="G78" s="657"/>
      <c r="H78" s="657"/>
      <c r="I78" s="657"/>
      <c r="J78" s="657"/>
      <c r="K78" s="657"/>
      <c r="L78" s="657" t="s">
        <v>388</v>
      </c>
      <c r="M78" s="657">
        <v>408.2</v>
      </c>
      <c r="N78" s="657">
        <v>0.42</v>
      </c>
      <c r="O78" s="657"/>
      <c r="P78" s="661"/>
      <c r="Q78" s="657"/>
      <c r="R78" s="657"/>
      <c r="S78" s="657"/>
      <c r="BN78" s="304"/>
      <c r="BO78" s="304"/>
      <c r="BP78" s="304"/>
      <c r="BQ78" s="304"/>
      <c r="BR78" s="304"/>
    </row>
    <row r="79" spans="1:70" x14ac:dyDescent="0.2">
      <c r="A79" s="659">
        <v>9</v>
      </c>
      <c r="B79" s="664">
        <f t="shared" si="5"/>
        <v>0.87459224019801618</v>
      </c>
      <c r="C79" s="657"/>
      <c r="D79" s="657"/>
      <c r="E79" s="659">
        <v>9</v>
      </c>
      <c r="F79" s="664">
        <f t="shared" si="6"/>
        <v>1.0181446740200375</v>
      </c>
      <c r="G79" s="657"/>
      <c r="H79" s="657"/>
      <c r="I79" s="657"/>
      <c r="J79" s="657"/>
      <c r="K79" s="657"/>
      <c r="L79" s="657" t="s">
        <v>387</v>
      </c>
      <c r="M79" s="657">
        <v>158.96</v>
      </c>
      <c r="N79" s="657">
        <v>0.12</v>
      </c>
      <c r="O79" s="657" t="s">
        <v>386</v>
      </c>
      <c r="P79" s="661"/>
      <c r="Q79" s="657"/>
      <c r="R79" s="657"/>
      <c r="S79" s="657"/>
      <c r="BN79" s="304"/>
      <c r="BO79" s="304"/>
      <c r="BP79" s="304"/>
      <c r="BQ79" s="304"/>
      <c r="BR79" s="304"/>
    </row>
    <row r="80" spans="1:70" x14ac:dyDescent="0.2">
      <c r="A80" s="659">
        <v>10</v>
      </c>
      <c r="B80" s="664">
        <f t="shared" si="5"/>
        <v>0.86166723172218351</v>
      </c>
      <c r="C80" s="657"/>
      <c r="D80" s="657"/>
      <c r="E80" s="659">
        <v>10</v>
      </c>
      <c r="F80" s="664">
        <f t="shared" si="6"/>
        <v>1.0201809633680776</v>
      </c>
      <c r="G80" s="657"/>
      <c r="H80" s="657"/>
      <c r="I80" s="657"/>
      <c r="J80" s="657"/>
      <c r="K80" s="657"/>
      <c r="L80" s="657" t="s">
        <v>385</v>
      </c>
      <c r="M80" s="657">
        <v>211.42</v>
      </c>
      <c r="N80" s="657">
        <v>0.21</v>
      </c>
      <c r="O80" s="657"/>
      <c r="P80" s="661"/>
      <c r="Q80" s="657"/>
      <c r="R80" s="657"/>
      <c r="S80" s="657"/>
      <c r="BN80" s="304"/>
      <c r="BO80" s="304"/>
      <c r="BP80" s="304"/>
      <c r="BQ80" s="304"/>
      <c r="BR80" s="304"/>
    </row>
    <row r="81" spans="1:70" x14ac:dyDescent="0.2">
      <c r="A81" s="659">
        <v>11</v>
      </c>
      <c r="B81" s="664">
        <f t="shared" si="5"/>
        <v>0.84893323322382619</v>
      </c>
      <c r="C81" s="657"/>
      <c r="D81" s="657"/>
      <c r="E81" s="659">
        <v>11</v>
      </c>
      <c r="F81" s="664">
        <f t="shared" si="6"/>
        <v>1.0222213252948138</v>
      </c>
      <c r="G81" s="657"/>
      <c r="H81" s="657"/>
      <c r="I81" s="657"/>
      <c r="J81" s="657"/>
      <c r="K81" s="657"/>
      <c r="L81" s="657" t="s">
        <v>384</v>
      </c>
      <c r="M81" s="657">
        <v>281.26</v>
      </c>
      <c r="N81" s="657">
        <v>0.3</v>
      </c>
      <c r="O81" s="657"/>
      <c r="P81" s="661"/>
      <c r="Q81" s="657"/>
      <c r="R81" s="657"/>
      <c r="S81" s="657"/>
      <c r="BN81" s="304"/>
      <c r="BO81" s="304"/>
      <c r="BP81" s="304"/>
      <c r="BQ81" s="304"/>
      <c r="BR81" s="304"/>
    </row>
    <row r="82" spans="1:70" x14ac:dyDescent="0.2">
      <c r="A82" s="659">
        <v>12</v>
      </c>
      <c r="B82" s="664">
        <f t="shared" si="5"/>
        <v>0.83638742189539517</v>
      </c>
      <c r="C82" s="657"/>
      <c r="D82" s="657"/>
      <c r="E82" s="659">
        <v>12</v>
      </c>
      <c r="F82" s="664">
        <f t="shared" si="6"/>
        <v>1.0242657679454035</v>
      </c>
      <c r="G82" s="657"/>
      <c r="H82" s="657"/>
      <c r="I82" s="657"/>
      <c r="J82" s="657"/>
      <c r="K82" s="657"/>
      <c r="L82" s="657" t="s">
        <v>383</v>
      </c>
      <c r="M82" s="657">
        <v>373.88</v>
      </c>
      <c r="N82" s="657">
        <v>0.4</v>
      </c>
      <c r="O82" s="657"/>
      <c r="P82" s="661"/>
      <c r="Q82" s="657"/>
      <c r="R82" s="657"/>
      <c r="S82" s="657"/>
      <c r="BN82" s="304"/>
      <c r="BO82" s="304"/>
      <c r="BP82" s="304"/>
      <c r="BQ82" s="304"/>
      <c r="BR82" s="304"/>
    </row>
    <row r="83" spans="1:70" x14ac:dyDescent="0.2">
      <c r="A83" s="659">
        <v>13</v>
      </c>
      <c r="B83" s="664">
        <f t="shared" si="5"/>
        <v>0.82402701664570954</v>
      </c>
      <c r="C83" s="657"/>
      <c r="D83" s="657"/>
      <c r="E83" s="659">
        <v>13</v>
      </c>
      <c r="F83" s="664">
        <f t="shared" si="6"/>
        <v>1.0263142994812944</v>
      </c>
      <c r="G83" s="657"/>
      <c r="H83" s="657"/>
      <c r="I83" s="657"/>
      <c r="J83" s="657"/>
      <c r="K83" s="657"/>
      <c r="L83" s="657" t="s">
        <v>382</v>
      </c>
      <c r="M83" s="657">
        <v>430.02</v>
      </c>
      <c r="N83" s="657">
        <v>0.42</v>
      </c>
      <c r="O83" s="657"/>
      <c r="P83" s="661"/>
      <c r="Q83" s="657"/>
      <c r="R83" s="657"/>
      <c r="S83" s="657"/>
      <c r="BN83" s="304"/>
      <c r="BO83" s="304"/>
      <c r="BP83" s="304"/>
      <c r="BQ83" s="304"/>
      <c r="BR83" s="304"/>
    </row>
    <row r="84" spans="1:70" x14ac:dyDescent="0.2">
      <c r="A84" s="659">
        <v>14</v>
      </c>
      <c r="B84" s="664">
        <f t="shared" si="5"/>
        <v>0.8118492774834577</v>
      </c>
      <c r="C84" s="657"/>
      <c r="D84" s="657"/>
      <c r="E84" s="659">
        <v>14</v>
      </c>
      <c r="F84" s="664">
        <f t="shared" si="6"/>
        <v>1.028366928080257</v>
      </c>
      <c r="G84" s="657"/>
      <c r="H84" s="657"/>
      <c r="I84" s="657"/>
      <c r="J84" s="657"/>
      <c r="K84" s="657"/>
      <c r="L84" s="657" t="s">
        <v>381</v>
      </c>
      <c r="M84" s="657">
        <v>167.23500000000001</v>
      </c>
      <c r="N84" s="657">
        <v>0.12</v>
      </c>
      <c r="O84" s="657" t="s">
        <v>380</v>
      </c>
      <c r="P84" s="661"/>
      <c r="Q84" s="657"/>
      <c r="R84" s="657"/>
      <c r="S84" s="657"/>
      <c r="BN84" s="304"/>
      <c r="BO84" s="304"/>
      <c r="BP84" s="304"/>
      <c r="BQ84" s="304"/>
      <c r="BR84" s="304"/>
    </row>
    <row r="85" spans="1:70" x14ac:dyDescent="0.2">
      <c r="A85" s="671">
        <v>15</v>
      </c>
      <c r="B85" s="664">
        <f t="shared" si="5"/>
        <v>0.79985150490981061</v>
      </c>
      <c r="C85" s="657"/>
      <c r="D85" s="657"/>
      <c r="E85" s="659">
        <v>15</v>
      </c>
      <c r="F85" s="664">
        <f t="shared" si="6"/>
        <v>1.0304236619364175</v>
      </c>
      <c r="G85" s="657"/>
      <c r="H85" s="657"/>
      <c r="I85" s="657"/>
      <c r="J85" s="657"/>
      <c r="K85" s="657"/>
      <c r="L85" s="657" t="s">
        <v>379</v>
      </c>
      <c r="M85" s="657">
        <v>222.42</v>
      </c>
      <c r="N85" s="657">
        <v>0.21</v>
      </c>
      <c r="O85" s="657"/>
      <c r="P85" s="661"/>
      <c r="Q85" s="657"/>
      <c r="R85" s="657"/>
      <c r="S85" s="657"/>
      <c r="BN85" s="304"/>
      <c r="BO85" s="304"/>
      <c r="BP85" s="304"/>
      <c r="BQ85" s="304"/>
      <c r="BR85" s="304"/>
    </row>
    <row r="86" spans="1:70" x14ac:dyDescent="0.2">
      <c r="A86" s="659">
        <v>16</v>
      </c>
      <c r="B86" s="664">
        <f t="shared" si="5"/>
        <v>0.7880310393200104</v>
      </c>
      <c r="C86" s="657"/>
      <c r="D86" s="657"/>
      <c r="E86" s="659">
        <v>16</v>
      </c>
      <c r="F86" s="664">
        <f t="shared" si="6"/>
        <v>1.0324845092602903</v>
      </c>
      <c r="G86" s="657"/>
      <c r="H86" s="657"/>
      <c r="I86" s="657"/>
      <c r="J86" s="657"/>
      <c r="K86" s="657"/>
      <c r="L86" s="657" t="s">
        <v>378</v>
      </c>
      <c r="M86" s="657">
        <v>295.88499999999999</v>
      </c>
      <c r="N86" s="657">
        <v>0.3</v>
      </c>
      <c r="O86" s="657"/>
      <c r="P86" s="661"/>
      <c r="Q86" s="657"/>
      <c r="R86" s="657"/>
      <c r="S86" s="657"/>
      <c r="BN86" s="304"/>
      <c r="BO86" s="304"/>
      <c r="BP86" s="304"/>
      <c r="BQ86" s="304"/>
      <c r="BR86" s="304"/>
    </row>
    <row r="87" spans="1:70" x14ac:dyDescent="0.2">
      <c r="A87" s="659">
        <v>17</v>
      </c>
      <c r="B87" s="664">
        <f t="shared" si="5"/>
        <v>0.77638526041380329</v>
      </c>
      <c r="C87" s="657"/>
      <c r="D87" s="657"/>
      <c r="E87" s="659">
        <v>17</v>
      </c>
      <c r="F87" s="664">
        <f t="shared" si="6"/>
        <v>1.0345494782788109</v>
      </c>
      <c r="G87" s="657"/>
      <c r="H87" s="657"/>
      <c r="I87" s="657"/>
      <c r="J87" s="657"/>
      <c r="K87" s="657"/>
      <c r="L87" s="657" t="s">
        <v>377</v>
      </c>
      <c r="M87" s="657">
        <v>393.38</v>
      </c>
      <c r="N87" s="657">
        <v>0.4</v>
      </c>
      <c r="O87" s="657"/>
      <c r="P87" s="661"/>
      <c r="Q87" s="657"/>
      <c r="R87" s="657"/>
      <c r="S87" s="657"/>
      <c r="BN87" s="304"/>
      <c r="BO87" s="304"/>
      <c r="BP87" s="304"/>
      <c r="BQ87" s="304"/>
      <c r="BR87" s="304"/>
    </row>
    <row r="88" spans="1:70" x14ac:dyDescent="0.2">
      <c r="A88" s="659">
        <v>18</v>
      </c>
      <c r="B88" s="664">
        <f t="shared" si="5"/>
        <v>0.76491158661458458</v>
      </c>
      <c r="C88" s="657"/>
      <c r="D88" s="657"/>
      <c r="E88" s="659">
        <v>18</v>
      </c>
      <c r="F88" s="664">
        <f t="shared" si="6"/>
        <v>1.0366185772353687</v>
      </c>
      <c r="G88" s="657"/>
      <c r="H88" s="657"/>
      <c r="I88" s="657"/>
      <c r="J88" s="657"/>
      <c r="K88" s="657"/>
      <c r="L88" s="657" t="s">
        <v>376</v>
      </c>
      <c r="M88" s="657">
        <v>452.41999999999996</v>
      </c>
      <c r="N88" s="657">
        <v>0.42</v>
      </c>
      <c r="O88" s="657"/>
      <c r="P88" s="661"/>
      <c r="Q88" s="657"/>
      <c r="R88" s="657"/>
      <c r="S88" s="657"/>
      <c r="BN88" s="304"/>
      <c r="BO88" s="304"/>
      <c r="BP88" s="304"/>
      <c r="BQ88" s="304"/>
      <c r="BR88" s="304"/>
    </row>
    <row r="89" spans="1:70" x14ac:dyDescent="0.2">
      <c r="A89" s="659">
        <v>19</v>
      </c>
      <c r="B89" s="664">
        <f t="shared" si="5"/>
        <v>0.75360747449712762</v>
      </c>
      <c r="C89" s="657"/>
      <c r="D89" s="657"/>
      <c r="E89" s="659">
        <v>19</v>
      </c>
      <c r="F89" s="664">
        <f t="shared" si="6"/>
        <v>1.0386918143898394</v>
      </c>
      <c r="G89" s="657"/>
      <c r="H89" s="657"/>
      <c r="I89" s="657"/>
      <c r="J89" s="657"/>
      <c r="K89" s="657"/>
      <c r="L89" s="657" t="s">
        <v>375</v>
      </c>
      <c r="M89" s="657">
        <v>175.58166666666668</v>
      </c>
      <c r="N89" s="657">
        <v>0.12</v>
      </c>
      <c r="O89" s="657" t="s">
        <v>374</v>
      </c>
      <c r="P89" s="661"/>
      <c r="Q89" s="657"/>
      <c r="R89" s="657"/>
      <c r="S89" s="657"/>
      <c r="BN89" s="304"/>
      <c r="BO89" s="304"/>
      <c r="BP89" s="304"/>
      <c r="BQ89" s="304"/>
      <c r="BR89" s="304"/>
    </row>
    <row r="90" spans="1:70" x14ac:dyDescent="0.2">
      <c r="A90" s="659">
        <v>20</v>
      </c>
      <c r="B90" s="664">
        <f t="shared" si="5"/>
        <v>0.74247041822377102</v>
      </c>
      <c r="C90" s="657"/>
      <c r="D90" s="657"/>
      <c r="E90" s="659">
        <v>20</v>
      </c>
      <c r="F90" s="664">
        <f t="shared" si="6"/>
        <v>1.0407691980186191</v>
      </c>
      <c r="G90" s="657"/>
      <c r="H90" s="657"/>
      <c r="I90" s="657"/>
      <c r="J90" s="657"/>
      <c r="K90" s="657"/>
      <c r="L90" s="657" t="s">
        <v>373</v>
      </c>
      <c r="M90" s="657">
        <v>233.42</v>
      </c>
      <c r="N90" s="657">
        <v>0.21</v>
      </c>
      <c r="O90" s="657"/>
      <c r="P90" s="661"/>
      <c r="Q90" s="657"/>
      <c r="R90" s="657"/>
      <c r="S90" s="657"/>
      <c r="BN90" s="304"/>
      <c r="BO90" s="304"/>
      <c r="BP90" s="304"/>
      <c r="BQ90" s="304"/>
      <c r="BR90" s="304"/>
    </row>
    <row r="91" spans="1:70" x14ac:dyDescent="0.2">
      <c r="A91" s="659">
        <v>21</v>
      </c>
      <c r="B91" s="664">
        <f t="shared" si="5"/>
        <v>0.73149794898893694</v>
      </c>
      <c r="C91" s="657"/>
      <c r="D91" s="657"/>
      <c r="E91" s="659">
        <v>21</v>
      </c>
      <c r="F91" s="664">
        <f t="shared" si="6"/>
        <v>1.0428507364146564</v>
      </c>
      <c r="G91" s="657"/>
      <c r="H91" s="657"/>
      <c r="I91" s="657"/>
      <c r="J91" s="657"/>
      <c r="K91" s="657"/>
      <c r="L91" s="657" t="s">
        <v>372</v>
      </c>
      <c r="M91" s="657">
        <v>310.51</v>
      </c>
      <c r="N91" s="657">
        <v>0.3</v>
      </c>
      <c r="O91" s="657"/>
      <c r="P91" s="661"/>
      <c r="Q91" s="657"/>
      <c r="R91" s="657"/>
      <c r="S91" s="657"/>
      <c r="BN91" s="304"/>
      <c r="BO91" s="304"/>
      <c r="BP91" s="304"/>
      <c r="BQ91" s="304"/>
      <c r="BR91" s="304"/>
    </row>
    <row r="92" spans="1:70" x14ac:dyDescent="0.2">
      <c r="A92" s="659">
        <v>22</v>
      </c>
      <c r="B92" s="664">
        <f t="shared" si="5"/>
        <v>0.72068763447185902</v>
      </c>
      <c r="C92" s="657"/>
      <c r="D92" s="657"/>
      <c r="E92" s="659">
        <v>22</v>
      </c>
      <c r="F92" s="664">
        <f t="shared" si="6"/>
        <v>1.0449364378874857</v>
      </c>
      <c r="G92" s="657"/>
      <c r="H92" s="657"/>
      <c r="I92" s="657"/>
      <c r="J92" s="657"/>
      <c r="K92" s="657"/>
      <c r="L92" s="657" t="s">
        <v>371</v>
      </c>
      <c r="M92" s="657">
        <v>412.88</v>
      </c>
      <c r="N92" s="657">
        <v>0.4</v>
      </c>
      <c r="O92" s="657"/>
      <c r="P92" s="661"/>
      <c r="Q92" s="657"/>
      <c r="R92" s="657"/>
      <c r="S92" s="657"/>
      <c r="BN92" s="304"/>
      <c r="BO92" s="304"/>
      <c r="BP92" s="304"/>
      <c r="BQ92" s="304"/>
      <c r="BR92" s="304"/>
    </row>
    <row r="93" spans="1:70" x14ac:dyDescent="0.2">
      <c r="A93" s="659">
        <v>23</v>
      </c>
      <c r="B93" s="664">
        <f t="shared" si="5"/>
        <v>0.71003707829739804</v>
      </c>
      <c r="C93" s="657"/>
      <c r="D93" s="657"/>
      <c r="E93" s="659">
        <v>23</v>
      </c>
      <c r="F93" s="664">
        <f t="shared" si="6"/>
        <v>1.0470263107632607</v>
      </c>
      <c r="G93" s="657"/>
      <c r="H93" s="657"/>
      <c r="I93" s="657"/>
      <c r="J93" s="657"/>
      <c r="K93" s="657"/>
      <c r="L93" s="657" t="s">
        <v>370</v>
      </c>
      <c r="M93" s="657">
        <v>474.81999999999994</v>
      </c>
      <c r="N93" s="657">
        <v>0.42</v>
      </c>
      <c r="O93" s="657"/>
      <c r="P93" s="661"/>
      <c r="Q93" s="657"/>
      <c r="R93" s="657"/>
      <c r="S93" s="657"/>
      <c r="BN93" s="304"/>
      <c r="BO93" s="304"/>
      <c r="BP93" s="304"/>
      <c r="BQ93" s="304"/>
      <c r="BR93" s="304"/>
    </row>
    <row r="94" spans="1:70" x14ac:dyDescent="0.2">
      <c r="A94" s="659">
        <v>24</v>
      </c>
      <c r="B94" s="664">
        <f t="shared" si="5"/>
        <v>0.69954391950482575</v>
      </c>
      <c r="C94" s="657"/>
      <c r="D94" s="657"/>
      <c r="E94" s="659">
        <v>24</v>
      </c>
      <c r="F94" s="664">
        <f t="shared" si="6"/>
        <v>1.0491203633847872</v>
      </c>
      <c r="G94" s="657"/>
      <c r="H94" s="657"/>
      <c r="I94" s="657"/>
      <c r="J94" s="657"/>
      <c r="K94" s="657"/>
      <c r="L94" s="657" t="s">
        <v>369</v>
      </c>
      <c r="M94" s="657">
        <v>184</v>
      </c>
      <c r="N94" s="657">
        <v>0.12</v>
      </c>
      <c r="O94" s="657" t="s">
        <v>368</v>
      </c>
      <c r="P94" s="661"/>
      <c r="Q94" s="657"/>
      <c r="R94" s="657"/>
      <c r="S94" s="657"/>
      <c r="BN94" s="304"/>
      <c r="BO94" s="304"/>
      <c r="BP94" s="304"/>
      <c r="BQ94" s="304"/>
      <c r="BR94" s="304"/>
    </row>
    <row r="95" spans="1:70" x14ac:dyDescent="0.2">
      <c r="A95" s="669">
        <v>25</v>
      </c>
      <c r="B95" s="670">
        <f t="shared" si="5"/>
        <v>0.68920583202445884</v>
      </c>
      <c r="C95" s="657"/>
      <c r="D95" s="657"/>
      <c r="E95" s="659">
        <v>25</v>
      </c>
      <c r="F95" s="664">
        <f t="shared" si="6"/>
        <v>1.0512186041115568</v>
      </c>
      <c r="G95" s="657"/>
      <c r="H95" s="657"/>
      <c r="I95" s="657"/>
      <c r="J95" s="657"/>
      <c r="K95" s="657"/>
      <c r="L95" s="657" t="s">
        <v>367</v>
      </c>
      <c r="M95" s="657">
        <v>244.7</v>
      </c>
      <c r="N95" s="657">
        <v>0.21</v>
      </c>
      <c r="O95" s="657"/>
      <c r="P95" s="661"/>
      <c r="Q95" s="657"/>
      <c r="R95" s="657"/>
      <c r="S95" s="657"/>
      <c r="BN95" s="304"/>
      <c r="BO95" s="304"/>
      <c r="BP95" s="304"/>
      <c r="BQ95" s="304"/>
      <c r="BR95" s="304"/>
    </row>
    <row r="96" spans="1:70" x14ac:dyDescent="0.2">
      <c r="A96" s="659">
        <v>26</v>
      </c>
      <c r="B96" s="664">
        <f t="shared" si="5"/>
        <v>0.6790205241620284</v>
      </c>
      <c r="C96" s="657"/>
      <c r="D96" s="657"/>
      <c r="E96" s="659">
        <v>26</v>
      </c>
      <c r="F96" s="664">
        <f t="shared" si="6"/>
        <v>1.0533210413197798</v>
      </c>
      <c r="G96" s="657"/>
      <c r="H96" s="657"/>
      <c r="I96" s="657"/>
      <c r="J96" s="657"/>
      <c r="K96" s="657"/>
      <c r="L96" s="657" t="s">
        <v>366</v>
      </c>
      <c r="M96" s="657">
        <v>325.5</v>
      </c>
      <c r="N96" s="657">
        <v>0.3</v>
      </c>
      <c r="O96" s="657"/>
      <c r="P96" s="661"/>
      <c r="Q96" s="657"/>
      <c r="R96" s="657"/>
      <c r="S96" s="657"/>
      <c r="BN96" s="304"/>
      <c r="BO96" s="304"/>
      <c r="BP96" s="304"/>
      <c r="BQ96" s="304"/>
      <c r="BR96" s="304"/>
    </row>
    <row r="97" spans="1:70" x14ac:dyDescent="0.2">
      <c r="A97" s="671">
        <v>27</v>
      </c>
      <c r="B97" s="672">
        <f t="shared" si="5"/>
        <v>0.6689857380906683</v>
      </c>
      <c r="C97" s="657"/>
      <c r="D97" s="657"/>
      <c r="E97" s="659">
        <v>27</v>
      </c>
      <c r="F97" s="664">
        <f t="shared" si="6"/>
        <v>1.0554276834024194</v>
      </c>
      <c r="G97" s="657"/>
      <c r="H97" s="657"/>
      <c r="I97" s="657"/>
      <c r="J97" s="657"/>
      <c r="K97" s="657"/>
      <c r="L97" s="657" t="s">
        <v>365</v>
      </c>
      <c r="M97" s="657">
        <v>432.9</v>
      </c>
      <c r="N97" s="657">
        <v>0.4</v>
      </c>
      <c r="O97" s="657"/>
      <c r="P97" s="661"/>
      <c r="Q97" s="657"/>
      <c r="R97" s="657"/>
      <c r="S97" s="657"/>
      <c r="BN97" s="304"/>
      <c r="BO97" s="304"/>
      <c r="BP97" s="304"/>
      <c r="BQ97" s="304"/>
      <c r="BR97" s="304"/>
    </row>
    <row r="98" spans="1:70" x14ac:dyDescent="0.2">
      <c r="A98" s="659">
        <v>28</v>
      </c>
      <c r="B98" s="664">
        <f t="shared" si="5"/>
        <v>0.65909924935041209</v>
      </c>
      <c r="C98" s="657"/>
      <c r="D98" s="657"/>
      <c r="E98" s="659">
        <v>28</v>
      </c>
      <c r="F98" s="664">
        <f t="shared" si="6"/>
        <v>1.0575385387692242</v>
      </c>
      <c r="G98" s="657"/>
      <c r="H98" s="657"/>
      <c r="I98" s="657"/>
      <c r="J98" s="657"/>
      <c r="K98" s="657"/>
      <c r="L98" s="657" t="s">
        <v>364</v>
      </c>
      <c r="M98" s="657">
        <v>497.8</v>
      </c>
      <c r="N98" s="657">
        <v>0.42</v>
      </c>
      <c r="O98" s="657"/>
      <c r="P98" s="661"/>
      <c r="Q98" s="657"/>
      <c r="R98" s="657"/>
      <c r="S98" s="657"/>
      <c r="BN98" s="304"/>
      <c r="BO98" s="304"/>
      <c r="BP98" s="304"/>
      <c r="BQ98" s="304"/>
      <c r="BR98" s="304"/>
    </row>
    <row r="99" spans="1:70" x14ac:dyDescent="0.2">
      <c r="A99" s="659">
        <v>29</v>
      </c>
      <c r="B99" s="664">
        <f t="shared" si="5"/>
        <v>0.64935886635508577</v>
      </c>
      <c r="C99" s="657"/>
      <c r="D99" s="657"/>
      <c r="E99" s="659">
        <v>29</v>
      </c>
      <c r="F99" s="664">
        <f t="shared" si="6"/>
        <v>1.0596536158467627</v>
      </c>
      <c r="G99" s="657"/>
      <c r="H99" s="657"/>
      <c r="I99" s="657"/>
      <c r="J99" s="657"/>
      <c r="K99" s="657"/>
      <c r="L99" s="657"/>
      <c r="M99" s="657"/>
      <c r="N99" s="657"/>
      <c r="O99" s="657"/>
      <c r="P99" s="661"/>
      <c r="Q99" s="657"/>
      <c r="R99" s="657"/>
      <c r="S99" s="657"/>
      <c r="AF99" s="304"/>
      <c r="AG99" s="304"/>
      <c r="AH99" s="304"/>
      <c r="AI99" s="304"/>
      <c r="AJ99" s="304"/>
      <c r="AK99" s="304"/>
      <c r="AL99" s="304"/>
      <c r="AM99" s="304"/>
      <c r="AN99" s="304"/>
      <c r="AO99" s="304"/>
      <c r="AP99" s="304"/>
      <c r="AQ99" s="304"/>
      <c r="AR99" s="304"/>
      <c r="AS99" s="304"/>
      <c r="AT99" s="304"/>
      <c r="AU99" s="304"/>
      <c r="AV99" s="304"/>
      <c r="AW99" s="304"/>
      <c r="AX99" s="304"/>
      <c r="AY99" s="304"/>
      <c r="AZ99" s="304"/>
      <c r="BA99" s="304"/>
      <c r="BB99" s="304"/>
      <c r="BC99" s="304"/>
      <c r="BD99" s="304"/>
      <c r="BE99" s="304"/>
      <c r="BF99" s="304"/>
      <c r="BG99" s="304"/>
      <c r="BH99" s="304"/>
      <c r="BI99" s="304"/>
      <c r="BJ99" s="304"/>
      <c r="BK99" s="304"/>
      <c r="BL99" s="304"/>
      <c r="BM99" s="304"/>
      <c r="BN99" s="304"/>
      <c r="BO99" s="304"/>
      <c r="BP99" s="304"/>
      <c r="BQ99" s="304"/>
      <c r="BR99" s="304"/>
    </row>
    <row r="100" spans="1:70" x14ac:dyDescent="0.2">
      <c r="A100" s="659">
        <v>30</v>
      </c>
      <c r="B100" s="664">
        <f t="shared" si="5"/>
        <v>0.63976242990648846</v>
      </c>
      <c r="C100" s="657"/>
      <c r="D100" s="657"/>
      <c r="E100" s="659">
        <v>30</v>
      </c>
      <c r="F100" s="664">
        <f t="shared" si="6"/>
        <v>1.0617729230784563</v>
      </c>
      <c r="G100" s="657"/>
      <c r="H100" s="657"/>
      <c r="I100" s="657"/>
      <c r="J100" s="657"/>
      <c r="K100" s="657"/>
      <c r="L100" s="657"/>
      <c r="M100" s="657"/>
      <c r="N100" s="657"/>
      <c r="O100" s="657"/>
      <c r="P100" s="661"/>
      <c r="Q100" s="657"/>
      <c r="R100" s="657"/>
      <c r="S100" s="657"/>
      <c r="AF100" s="304"/>
      <c r="AG100" s="304"/>
      <c r="AH100" s="304"/>
      <c r="AI100" s="304"/>
      <c r="AJ100" s="304"/>
      <c r="AK100" s="304"/>
      <c r="AL100" s="304"/>
      <c r="AM100" s="304"/>
      <c r="AN100" s="304"/>
      <c r="AO100" s="304"/>
      <c r="AP100" s="304"/>
      <c r="AQ100" s="304"/>
      <c r="AR100" s="304"/>
      <c r="AS100" s="304"/>
      <c r="AT100" s="304"/>
      <c r="AU100" s="304"/>
      <c r="AV100" s="304"/>
      <c r="AW100" s="304"/>
      <c r="AX100" s="304"/>
      <c r="AY100" s="304"/>
      <c r="AZ100" s="304"/>
      <c r="BA100" s="304"/>
      <c r="BB100" s="304"/>
      <c r="BC100" s="304"/>
      <c r="BD100" s="304"/>
      <c r="BE100" s="304"/>
      <c r="BF100" s="304"/>
      <c r="BG100" s="304"/>
      <c r="BH100" s="304"/>
      <c r="BI100" s="304"/>
      <c r="BJ100" s="304"/>
      <c r="BK100" s="304"/>
      <c r="BL100" s="304"/>
      <c r="BM100" s="304"/>
      <c r="BN100" s="304"/>
      <c r="BO100" s="304"/>
      <c r="BP100" s="304"/>
      <c r="BQ100" s="304"/>
      <c r="BR100" s="304"/>
    </row>
    <row r="101" spans="1:70" x14ac:dyDescent="0.2">
      <c r="A101" s="659">
        <v>31</v>
      </c>
      <c r="B101" s="664">
        <f t="shared" si="5"/>
        <v>0.6303078127157522</v>
      </c>
      <c r="C101" s="657"/>
      <c r="D101" s="657"/>
      <c r="E101" s="659">
        <v>31</v>
      </c>
      <c r="F101" s="664">
        <f t="shared" si="6"/>
        <v>1.0638964689246131</v>
      </c>
      <c r="G101" s="657"/>
      <c r="H101" s="657"/>
      <c r="I101" s="657"/>
      <c r="J101" s="657"/>
      <c r="K101" s="657"/>
      <c r="L101" s="657"/>
      <c r="M101" s="657"/>
      <c r="N101" s="657"/>
      <c r="O101" s="657"/>
      <c r="P101" s="661"/>
      <c r="Q101" s="657"/>
      <c r="R101" s="657"/>
      <c r="S101" s="657"/>
      <c r="AF101" s="304"/>
      <c r="AG101" s="304"/>
      <c r="AH101" s="304"/>
      <c r="AI101" s="304"/>
      <c r="AJ101" s="304"/>
      <c r="AK101" s="304"/>
      <c r="AL101" s="304"/>
      <c r="AM101" s="304"/>
      <c r="AN101" s="304"/>
      <c r="AO101" s="304"/>
      <c r="AP101" s="304"/>
      <c r="AQ101" s="304"/>
      <c r="AR101" s="304"/>
      <c r="AS101" s="304"/>
      <c r="AT101" s="304"/>
      <c r="AU101" s="304"/>
      <c r="AV101" s="304"/>
      <c r="AW101" s="304"/>
      <c r="AX101" s="304"/>
      <c r="AY101" s="304"/>
      <c r="AZ101" s="304"/>
      <c r="BA101" s="304"/>
      <c r="BB101" s="304"/>
      <c r="BC101" s="304"/>
      <c r="BD101" s="304"/>
      <c r="BE101" s="304"/>
      <c r="BF101" s="304"/>
      <c r="BG101" s="304"/>
      <c r="BH101" s="304"/>
      <c r="BI101" s="304"/>
      <c r="BJ101" s="304"/>
      <c r="BK101" s="304"/>
      <c r="BL101" s="304"/>
      <c r="BM101" s="304"/>
      <c r="BN101" s="304"/>
      <c r="BO101" s="304"/>
      <c r="BP101" s="304"/>
      <c r="BQ101" s="304"/>
      <c r="BR101" s="304"/>
    </row>
    <row r="102" spans="1:70" x14ac:dyDescent="0.2">
      <c r="A102" s="659">
        <v>32</v>
      </c>
      <c r="B102" s="664">
        <f t="shared" si="5"/>
        <v>0.62099291893177555</v>
      </c>
      <c r="C102" s="657"/>
      <c r="D102" s="657"/>
      <c r="E102" s="659">
        <v>32</v>
      </c>
      <c r="F102" s="664">
        <f t="shared" si="6"/>
        <v>1.0660242618624622</v>
      </c>
      <c r="G102" s="657"/>
      <c r="H102" s="657"/>
      <c r="I102" s="657"/>
      <c r="J102" s="657"/>
      <c r="K102" s="657"/>
      <c r="L102" s="657"/>
      <c r="M102" s="657"/>
      <c r="N102" s="657"/>
      <c r="O102" s="657"/>
      <c r="P102" s="661"/>
      <c r="Q102" s="657"/>
      <c r="R102" s="657"/>
      <c r="S102" s="657"/>
      <c r="AF102" s="304"/>
      <c r="AG102" s="304"/>
      <c r="AH102" s="304"/>
      <c r="AI102" s="304"/>
      <c r="AJ102" s="304"/>
      <c r="AK102" s="304"/>
      <c r="AL102" s="304"/>
      <c r="AM102" s="304"/>
      <c r="AN102" s="304"/>
      <c r="AO102" s="304"/>
      <c r="AP102" s="304"/>
      <c r="AQ102" s="304"/>
      <c r="AR102" s="304"/>
      <c r="AS102" s="304"/>
      <c r="AT102" s="304"/>
      <c r="AU102" s="304"/>
      <c r="AV102" s="304"/>
      <c r="AW102" s="304"/>
      <c r="AX102" s="304"/>
      <c r="AY102" s="304"/>
      <c r="AZ102" s="304"/>
      <c r="BA102" s="304"/>
      <c r="BB102" s="304"/>
      <c r="BC102" s="304"/>
      <c r="BD102" s="304"/>
      <c r="BE102" s="304"/>
      <c r="BF102" s="304"/>
      <c r="BG102" s="304"/>
      <c r="BH102" s="304"/>
      <c r="BI102" s="304"/>
      <c r="BJ102" s="304"/>
      <c r="BK102" s="304"/>
      <c r="BL102" s="304"/>
      <c r="BM102" s="304"/>
      <c r="BN102" s="304"/>
      <c r="BO102" s="304"/>
      <c r="BP102" s="304"/>
      <c r="BQ102" s="304"/>
      <c r="BR102" s="304"/>
    </row>
    <row r="103" spans="1:70" x14ac:dyDescent="0.2">
      <c r="A103" s="659">
        <v>33</v>
      </c>
      <c r="B103" s="664">
        <f t="shared" ref="B103:B130" si="7">B102*100/101.5</f>
        <v>0.6118156836766262</v>
      </c>
      <c r="C103" s="657"/>
      <c r="D103" s="657"/>
      <c r="E103" s="659">
        <v>33</v>
      </c>
      <c r="F103" s="664">
        <f t="shared" ref="F103:F134" si="8">F102*1.002</f>
        <v>1.0681563103861871</v>
      </c>
      <c r="G103" s="657"/>
      <c r="H103" s="657"/>
      <c r="I103" s="657"/>
      <c r="J103" s="657"/>
      <c r="K103" s="657"/>
      <c r="L103" s="657"/>
      <c r="M103" s="657"/>
      <c r="N103" s="657"/>
      <c r="O103" s="657"/>
      <c r="P103" s="657"/>
      <c r="Q103" s="657"/>
      <c r="R103" s="657"/>
      <c r="S103" s="657"/>
      <c r="AF103" s="304"/>
      <c r="AG103" s="304"/>
      <c r="AH103" s="304"/>
      <c r="AI103" s="304"/>
      <c r="AJ103" s="304"/>
      <c r="AK103" s="304"/>
      <c r="AL103" s="304"/>
      <c r="AM103" s="304"/>
      <c r="AN103" s="304"/>
      <c r="AO103" s="304"/>
      <c r="AP103" s="304"/>
      <c r="AQ103" s="304"/>
      <c r="AR103" s="304"/>
      <c r="AS103" s="304"/>
      <c r="AT103" s="304"/>
      <c r="AU103" s="304"/>
      <c r="AV103" s="304"/>
      <c r="AW103" s="304"/>
      <c r="AX103" s="304"/>
      <c r="AY103" s="304"/>
      <c r="AZ103" s="304"/>
      <c r="BA103" s="304"/>
      <c r="BB103" s="304"/>
      <c r="BC103" s="304"/>
      <c r="BD103" s="304"/>
      <c r="BE103" s="304"/>
      <c r="BF103" s="304"/>
      <c r="BG103" s="304"/>
      <c r="BH103" s="304"/>
      <c r="BI103" s="304"/>
      <c r="BJ103" s="304"/>
      <c r="BK103" s="304"/>
      <c r="BL103" s="304"/>
      <c r="BM103" s="304"/>
      <c r="BN103" s="304"/>
      <c r="BO103" s="304"/>
      <c r="BP103" s="304"/>
      <c r="BQ103" s="304"/>
      <c r="BR103" s="304"/>
    </row>
    <row r="104" spans="1:70" x14ac:dyDescent="0.2">
      <c r="A104" s="659">
        <v>34</v>
      </c>
      <c r="B104" s="664">
        <f t="shared" si="7"/>
        <v>0.60277407258780902</v>
      </c>
      <c r="C104" s="657"/>
      <c r="D104" s="657"/>
      <c r="E104" s="659">
        <v>34</v>
      </c>
      <c r="F104" s="664">
        <f t="shared" si="8"/>
        <v>1.0702926230069594</v>
      </c>
      <c r="G104" s="657"/>
      <c r="H104" s="657"/>
      <c r="I104" s="657"/>
      <c r="J104" s="657"/>
      <c r="K104" s="657"/>
      <c r="L104" s="657"/>
      <c r="M104" s="657"/>
      <c r="N104" s="657"/>
      <c r="O104" s="657"/>
      <c r="P104" s="657"/>
      <c r="Q104" s="657"/>
      <c r="R104" s="657"/>
      <c r="S104" s="657"/>
      <c r="AF104" s="304"/>
      <c r="AG104" s="304"/>
      <c r="AH104" s="304"/>
      <c r="AI104" s="304"/>
      <c r="AJ104" s="304"/>
      <c r="AK104" s="304"/>
      <c r="AL104" s="304"/>
      <c r="AM104" s="304"/>
      <c r="AN104" s="304"/>
      <c r="AO104" s="304"/>
      <c r="AP104" s="304"/>
      <c r="AQ104" s="304"/>
      <c r="AR104" s="304"/>
      <c r="AS104" s="304"/>
      <c r="AT104" s="304"/>
      <c r="AU104" s="304"/>
      <c r="AV104" s="304"/>
      <c r="AW104" s="304"/>
      <c r="AX104" s="304"/>
      <c r="AY104" s="304"/>
      <c r="AZ104" s="304"/>
      <c r="BA104" s="304"/>
      <c r="BB104" s="304"/>
      <c r="BC104" s="304"/>
      <c r="BD104" s="304"/>
      <c r="BE104" s="304"/>
      <c r="BF104" s="304"/>
      <c r="BG104" s="304"/>
      <c r="BH104" s="304"/>
      <c r="BI104" s="304"/>
      <c r="BJ104" s="304"/>
      <c r="BK104" s="304"/>
      <c r="BL104" s="304"/>
      <c r="BM104" s="304"/>
      <c r="BN104" s="304"/>
      <c r="BO104" s="304"/>
      <c r="BP104" s="304"/>
      <c r="BQ104" s="304"/>
      <c r="BR104" s="304"/>
    </row>
    <row r="105" spans="1:70" x14ac:dyDescent="0.2">
      <c r="A105" s="659">
        <v>35</v>
      </c>
      <c r="B105" s="664">
        <f t="shared" si="7"/>
        <v>0.59386608136729957</v>
      </c>
      <c r="C105" s="657"/>
      <c r="D105" s="657"/>
      <c r="E105" s="659">
        <v>35</v>
      </c>
      <c r="F105" s="664">
        <f t="shared" si="8"/>
        <v>1.0724332082529733</v>
      </c>
      <c r="G105" s="657"/>
      <c r="H105" s="657"/>
      <c r="I105" s="657"/>
      <c r="J105" s="657"/>
      <c r="K105" s="657"/>
      <c r="L105" s="657"/>
      <c r="M105" s="657"/>
      <c r="N105" s="657"/>
      <c r="O105" s="657"/>
      <c r="P105" s="657"/>
      <c r="Q105" s="657"/>
      <c r="R105" s="657"/>
      <c r="S105" s="657"/>
      <c r="AF105" s="304"/>
      <c r="AG105" s="304"/>
      <c r="AH105" s="304"/>
      <c r="AI105" s="304"/>
      <c r="AJ105" s="304"/>
      <c r="AK105" s="304"/>
      <c r="AL105" s="304"/>
      <c r="AM105" s="304"/>
      <c r="AN105" s="304"/>
      <c r="AO105" s="304"/>
      <c r="AP105" s="304"/>
      <c r="AQ105" s="304"/>
      <c r="AR105" s="304"/>
      <c r="AS105" s="304"/>
      <c r="AT105" s="304"/>
      <c r="AU105" s="304"/>
      <c r="AV105" s="304"/>
      <c r="AW105" s="304"/>
      <c r="AX105" s="304"/>
      <c r="AY105" s="304"/>
      <c r="AZ105" s="304"/>
      <c r="BA105" s="304"/>
      <c r="BB105" s="304"/>
      <c r="BC105" s="304"/>
      <c r="BD105" s="304"/>
      <c r="BE105" s="304"/>
      <c r="BF105" s="304"/>
      <c r="BG105" s="304"/>
      <c r="BH105" s="304"/>
      <c r="BI105" s="304"/>
      <c r="BJ105" s="304"/>
      <c r="BK105" s="304"/>
      <c r="BL105" s="304"/>
      <c r="BM105" s="304"/>
      <c r="BN105" s="304"/>
      <c r="BO105" s="304"/>
      <c r="BP105" s="304"/>
      <c r="BQ105" s="304"/>
      <c r="BR105" s="304"/>
    </row>
    <row r="106" spans="1:70" x14ac:dyDescent="0.2">
      <c r="A106" s="659">
        <v>36</v>
      </c>
      <c r="B106" s="664">
        <f t="shared" si="7"/>
        <v>0.58508973533724096</v>
      </c>
      <c r="C106" s="657"/>
      <c r="D106" s="657"/>
      <c r="E106" s="671">
        <v>36</v>
      </c>
      <c r="F106" s="672">
        <f t="shared" si="8"/>
        <v>1.0745780746694793</v>
      </c>
      <c r="G106" s="657"/>
      <c r="H106" s="657"/>
      <c r="I106" s="657"/>
      <c r="J106" s="657"/>
      <c r="K106" s="657"/>
      <c r="L106" s="657"/>
      <c r="M106" s="657"/>
      <c r="N106" s="657"/>
      <c r="O106" s="657"/>
      <c r="P106" s="657"/>
      <c r="Q106" s="657"/>
      <c r="R106" s="657"/>
      <c r="S106" s="657"/>
      <c r="AF106" s="304"/>
      <c r="AG106" s="304"/>
      <c r="AH106" s="304"/>
      <c r="AI106" s="304"/>
      <c r="AJ106" s="304"/>
      <c r="AK106" s="304"/>
      <c r="AL106" s="304"/>
      <c r="AM106" s="304"/>
      <c r="AN106" s="304"/>
      <c r="AO106" s="304"/>
      <c r="AP106" s="304"/>
      <c r="AQ106" s="304"/>
      <c r="AR106" s="304"/>
      <c r="AS106" s="304"/>
      <c r="AT106" s="304"/>
      <c r="AU106" s="304"/>
      <c r="AV106" s="304"/>
      <c r="AW106" s="304"/>
      <c r="AX106" s="304"/>
      <c r="AY106" s="304"/>
      <c r="AZ106" s="304"/>
      <c r="BA106" s="304"/>
      <c r="BB106" s="304"/>
      <c r="BC106" s="304"/>
      <c r="BD106" s="304"/>
      <c r="BE106" s="304"/>
      <c r="BF106" s="304"/>
      <c r="BG106" s="304"/>
      <c r="BH106" s="304"/>
      <c r="BI106" s="304"/>
      <c r="BJ106" s="304"/>
      <c r="BK106" s="304"/>
      <c r="BL106" s="304"/>
      <c r="BM106" s="304"/>
      <c r="BN106" s="304"/>
      <c r="BO106" s="304"/>
      <c r="BP106" s="304"/>
      <c r="BQ106" s="304"/>
      <c r="BR106" s="304"/>
    </row>
    <row r="107" spans="1:70" x14ac:dyDescent="0.2">
      <c r="A107" s="659">
        <v>37</v>
      </c>
      <c r="B107" s="664">
        <f t="shared" si="7"/>
        <v>0.57644308900220786</v>
      </c>
      <c r="C107" s="657"/>
      <c r="D107" s="657"/>
      <c r="E107" s="659">
        <v>37</v>
      </c>
      <c r="F107" s="664">
        <f t="shared" si="8"/>
        <v>1.0767272308188183</v>
      </c>
      <c r="G107" s="657"/>
      <c r="H107" s="657"/>
      <c r="I107" s="657"/>
      <c r="J107" s="657"/>
      <c r="K107" s="657"/>
      <c r="L107" s="657"/>
      <c r="M107" s="657"/>
      <c r="N107" s="657"/>
      <c r="O107" s="657"/>
      <c r="P107" s="657"/>
      <c r="Q107" s="657"/>
      <c r="R107" s="657"/>
      <c r="S107" s="657"/>
      <c r="AF107" s="304"/>
      <c r="AG107" s="304"/>
      <c r="AH107" s="304"/>
      <c r="AI107" s="304"/>
      <c r="AJ107" s="304"/>
      <c r="AK107" s="304"/>
      <c r="AL107" s="304"/>
      <c r="AM107" s="304"/>
      <c r="AN107" s="304"/>
      <c r="AO107" s="304"/>
      <c r="AP107" s="304"/>
      <c r="AQ107" s="304"/>
      <c r="AR107" s="304"/>
      <c r="AS107" s="304"/>
      <c r="AT107" s="304"/>
      <c r="AU107" s="304"/>
      <c r="AV107" s="304"/>
      <c r="AW107" s="304"/>
      <c r="AX107" s="304"/>
      <c r="AY107" s="304"/>
      <c r="AZ107" s="304"/>
      <c r="BA107" s="304"/>
      <c r="BB107" s="304"/>
      <c r="BC107" s="304"/>
      <c r="BD107" s="304"/>
      <c r="BE107" s="304"/>
      <c r="BF107" s="304"/>
      <c r="BG107" s="304"/>
      <c r="BH107" s="304"/>
      <c r="BI107" s="304"/>
      <c r="BJ107" s="304"/>
      <c r="BK107" s="304"/>
      <c r="BL107" s="304"/>
      <c r="BM107" s="304"/>
      <c r="BN107" s="304"/>
      <c r="BO107" s="304"/>
      <c r="BP107" s="304"/>
      <c r="BQ107" s="304"/>
      <c r="BR107" s="304"/>
    </row>
    <row r="108" spans="1:70" x14ac:dyDescent="0.2">
      <c r="A108" s="659">
        <v>38</v>
      </c>
      <c r="B108" s="664">
        <f t="shared" si="7"/>
        <v>0.56792422561793876</v>
      </c>
      <c r="C108" s="657"/>
      <c r="D108" s="657"/>
      <c r="E108" s="659">
        <v>38</v>
      </c>
      <c r="F108" s="664">
        <f t="shared" si="8"/>
        <v>1.078880685280456</v>
      </c>
      <c r="G108" s="657"/>
      <c r="H108" s="657"/>
      <c r="I108" s="657"/>
      <c r="J108" s="657"/>
      <c r="K108" s="657"/>
      <c r="L108" s="657"/>
      <c r="M108" s="657"/>
      <c r="N108" s="657"/>
      <c r="O108" s="657"/>
      <c r="P108" s="657"/>
      <c r="Q108" s="657"/>
      <c r="R108" s="657"/>
      <c r="S108" s="657"/>
      <c r="AF108" s="304"/>
      <c r="AG108" s="304"/>
      <c r="AH108" s="304"/>
      <c r="AI108" s="304"/>
      <c r="AJ108" s="304"/>
      <c r="AK108" s="304"/>
      <c r="AL108" s="304"/>
      <c r="AM108" s="304"/>
      <c r="AN108" s="304"/>
      <c r="AO108" s="304"/>
      <c r="AP108" s="304"/>
      <c r="AQ108" s="304"/>
      <c r="AR108" s="304"/>
      <c r="AS108" s="304"/>
      <c r="AT108" s="304"/>
      <c r="AU108" s="304"/>
      <c r="AV108" s="304"/>
      <c r="AW108" s="304"/>
      <c r="AX108" s="304"/>
      <c r="AY108" s="304"/>
      <c r="AZ108" s="304"/>
      <c r="BA108" s="304"/>
      <c r="BB108" s="304"/>
      <c r="BC108" s="304"/>
      <c r="BD108" s="304"/>
      <c r="BE108" s="304"/>
      <c r="BF108" s="304"/>
      <c r="BG108" s="304"/>
      <c r="BH108" s="304"/>
      <c r="BI108" s="304"/>
      <c r="BJ108" s="304"/>
      <c r="BK108" s="304"/>
      <c r="BL108" s="304"/>
      <c r="BM108" s="304"/>
      <c r="BN108" s="304"/>
      <c r="BO108" s="304"/>
      <c r="BP108" s="304"/>
      <c r="BQ108" s="304"/>
      <c r="BR108" s="304"/>
    </row>
    <row r="109" spans="1:70" x14ac:dyDescent="0.2">
      <c r="A109" s="659">
        <v>39</v>
      </c>
      <c r="B109" s="664">
        <f t="shared" si="7"/>
        <v>0.55953125676644211</v>
      </c>
      <c r="C109" s="657"/>
      <c r="D109" s="657"/>
      <c r="E109" s="659">
        <v>39</v>
      </c>
      <c r="F109" s="664">
        <f t="shared" si="8"/>
        <v>1.081038446651017</v>
      </c>
      <c r="G109" s="657"/>
      <c r="H109" s="657"/>
      <c r="I109" s="657"/>
      <c r="J109" s="657"/>
      <c r="K109" s="657"/>
      <c r="L109" s="657"/>
      <c r="M109" s="657"/>
      <c r="N109" s="657"/>
      <c r="O109" s="657"/>
      <c r="P109" s="657"/>
      <c r="Q109" s="657"/>
      <c r="R109" s="657"/>
      <c r="S109" s="657"/>
      <c r="AF109" s="304"/>
      <c r="AG109" s="304"/>
      <c r="AH109" s="304"/>
      <c r="AI109" s="304"/>
      <c r="AJ109" s="304"/>
      <c r="AK109" s="304"/>
      <c r="AL109" s="304"/>
      <c r="AM109" s="304"/>
      <c r="AN109" s="304"/>
      <c r="AO109" s="304"/>
      <c r="AP109" s="304"/>
      <c r="AQ109" s="304"/>
      <c r="AR109" s="304"/>
      <c r="AS109" s="304"/>
      <c r="AT109" s="304"/>
      <c r="AU109" s="304"/>
      <c r="AV109" s="304"/>
      <c r="AW109" s="304"/>
      <c r="AX109" s="304"/>
      <c r="AY109" s="304"/>
      <c r="AZ109" s="304"/>
      <c r="BA109" s="304"/>
      <c r="BB109" s="304"/>
      <c r="BC109" s="304"/>
      <c r="BD109" s="304"/>
      <c r="BE109" s="304"/>
      <c r="BF109" s="304"/>
      <c r="BG109" s="304"/>
      <c r="BH109" s="304"/>
      <c r="BI109" s="304"/>
      <c r="BJ109" s="304"/>
      <c r="BK109" s="304"/>
      <c r="BL109" s="304"/>
      <c r="BM109" s="304"/>
      <c r="BN109" s="304"/>
      <c r="BO109" s="304"/>
      <c r="BP109" s="304"/>
      <c r="BQ109" s="304"/>
      <c r="BR109" s="304"/>
    </row>
    <row r="110" spans="1:70" x14ac:dyDescent="0.2">
      <c r="A110" s="659">
        <v>40</v>
      </c>
      <c r="B110" s="664">
        <f t="shared" si="7"/>
        <v>0.55126232193738145</v>
      </c>
      <c r="C110" s="657"/>
      <c r="D110" s="657"/>
      <c r="E110" s="659">
        <v>40</v>
      </c>
      <c r="F110" s="664">
        <f t="shared" si="8"/>
        <v>1.0832005235443189</v>
      </c>
      <c r="G110" s="657"/>
      <c r="H110" s="657"/>
      <c r="I110" s="657"/>
      <c r="J110" s="657"/>
      <c r="K110" s="657"/>
      <c r="L110" s="657"/>
      <c r="M110" s="657"/>
      <c r="N110" s="657"/>
      <c r="O110" s="657"/>
      <c r="P110" s="657"/>
      <c r="Q110" s="657"/>
      <c r="R110" s="657"/>
      <c r="S110" s="657"/>
      <c r="AF110" s="304"/>
      <c r="AG110" s="304"/>
      <c r="AH110" s="304"/>
      <c r="AI110" s="304"/>
      <c r="AJ110" s="304"/>
      <c r="AK110" s="304"/>
      <c r="AL110" s="304"/>
      <c r="AM110" s="304"/>
      <c r="AN110" s="304"/>
      <c r="AO110" s="304"/>
      <c r="AP110" s="304"/>
      <c r="AQ110" s="304"/>
      <c r="AR110" s="304"/>
      <c r="AS110" s="304"/>
      <c r="AT110" s="304"/>
      <c r="AU110" s="304"/>
      <c r="AV110" s="304"/>
      <c r="AW110" s="304"/>
      <c r="AX110" s="304"/>
      <c r="AY110" s="304"/>
      <c r="AZ110" s="304"/>
      <c r="BA110" s="304"/>
      <c r="BB110" s="304"/>
      <c r="BC110" s="304"/>
      <c r="BD110" s="304"/>
      <c r="BE110" s="304"/>
      <c r="BF110" s="304"/>
      <c r="BG110" s="304"/>
      <c r="BH110" s="304"/>
      <c r="BI110" s="304"/>
      <c r="BJ110" s="304"/>
      <c r="BK110" s="304"/>
      <c r="BL110" s="304"/>
      <c r="BM110" s="304"/>
      <c r="BN110" s="304"/>
      <c r="BO110" s="304"/>
      <c r="BP110" s="304"/>
      <c r="BQ110" s="304"/>
      <c r="BR110" s="304"/>
    </row>
    <row r="111" spans="1:70" x14ac:dyDescent="0.2">
      <c r="A111" s="659">
        <v>41</v>
      </c>
      <c r="B111" s="664">
        <f t="shared" si="7"/>
        <v>0.54311558811564675</v>
      </c>
      <c r="C111" s="657"/>
      <c r="D111" s="657"/>
      <c r="E111" s="659">
        <v>41</v>
      </c>
      <c r="F111" s="664">
        <f t="shared" si="8"/>
        <v>1.0853669245914075</v>
      </c>
      <c r="G111" s="657"/>
      <c r="H111" s="657"/>
      <c r="I111" s="657"/>
      <c r="J111" s="657"/>
      <c r="K111" s="657"/>
      <c r="L111" s="657"/>
      <c r="M111" s="657"/>
      <c r="N111" s="657"/>
      <c r="O111" s="657"/>
      <c r="P111" s="657"/>
      <c r="Q111" s="657"/>
      <c r="R111" s="657"/>
      <c r="S111" s="657"/>
      <c r="AF111" s="304"/>
      <c r="AG111" s="304"/>
      <c r="AH111" s="304"/>
      <c r="AI111" s="304"/>
      <c r="AJ111" s="304"/>
      <c r="AK111" s="304"/>
      <c r="AL111" s="304"/>
      <c r="AM111" s="304"/>
      <c r="AN111" s="304"/>
      <c r="AO111" s="304"/>
      <c r="AP111" s="304"/>
      <c r="AQ111" s="304"/>
      <c r="AR111" s="304"/>
      <c r="AS111" s="304"/>
      <c r="AT111" s="304"/>
      <c r="AU111" s="304"/>
      <c r="AV111" s="304"/>
      <c r="AW111" s="304"/>
      <c r="AX111" s="304"/>
      <c r="AY111" s="304"/>
      <c r="AZ111" s="304"/>
      <c r="BA111" s="304"/>
      <c r="BB111" s="304"/>
      <c r="BC111" s="304"/>
      <c r="BD111" s="304"/>
      <c r="BE111" s="304"/>
      <c r="BF111" s="304"/>
      <c r="BG111" s="304"/>
      <c r="BH111" s="304"/>
      <c r="BI111" s="304"/>
      <c r="BJ111" s="304"/>
      <c r="BK111" s="304"/>
      <c r="BL111" s="304"/>
      <c r="BM111" s="304"/>
      <c r="BN111" s="304"/>
      <c r="BO111" s="304"/>
      <c r="BP111" s="304"/>
      <c r="BQ111" s="304"/>
      <c r="BR111" s="304"/>
    </row>
    <row r="112" spans="1:70" x14ac:dyDescent="0.2">
      <c r="A112" s="659">
        <v>42</v>
      </c>
      <c r="B112" s="664">
        <f t="shared" si="7"/>
        <v>0.53508924937502145</v>
      </c>
      <c r="C112" s="657"/>
      <c r="D112" s="657"/>
      <c r="E112" s="659">
        <v>42</v>
      </c>
      <c r="F112" s="664">
        <f t="shared" si="8"/>
        <v>1.0875376584405902</v>
      </c>
      <c r="G112" s="657"/>
      <c r="H112" s="657"/>
      <c r="I112" s="657"/>
      <c r="J112" s="657"/>
      <c r="K112" s="657"/>
      <c r="L112" s="657"/>
      <c r="M112" s="657"/>
      <c r="N112" s="657"/>
      <c r="O112" s="657"/>
      <c r="P112" s="657"/>
      <c r="Q112" s="657"/>
      <c r="R112" s="657"/>
      <c r="S112" s="657"/>
      <c r="AF112" s="304"/>
      <c r="AG112" s="304"/>
      <c r="AH112" s="304"/>
      <c r="AI112" s="304"/>
      <c r="AJ112" s="304"/>
      <c r="AK112" s="304"/>
      <c r="AL112" s="304"/>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row>
    <row r="113" spans="1:70" x14ac:dyDescent="0.2">
      <c r="A113" s="659">
        <v>43</v>
      </c>
      <c r="B113" s="664">
        <f t="shared" si="7"/>
        <v>0.52718152647785366</v>
      </c>
      <c r="C113" s="657"/>
      <c r="D113" s="657"/>
      <c r="E113" s="659">
        <v>43</v>
      </c>
      <c r="F113" s="664">
        <f t="shared" si="8"/>
        <v>1.0897127337574715</v>
      </c>
      <c r="G113" s="657"/>
      <c r="H113" s="657"/>
      <c r="I113" s="657"/>
      <c r="J113" s="657"/>
      <c r="K113" s="657"/>
      <c r="L113" s="657"/>
      <c r="M113" s="657"/>
      <c r="N113" s="657"/>
      <c r="O113" s="657"/>
      <c r="P113" s="657"/>
      <c r="Q113" s="657"/>
      <c r="R113" s="657"/>
      <c r="S113" s="657"/>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c r="BB113" s="304"/>
      <c r="BC113" s="304"/>
      <c r="BD113" s="304"/>
      <c r="BE113" s="304"/>
      <c r="BF113" s="304"/>
      <c r="BG113" s="304"/>
      <c r="BH113" s="304"/>
      <c r="BI113" s="304"/>
      <c r="BJ113" s="304"/>
      <c r="BK113" s="304"/>
      <c r="BL113" s="304"/>
      <c r="BM113" s="304"/>
      <c r="BN113" s="304"/>
      <c r="BO113" s="304"/>
      <c r="BP113" s="304"/>
      <c r="BQ113" s="304"/>
      <c r="BR113" s="304"/>
    </row>
    <row r="114" spans="1:70" x14ac:dyDescent="0.2">
      <c r="A114" s="659">
        <v>44</v>
      </c>
      <c r="B114" s="664">
        <f t="shared" si="7"/>
        <v>0.51939066648064403</v>
      </c>
      <c r="C114" s="657"/>
      <c r="D114" s="657"/>
      <c r="E114" s="659">
        <v>44</v>
      </c>
      <c r="F114" s="664">
        <f t="shared" si="8"/>
        <v>1.0918921592249864</v>
      </c>
      <c r="G114" s="657"/>
      <c r="H114" s="657"/>
      <c r="I114" s="657"/>
      <c r="J114" s="657"/>
      <c r="K114" s="657"/>
      <c r="L114" s="657"/>
      <c r="M114" s="657"/>
      <c r="N114" s="657"/>
      <c r="O114" s="657"/>
      <c r="P114" s="657"/>
      <c r="Q114" s="657"/>
      <c r="R114" s="657"/>
      <c r="S114" s="657"/>
      <c r="AF114" s="304"/>
      <c r="AG114" s="304"/>
      <c r="AH114" s="304"/>
      <c r="AI114" s="304"/>
      <c r="AJ114" s="304"/>
      <c r="AK114" s="304"/>
      <c r="AL114" s="304"/>
      <c r="AM114" s="304"/>
      <c r="AN114" s="304"/>
      <c r="AO114" s="304"/>
      <c r="AP114" s="304"/>
      <c r="AQ114" s="304"/>
      <c r="AR114" s="304"/>
      <c r="AS114" s="304"/>
      <c r="AT114" s="304"/>
      <c r="AU114" s="304"/>
      <c r="AV114" s="304"/>
      <c r="AW114" s="304"/>
      <c r="AX114" s="304"/>
      <c r="AY114" s="304"/>
      <c r="AZ114" s="304"/>
      <c r="BA114" s="304"/>
      <c r="BB114" s="304"/>
      <c r="BC114" s="304"/>
      <c r="BD114" s="304"/>
      <c r="BE114" s="304"/>
      <c r="BF114" s="304"/>
      <c r="BG114" s="304"/>
      <c r="BH114" s="304"/>
      <c r="BI114" s="304"/>
      <c r="BJ114" s="304"/>
      <c r="BK114" s="304"/>
      <c r="BL114" s="304"/>
      <c r="BM114" s="304"/>
      <c r="BN114" s="304"/>
      <c r="BO114" s="304"/>
      <c r="BP114" s="304"/>
      <c r="BQ114" s="304"/>
      <c r="BR114" s="304"/>
    </row>
    <row r="115" spans="1:70" x14ac:dyDescent="0.2">
      <c r="A115" s="659">
        <v>45</v>
      </c>
      <c r="B115" s="664">
        <f t="shared" si="7"/>
        <v>0.51171494234546211</v>
      </c>
      <c r="C115" s="657"/>
      <c r="D115" s="657"/>
      <c r="E115" s="659">
        <v>45</v>
      </c>
      <c r="F115" s="664">
        <f t="shared" si="8"/>
        <v>1.0940759435434364</v>
      </c>
      <c r="G115" s="657"/>
      <c r="H115" s="657"/>
      <c r="I115" s="657"/>
      <c r="J115" s="657"/>
      <c r="K115" s="657"/>
      <c r="L115" s="657"/>
      <c r="M115" s="657"/>
      <c r="N115" s="657"/>
      <c r="O115" s="657"/>
      <c r="P115" s="657"/>
      <c r="Q115" s="657"/>
      <c r="R115" s="657"/>
      <c r="S115" s="657"/>
      <c r="AF115" s="304"/>
      <c r="AG115" s="304"/>
      <c r="AH115" s="304"/>
      <c r="AI115" s="304"/>
      <c r="AJ115" s="304"/>
      <c r="AK115" s="304"/>
      <c r="AL115" s="304"/>
      <c r="AM115" s="304"/>
      <c r="AN115" s="304"/>
      <c r="AO115" s="304"/>
      <c r="AP115" s="304"/>
      <c r="AQ115" s="304"/>
      <c r="AR115" s="304"/>
      <c r="AS115" s="304"/>
      <c r="AT115" s="304"/>
      <c r="AU115" s="304"/>
      <c r="AV115" s="304"/>
      <c r="AW115" s="304"/>
      <c r="AX115" s="304"/>
      <c r="AY115" s="304"/>
      <c r="AZ115" s="304"/>
      <c r="BA115" s="304"/>
      <c r="BB115" s="304"/>
      <c r="BC115" s="304"/>
      <c r="BD115" s="304"/>
      <c r="BE115" s="304"/>
      <c r="BF115" s="304"/>
      <c r="BG115" s="304"/>
      <c r="BH115" s="304"/>
      <c r="BI115" s="304"/>
      <c r="BJ115" s="304"/>
      <c r="BK115" s="304"/>
      <c r="BL115" s="304"/>
      <c r="BM115" s="304"/>
      <c r="BN115" s="304"/>
      <c r="BO115" s="304"/>
      <c r="BP115" s="304"/>
      <c r="BQ115" s="304"/>
      <c r="BR115" s="304"/>
    </row>
    <row r="116" spans="1:70" x14ac:dyDescent="0.2">
      <c r="A116" s="659">
        <v>46</v>
      </c>
      <c r="B116" s="664">
        <f t="shared" si="7"/>
        <v>0.50415265255710551</v>
      </c>
      <c r="C116" s="657"/>
      <c r="D116" s="657"/>
      <c r="E116" s="659">
        <v>46</v>
      </c>
      <c r="F116" s="664">
        <f t="shared" si="8"/>
        <v>1.0962640954305232</v>
      </c>
      <c r="G116" s="657"/>
      <c r="H116" s="657"/>
      <c r="I116" s="657"/>
      <c r="J116" s="657"/>
      <c r="K116" s="657"/>
      <c r="L116" s="657"/>
      <c r="M116" s="657"/>
      <c r="N116" s="657"/>
      <c r="O116" s="657"/>
      <c r="P116" s="657"/>
      <c r="Q116" s="657"/>
      <c r="R116" s="657"/>
      <c r="S116" s="657"/>
      <c r="AF116" s="304"/>
      <c r="AG116" s="304"/>
      <c r="AH116" s="304"/>
      <c r="AI116" s="304"/>
      <c r="AJ116" s="304"/>
      <c r="AK116" s="304"/>
      <c r="AL116" s="304"/>
      <c r="AM116" s="304"/>
      <c r="AN116" s="304"/>
      <c r="AO116" s="304"/>
      <c r="AP116" s="304"/>
      <c r="AQ116" s="304"/>
      <c r="AR116" s="304"/>
      <c r="AS116" s="304"/>
      <c r="AT116" s="304"/>
      <c r="AU116" s="304"/>
      <c r="AV116" s="304"/>
      <c r="AW116" s="304"/>
      <c r="AX116" s="304"/>
      <c r="AY116" s="304"/>
      <c r="AZ116" s="304"/>
      <c r="BA116" s="304"/>
      <c r="BB116" s="304"/>
      <c r="BC116" s="304"/>
      <c r="BD116" s="304"/>
      <c r="BE116" s="304"/>
      <c r="BF116" s="304"/>
      <c r="BG116" s="304"/>
      <c r="BH116" s="304"/>
      <c r="BI116" s="304"/>
      <c r="BJ116" s="304"/>
      <c r="BK116" s="304"/>
      <c r="BL116" s="304"/>
      <c r="BM116" s="304"/>
      <c r="BN116" s="304"/>
      <c r="BO116" s="304"/>
      <c r="BP116" s="304"/>
      <c r="BQ116" s="304"/>
      <c r="BR116" s="304"/>
    </row>
    <row r="117" spans="1:70" x14ac:dyDescent="0.2">
      <c r="A117" s="659">
        <v>47</v>
      </c>
      <c r="B117" s="664">
        <f t="shared" si="7"/>
        <v>0.49670212074591674</v>
      </c>
      <c r="C117" s="657"/>
      <c r="D117" s="657"/>
      <c r="E117" s="659">
        <v>47</v>
      </c>
      <c r="F117" s="664">
        <f t="shared" si="8"/>
        <v>1.0984566236213842</v>
      </c>
      <c r="G117" s="657"/>
      <c r="H117" s="657"/>
      <c r="I117" s="657"/>
      <c r="J117" s="657"/>
      <c r="K117" s="657"/>
      <c r="L117" s="657"/>
      <c r="M117" s="657"/>
      <c r="N117" s="657"/>
      <c r="O117" s="657"/>
      <c r="P117" s="657"/>
      <c r="Q117" s="657"/>
      <c r="R117" s="657"/>
      <c r="S117" s="657"/>
      <c r="AF117" s="304"/>
      <c r="AG117" s="304"/>
      <c r="AH117" s="304"/>
      <c r="AI117" s="304"/>
      <c r="AJ117" s="304"/>
      <c r="AK117" s="304"/>
      <c r="AL117" s="304"/>
      <c r="AM117" s="304"/>
      <c r="AN117" s="304"/>
      <c r="AO117" s="304"/>
      <c r="AP117" s="304"/>
      <c r="AQ117" s="304"/>
      <c r="AR117" s="304"/>
      <c r="AS117" s="304"/>
      <c r="AT117" s="304"/>
      <c r="AU117" s="304"/>
      <c r="AV117" s="304"/>
      <c r="AW117" s="304"/>
      <c r="AX117" s="304"/>
      <c r="AY117" s="304"/>
      <c r="AZ117" s="304"/>
      <c r="BA117" s="304"/>
      <c r="BB117" s="304"/>
      <c r="BC117" s="304"/>
      <c r="BD117" s="304"/>
      <c r="BE117" s="304"/>
      <c r="BF117" s="304"/>
      <c r="BG117" s="304"/>
      <c r="BH117" s="304"/>
      <c r="BI117" s="304"/>
      <c r="BJ117" s="304"/>
      <c r="BK117" s="304"/>
      <c r="BL117" s="304"/>
      <c r="BM117" s="304"/>
      <c r="BN117" s="304"/>
      <c r="BO117" s="304"/>
      <c r="BP117" s="304"/>
      <c r="BQ117" s="304"/>
      <c r="BR117" s="304"/>
    </row>
    <row r="118" spans="1:70" x14ac:dyDescent="0.2">
      <c r="A118" s="659">
        <v>48</v>
      </c>
      <c r="B118" s="664">
        <f t="shared" si="7"/>
        <v>0.48936169531617413</v>
      </c>
      <c r="C118" s="657"/>
      <c r="D118" s="657"/>
      <c r="E118" s="659">
        <v>48</v>
      </c>
      <c r="F118" s="664">
        <f t="shared" si="8"/>
        <v>1.100653536868627</v>
      </c>
      <c r="G118" s="657"/>
      <c r="H118" s="657"/>
      <c r="I118" s="657"/>
      <c r="J118" s="657"/>
      <c r="K118" s="657"/>
      <c r="L118" s="657"/>
      <c r="M118" s="657"/>
      <c r="N118" s="657"/>
      <c r="O118" s="657"/>
      <c r="P118" s="657"/>
      <c r="Q118" s="657"/>
      <c r="R118" s="657"/>
      <c r="S118" s="657"/>
      <c r="AF118" s="304"/>
      <c r="AG118" s="304"/>
      <c r="AH118" s="304"/>
      <c r="AI118" s="304"/>
      <c r="AJ118" s="304"/>
      <c r="AK118" s="304"/>
      <c r="AL118" s="304"/>
      <c r="AM118" s="304"/>
      <c r="AN118" s="304"/>
      <c r="AO118" s="304"/>
      <c r="AP118" s="304"/>
      <c r="AQ118" s="304"/>
      <c r="AR118" s="304"/>
      <c r="AS118" s="304"/>
      <c r="AT118" s="304"/>
      <c r="AU118" s="304"/>
      <c r="AV118" s="304"/>
      <c r="AW118" s="304"/>
      <c r="AX118" s="304"/>
      <c r="AY118" s="304"/>
      <c r="AZ118" s="304"/>
      <c r="BA118" s="304"/>
      <c r="BB118" s="304"/>
      <c r="BC118" s="304"/>
      <c r="BD118" s="304"/>
      <c r="BE118" s="304"/>
      <c r="BF118" s="304"/>
      <c r="BG118" s="304"/>
      <c r="BH118" s="304"/>
      <c r="BI118" s="304"/>
      <c r="BJ118" s="304"/>
      <c r="BK118" s="304"/>
      <c r="BL118" s="304"/>
      <c r="BM118" s="304"/>
      <c r="BN118" s="304"/>
      <c r="BO118" s="304"/>
      <c r="BP118" s="304"/>
      <c r="BQ118" s="304"/>
      <c r="BR118" s="304"/>
    </row>
    <row r="119" spans="1:70" x14ac:dyDescent="0.2">
      <c r="A119" s="659">
        <v>49</v>
      </c>
      <c r="B119" s="664">
        <f t="shared" si="7"/>
        <v>0.48212974907997447</v>
      </c>
      <c r="C119" s="657"/>
      <c r="D119" s="657"/>
      <c r="E119" s="659">
        <v>49</v>
      </c>
      <c r="F119" s="664">
        <f t="shared" si="8"/>
        <v>1.1028548439423642</v>
      </c>
      <c r="G119" s="657"/>
      <c r="H119" s="657"/>
      <c r="I119" s="657"/>
      <c r="J119" s="657"/>
      <c r="K119" s="657"/>
      <c r="L119" s="657"/>
      <c r="M119" s="657"/>
      <c r="N119" s="657"/>
      <c r="O119" s="657"/>
      <c r="P119" s="657"/>
      <c r="Q119" s="657"/>
      <c r="R119" s="657"/>
      <c r="S119" s="657"/>
      <c r="AF119" s="304"/>
      <c r="AG119" s="304"/>
      <c r="AH119" s="304"/>
      <c r="AI119" s="304"/>
      <c r="AJ119" s="304"/>
      <c r="AK119" s="304"/>
      <c r="AL119" s="304"/>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row>
    <row r="120" spans="1:70" x14ac:dyDescent="0.2">
      <c r="A120" s="659">
        <v>50</v>
      </c>
      <c r="B120" s="664">
        <f t="shared" si="7"/>
        <v>0.47500467889652659</v>
      </c>
      <c r="C120" s="657"/>
      <c r="D120" s="657"/>
      <c r="E120" s="659">
        <v>50</v>
      </c>
      <c r="F120" s="664">
        <f t="shared" si="8"/>
        <v>1.1050605536302489</v>
      </c>
      <c r="G120" s="657"/>
      <c r="H120" s="657"/>
      <c r="I120" s="657"/>
      <c r="J120" s="657"/>
      <c r="K120" s="657"/>
      <c r="L120" s="657"/>
      <c r="M120" s="657"/>
      <c r="N120" s="657"/>
      <c r="O120" s="657"/>
      <c r="P120" s="657"/>
      <c r="Q120" s="657"/>
      <c r="R120" s="657"/>
      <c r="S120" s="657"/>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row>
    <row r="121" spans="1:70" x14ac:dyDescent="0.2">
      <c r="A121" s="659">
        <v>51</v>
      </c>
      <c r="B121" s="664">
        <f t="shared" si="7"/>
        <v>0.467984905316775</v>
      </c>
      <c r="C121" s="657"/>
      <c r="D121" s="657"/>
      <c r="E121" s="659">
        <v>51</v>
      </c>
      <c r="F121" s="664">
        <f t="shared" si="8"/>
        <v>1.1072706747375094</v>
      </c>
      <c r="G121" s="657"/>
      <c r="H121" s="657"/>
      <c r="I121" s="657"/>
      <c r="J121" s="657"/>
      <c r="K121" s="657"/>
      <c r="L121" s="657"/>
      <c r="M121" s="657"/>
      <c r="N121" s="657"/>
      <c r="O121" s="657"/>
      <c r="P121" s="657"/>
      <c r="Q121" s="657"/>
      <c r="R121" s="657"/>
      <c r="S121" s="657"/>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row>
    <row r="122" spans="1:70" x14ac:dyDescent="0.2">
      <c r="A122" s="659">
        <v>52</v>
      </c>
      <c r="B122" s="664">
        <f t="shared" si="7"/>
        <v>0.46106887223327586</v>
      </c>
      <c r="C122" s="657"/>
      <c r="D122" s="657"/>
      <c r="E122" s="659">
        <v>52</v>
      </c>
      <c r="F122" s="664">
        <f t="shared" si="8"/>
        <v>1.1094852160869844</v>
      </c>
      <c r="G122" s="657"/>
      <c r="H122" s="657"/>
      <c r="I122" s="657"/>
      <c r="J122" s="657"/>
      <c r="K122" s="657"/>
      <c r="L122" s="657"/>
      <c r="M122" s="657"/>
      <c r="N122" s="657"/>
      <c r="O122" s="657"/>
      <c r="P122" s="657"/>
      <c r="Q122" s="657"/>
      <c r="R122" s="657"/>
      <c r="S122" s="657"/>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row>
    <row r="123" spans="1:70" x14ac:dyDescent="0.2">
      <c r="A123" s="659">
        <v>53</v>
      </c>
      <c r="B123" s="664">
        <f t="shared" si="7"/>
        <v>0.45425504653524718</v>
      </c>
      <c r="C123" s="657"/>
      <c r="D123" s="657"/>
      <c r="E123" s="659">
        <v>53</v>
      </c>
      <c r="F123" s="664">
        <f t="shared" si="8"/>
        <v>1.1117041865191584</v>
      </c>
      <c r="G123" s="657"/>
      <c r="H123" s="657"/>
      <c r="I123" s="657"/>
      <c r="J123" s="657"/>
      <c r="K123" s="657"/>
      <c r="L123" s="657"/>
      <c r="M123" s="657"/>
      <c r="N123" s="657"/>
      <c r="O123" s="657"/>
      <c r="P123" s="657"/>
      <c r="Q123" s="657"/>
      <c r="R123" s="657"/>
      <c r="S123" s="657"/>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row>
    <row r="124" spans="1:70" x14ac:dyDescent="0.2">
      <c r="A124" s="659">
        <v>54</v>
      </c>
      <c r="B124" s="664">
        <f t="shared" si="7"/>
        <v>0.44754191776871644</v>
      </c>
      <c r="C124" s="657"/>
      <c r="D124" s="657"/>
      <c r="E124" s="659">
        <v>54</v>
      </c>
      <c r="F124" s="664">
        <f t="shared" si="8"/>
        <v>1.1139275948921967</v>
      </c>
      <c r="G124" s="657"/>
      <c r="H124" s="657"/>
      <c r="I124" s="657"/>
      <c r="J124" s="657"/>
      <c r="K124" s="657"/>
      <c r="L124" s="657"/>
      <c r="M124" s="657"/>
      <c r="N124" s="657"/>
      <c r="O124" s="657"/>
      <c r="P124" s="657"/>
      <c r="Q124" s="657"/>
      <c r="R124" s="657"/>
      <c r="S124" s="657"/>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row>
    <row r="125" spans="1:70" x14ac:dyDescent="0.2">
      <c r="A125" s="659">
        <v>55</v>
      </c>
      <c r="B125" s="664">
        <f t="shared" si="7"/>
        <v>0.44092799780169106</v>
      </c>
      <c r="C125" s="657"/>
      <c r="D125" s="657"/>
      <c r="E125" s="659">
        <v>55</v>
      </c>
      <c r="F125" s="664">
        <f t="shared" si="8"/>
        <v>1.116155450081981</v>
      </c>
      <c r="G125" s="657"/>
      <c r="H125" s="657"/>
      <c r="I125" s="657"/>
      <c r="J125" s="657"/>
      <c r="K125" s="657"/>
      <c r="L125" s="657"/>
      <c r="M125" s="657"/>
      <c r="N125" s="657"/>
      <c r="O125" s="657"/>
      <c r="P125" s="657"/>
      <c r="Q125" s="657"/>
      <c r="R125" s="657"/>
      <c r="S125" s="657"/>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row>
    <row r="126" spans="1:70" x14ac:dyDescent="0.2">
      <c r="A126" s="659">
        <v>56</v>
      </c>
      <c r="B126" s="664">
        <f t="shared" si="7"/>
        <v>0.43441182049427696</v>
      </c>
      <c r="C126" s="657"/>
      <c r="D126" s="657"/>
      <c r="E126" s="659">
        <v>56</v>
      </c>
      <c r="F126" s="664">
        <f t="shared" si="8"/>
        <v>1.1183877609821451</v>
      </c>
      <c r="G126" s="657"/>
      <c r="H126" s="657"/>
      <c r="I126" s="657"/>
      <c r="J126" s="657"/>
      <c r="K126" s="657"/>
      <c r="L126" s="657"/>
      <c r="M126" s="657"/>
      <c r="N126" s="657"/>
      <c r="O126" s="657"/>
      <c r="P126" s="657"/>
      <c r="Q126" s="657"/>
      <c r="R126" s="657"/>
      <c r="S126" s="657"/>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row>
    <row r="127" spans="1:70" x14ac:dyDescent="0.2">
      <c r="A127" s="659">
        <v>57</v>
      </c>
      <c r="B127" s="664">
        <f t="shared" si="7"/>
        <v>0.42799194137367186</v>
      </c>
      <c r="C127" s="657"/>
      <c r="D127" s="657"/>
      <c r="E127" s="659">
        <v>57</v>
      </c>
      <c r="F127" s="664">
        <f t="shared" si="8"/>
        <v>1.1206245365041094</v>
      </c>
      <c r="G127" s="657"/>
      <c r="H127" s="657"/>
      <c r="I127" s="657"/>
      <c r="J127" s="657"/>
      <c r="K127" s="657"/>
      <c r="L127" s="657"/>
      <c r="M127" s="657"/>
      <c r="N127" s="657"/>
      <c r="O127" s="657"/>
      <c r="P127" s="657"/>
      <c r="Q127" s="657"/>
      <c r="R127" s="657"/>
      <c r="S127" s="657"/>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row>
    <row r="128" spans="1:70" x14ac:dyDescent="0.2">
      <c r="A128" s="659">
        <v>58</v>
      </c>
      <c r="B128" s="664">
        <f t="shared" si="7"/>
        <v>0.42166693731396243</v>
      </c>
      <c r="C128" s="657"/>
      <c r="D128" s="657"/>
      <c r="E128" s="659">
        <v>58</v>
      </c>
      <c r="F128" s="664">
        <f t="shared" si="8"/>
        <v>1.1228657855771176</v>
      </c>
      <c r="G128" s="657"/>
      <c r="H128" s="657"/>
      <c r="I128" s="657"/>
      <c r="J128" s="657"/>
      <c r="K128" s="657"/>
      <c r="L128" s="657"/>
      <c r="M128" s="657"/>
      <c r="N128" s="657"/>
      <c r="O128" s="657"/>
      <c r="P128" s="657"/>
      <c r="Q128" s="657"/>
      <c r="R128" s="657"/>
      <c r="S128" s="657"/>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row>
    <row r="129" spans="1:70" x14ac:dyDescent="0.2">
      <c r="A129" s="659">
        <v>59</v>
      </c>
      <c r="B129" s="664">
        <f t="shared" si="7"/>
        <v>0.41543540622065267</v>
      </c>
      <c r="C129" s="657"/>
      <c r="D129" s="657"/>
      <c r="E129" s="659">
        <v>59</v>
      </c>
      <c r="F129" s="664">
        <f t="shared" si="8"/>
        <v>1.1251115171482717</v>
      </c>
      <c r="G129" s="657"/>
      <c r="H129" s="657"/>
      <c r="I129" s="657"/>
      <c r="J129" s="657"/>
      <c r="K129" s="657"/>
      <c r="L129" s="657"/>
      <c r="M129" s="657"/>
      <c r="N129" s="657"/>
      <c r="O129" s="657"/>
      <c r="P129" s="657"/>
      <c r="Q129" s="657"/>
      <c r="R129" s="657"/>
      <c r="S129" s="657"/>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row>
    <row r="130" spans="1:70" x14ac:dyDescent="0.2">
      <c r="A130" s="659">
        <v>60</v>
      </c>
      <c r="B130" s="664">
        <f t="shared" si="7"/>
        <v>0.40929596671985485</v>
      </c>
      <c r="C130" s="657"/>
      <c r="D130" s="657"/>
      <c r="E130" s="659">
        <v>60</v>
      </c>
      <c r="F130" s="664">
        <f t="shared" si="8"/>
        <v>1.1273617401825682</v>
      </c>
      <c r="G130" s="657"/>
      <c r="H130" s="657"/>
      <c r="I130" s="657"/>
      <c r="J130" s="657"/>
      <c r="K130" s="657"/>
      <c r="L130" s="657"/>
      <c r="M130" s="657"/>
      <c r="N130" s="657"/>
      <c r="O130" s="657"/>
      <c r="P130" s="657"/>
      <c r="Q130" s="657"/>
      <c r="R130" s="657"/>
      <c r="S130" s="657"/>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row>
    <row r="131" spans="1:70" x14ac:dyDescent="0.2">
      <c r="A131" s="657"/>
      <c r="B131" s="657"/>
      <c r="C131" s="657"/>
      <c r="D131" s="657"/>
      <c r="E131" s="659">
        <v>61</v>
      </c>
      <c r="F131" s="664">
        <f t="shared" si="8"/>
        <v>1.1296164636629333</v>
      </c>
      <c r="G131" s="657"/>
      <c r="H131" s="657"/>
      <c r="I131" s="657"/>
      <c r="J131" s="657"/>
      <c r="K131" s="657"/>
      <c r="L131" s="657"/>
      <c r="M131" s="657"/>
      <c r="N131" s="657"/>
      <c r="O131" s="657"/>
      <c r="P131" s="657"/>
      <c r="Q131" s="657"/>
      <c r="R131" s="657"/>
      <c r="S131" s="657"/>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row>
    <row r="132" spans="1:70" x14ac:dyDescent="0.2">
      <c r="A132" s="657"/>
      <c r="B132" s="657"/>
      <c r="C132" s="657"/>
      <c r="D132" s="657"/>
      <c r="E132" s="659">
        <v>62</v>
      </c>
      <c r="F132" s="664">
        <f t="shared" si="8"/>
        <v>1.1318756965902592</v>
      </c>
      <c r="G132" s="657"/>
      <c r="H132" s="657"/>
      <c r="I132" s="657"/>
      <c r="J132" s="657"/>
      <c r="K132" s="657"/>
      <c r="L132" s="657"/>
      <c r="M132" s="657"/>
      <c r="N132" s="657"/>
      <c r="O132" s="657"/>
      <c r="P132" s="657"/>
      <c r="Q132" s="657"/>
      <c r="R132" s="657"/>
      <c r="S132" s="657"/>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row>
    <row r="133" spans="1:70" x14ac:dyDescent="0.2">
      <c r="A133" s="657"/>
      <c r="B133" s="657"/>
      <c r="C133" s="657"/>
      <c r="D133" s="657"/>
      <c r="E133" s="659">
        <v>63</v>
      </c>
      <c r="F133" s="664">
        <f t="shared" si="8"/>
        <v>1.1341394479834397</v>
      </c>
      <c r="G133" s="657"/>
      <c r="H133" s="657"/>
      <c r="I133" s="657"/>
      <c r="J133" s="657"/>
      <c r="K133" s="657"/>
      <c r="L133" s="657"/>
      <c r="M133" s="657"/>
      <c r="N133" s="657"/>
      <c r="O133" s="657"/>
      <c r="P133" s="657"/>
      <c r="Q133" s="657"/>
      <c r="R133" s="657"/>
      <c r="S133" s="657"/>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row>
    <row r="134" spans="1:70" x14ac:dyDescent="0.2">
      <c r="A134" s="657"/>
      <c r="B134" s="657"/>
      <c r="C134" s="657"/>
      <c r="D134" s="657"/>
      <c r="E134" s="659">
        <v>64</v>
      </c>
      <c r="F134" s="664">
        <f t="shared" si="8"/>
        <v>1.1364077268794066</v>
      </c>
      <c r="G134" s="657"/>
      <c r="H134" s="657"/>
      <c r="I134" s="657"/>
      <c r="J134" s="657"/>
      <c r="K134" s="657"/>
      <c r="L134" s="657"/>
      <c r="M134" s="657"/>
      <c r="N134" s="657"/>
      <c r="O134" s="657"/>
      <c r="P134" s="657"/>
      <c r="Q134" s="657"/>
      <c r="R134" s="657"/>
      <c r="S134" s="657"/>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row>
    <row r="135" spans="1:70" x14ac:dyDescent="0.2">
      <c r="A135" s="657"/>
      <c r="B135" s="657"/>
      <c r="C135" s="657"/>
      <c r="D135" s="657"/>
      <c r="E135" s="659">
        <v>65</v>
      </c>
      <c r="F135" s="664">
        <f t="shared" ref="F135:F170" si="9">F134*1.002</f>
        <v>1.1386805423331654</v>
      </c>
      <c r="G135" s="657"/>
      <c r="H135" s="657"/>
      <c r="I135" s="657"/>
      <c r="J135" s="657"/>
      <c r="K135" s="657"/>
      <c r="L135" s="657"/>
      <c r="M135" s="657"/>
      <c r="N135" s="657"/>
      <c r="O135" s="657"/>
      <c r="P135" s="657"/>
      <c r="Q135" s="657"/>
      <c r="R135" s="657"/>
      <c r="S135" s="657"/>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row>
    <row r="136" spans="1:70" x14ac:dyDescent="0.2">
      <c r="A136" s="657"/>
      <c r="B136" s="657"/>
      <c r="C136" s="657"/>
      <c r="D136" s="657"/>
      <c r="E136" s="659">
        <v>66</v>
      </c>
      <c r="F136" s="664">
        <f t="shared" si="9"/>
        <v>1.1409579034178317</v>
      </c>
      <c r="G136" s="657"/>
      <c r="H136" s="657"/>
      <c r="I136" s="657"/>
      <c r="J136" s="657"/>
      <c r="K136" s="657"/>
      <c r="L136" s="657"/>
      <c r="M136" s="657"/>
      <c r="N136" s="657"/>
      <c r="O136" s="657"/>
      <c r="P136" s="657"/>
      <c r="Q136" s="657"/>
      <c r="R136" s="657"/>
      <c r="S136" s="657"/>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row>
    <row r="137" spans="1:70" x14ac:dyDescent="0.2">
      <c r="A137" s="657"/>
      <c r="B137" s="657"/>
      <c r="C137" s="657"/>
      <c r="D137" s="657"/>
      <c r="E137" s="659">
        <v>67</v>
      </c>
      <c r="F137" s="664">
        <f t="shared" si="9"/>
        <v>1.1432398192246673</v>
      </c>
      <c r="G137" s="657"/>
      <c r="H137" s="657"/>
      <c r="I137" s="657"/>
      <c r="J137" s="657"/>
      <c r="K137" s="657"/>
      <c r="L137" s="657"/>
      <c r="M137" s="657"/>
      <c r="N137" s="657"/>
      <c r="O137" s="657"/>
      <c r="P137" s="657"/>
      <c r="Q137" s="657"/>
      <c r="R137" s="657"/>
      <c r="S137" s="657"/>
      <c r="AF137" s="304"/>
      <c r="AG137" s="304"/>
      <c r="AH137" s="304"/>
      <c r="AI137" s="304"/>
      <c r="AJ137" s="304"/>
      <c r="AK137" s="304"/>
      <c r="AL137" s="304"/>
      <c r="AM137" s="304"/>
      <c r="AN137" s="304"/>
      <c r="AO137" s="304"/>
      <c r="AP137" s="304"/>
      <c r="AQ137" s="304"/>
      <c r="AR137" s="304"/>
      <c r="AS137" s="304"/>
      <c r="AT137" s="304"/>
      <c r="AU137" s="304"/>
      <c r="AV137" s="304"/>
      <c r="AW137" s="304"/>
      <c r="AX137" s="304"/>
      <c r="AY137" s="304"/>
      <c r="AZ137" s="304"/>
      <c r="BA137" s="304"/>
      <c r="BB137" s="304"/>
      <c r="BC137" s="304"/>
      <c r="BD137" s="304"/>
      <c r="BE137" s="304"/>
      <c r="BF137" s="304"/>
      <c r="BG137" s="304"/>
      <c r="BH137" s="304"/>
      <c r="BI137" s="304"/>
      <c r="BJ137" s="304"/>
      <c r="BK137" s="304"/>
      <c r="BL137" s="304"/>
      <c r="BM137" s="304"/>
      <c r="BN137" s="304"/>
      <c r="BO137" s="304"/>
      <c r="BP137" s="304"/>
      <c r="BQ137" s="304"/>
      <c r="BR137" s="304"/>
    </row>
    <row r="138" spans="1:70" x14ac:dyDescent="0.2">
      <c r="A138" s="657"/>
      <c r="B138" s="657"/>
      <c r="C138" s="657"/>
      <c r="D138" s="657"/>
      <c r="E138" s="659">
        <v>68</v>
      </c>
      <c r="F138" s="664">
        <f t="shared" si="9"/>
        <v>1.1455262988631167</v>
      </c>
      <c r="G138" s="657"/>
      <c r="H138" s="657"/>
      <c r="I138" s="657"/>
      <c r="J138" s="657"/>
      <c r="K138" s="657"/>
      <c r="L138" s="657"/>
      <c r="M138" s="657"/>
      <c r="N138" s="657"/>
      <c r="O138" s="657"/>
      <c r="P138" s="657"/>
      <c r="Q138" s="657"/>
      <c r="R138" s="657"/>
      <c r="S138" s="657"/>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row>
    <row r="139" spans="1:70" x14ac:dyDescent="0.2">
      <c r="A139" s="657"/>
      <c r="B139" s="657"/>
      <c r="C139" s="657"/>
      <c r="D139" s="657"/>
      <c r="E139" s="659">
        <v>69</v>
      </c>
      <c r="F139" s="664">
        <f t="shared" si="9"/>
        <v>1.147817351460843</v>
      </c>
      <c r="G139" s="657"/>
      <c r="H139" s="657"/>
      <c r="I139" s="657"/>
      <c r="J139" s="657"/>
      <c r="K139" s="657"/>
      <c r="L139" s="657"/>
      <c r="M139" s="657"/>
      <c r="N139" s="657"/>
      <c r="O139" s="657"/>
      <c r="P139" s="657"/>
      <c r="Q139" s="657"/>
      <c r="R139" s="657"/>
      <c r="S139" s="657"/>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c r="BB139" s="304"/>
      <c r="BC139" s="304"/>
      <c r="BD139" s="304"/>
      <c r="BE139" s="304"/>
      <c r="BF139" s="304"/>
      <c r="BG139" s="304"/>
      <c r="BH139" s="304"/>
      <c r="BI139" s="304"/>
      <c r="BJ139" s="304"/>
      <c r="BK139" s="304"/>
      <c r="BL139" s="304"/>
      <c r="BM139" s="304"/>
      <c r="BN139" s="304"/>
      <c r="BO139" s="304"/>
      <c r="BP139" s="304"/>
      <c r="BQ139" s="304"/>
      <c r="BR139" s="304"/>
    </row>
    <row r="140" spans="1:70" x14ac:dyDescent="0.2">
      <c r="A140" s="657"/>
      <c r="B140" s="657"/>
      <c r="C140" s="657"/>
      <c r="D140" s="657"/>
      <c r="E140" s="659">
        <v>70</v>
      </c>
      <c r="F140" s="664">
        <f t="shared" si="9"/>
        <v>1.1501129861637647</v>
      </c>
      <c r="G140" s="657"/>
      <c r="H140" s="657"/>
      <c r="I140" s="657"/>
      <c r="J140" s="657"/>
      <c r="K140" s="657"/>
      <c r="L140" s="657"/>
      <c r="M140" s="657"/>
      <c r="N140" s="657"/>
      <c r="O140" s="657"/>
      <c r="P140" s="657"/>
      <c r="Q140" s="657"/>
      <c r="R140" s="657"/>
      <c r="S140" s="657"/>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c r="BB140" s="304"/>
      <c r="BC140" s="304"/>
      <c r="BD140" s="304"/>
      <c r="BE140" s="304"/>
      <c r="BF140" s="304"/>
      <c r="BG140" s="304"/>
      <c r="BH140" s="304"/>
      <c r="BI140" s="304"/>
      <c r="BJ140" s="304"/>
      <c r="BK140" s="304"/>
      <c r="BL140" s="304"/>
      <c r="BM140" s="304"/>
      <c r="BN140" s="304"/>
      <c r="BO140" s="304"/>
      <c r="BP140" s="304"/>
      <c r="BQ140" s="304"/>
      <c r="BR140" s="304"/>
    </row>
    <row r="141" spans="1:70" x14ac:dyDescent="0.2">
      <c r="A141" s="657"/>
      <c r="B141" s="657"/>
      <c r="C141" s="657"/>
      <c r="D141" s="657"/>
      <c r="E141" s="659">
        <v>71</v>
      </c>
      <c r="F141" s="664">
        <f t="shared" si="9"/>
        <v>1.1524132121360922</v>
      </c>
      <c r="G141" s="657"/>
      <c r="H141" s="657"/>
      <c r="I141" s="657"/>
      <c r="J141" s="657"/>
      <c r="K141" s="657"/>
      <c r="L141" s="657"/>
      <c r="M141" s="657"/>
      <c r="N141" s="657"/>
      <c r="O141" s="657"/>
      <c r="P141" s="657"/>
      <c r="Q141" s="657"/>
      <c r="R141" s="657"/>
      <c r="S141" s="657"/>
      <c r="AF141" s="304"/>
      <c r="AG141" s="304"/>
      <c r="AH141" s="304"/>
      <c r="AI141" s="304"/>
      <c r="AJ141" s="304"/>
      <c r="AK141" s="304"/>
      <c r="AL141" s="304"/>
      <c r="AM141" s="304"/>
      <c r="AN141" s="304"/>
      <c r="AO141" s="304"/>
      <c r="AP141" s="304"/>
      <c r="AQ141" s="304"/>
      <c r="AR141" s="304"/>
      <c r="AS141" s="304"/>
      <c r="AT141" s="304"/>
      <c r="AU141" s="304"/>
      <c r="AV141" s="304"/>
      <c r="AW141" s="304"/>
      <c r="AX141" s="304"/>
      <c r="AY141" s="304"/>
      <c r="AZ141" s="304"/>
      <c r="BA141" s="304"/>
      <c r="BB141" s="304"/>
      <c r="BC141" s="304"/>
      <c r="BD141" s="304"/>
      <c r="BE141" s="304"/>
      <c r="BF141" s="304"/>
      <c r="BG141" s="304"/>
      <c r="BH141" s="304"/>
      <c r="BI141" s="304"/>
      <c r="BJ141" s="304"/>
      <c r="BK141" s="304"/>
      <c r="BL141" s="304"/>
      <c r="BM141" s="304"/>
      <c r="BN141" s="304"/>
      <c r="BO141" s="304"/>
      <c r="BP141" s="304"/>
      <c r="BQ141" s="304"/>
      <c r="BR141" s="304"/>
    </row>
    <row r="142" spans="1:70" x14ac:dyDescent="0.2">
      <c r="A142" s="657"/>
      <c r="B142" s="657"/>
      <c r="C142" s="657"/>
      <c r="D142" s="657"/>
      <c r="E142" s="659">
        <v>72</v>
      </c>
      <c r="F142" s="664">
        <f t="shared" si="9"/>
        <v>1.1547180385603644</v>
      </c>
      <c r="G142" s="657"/>
      <c r="H142" s="657"/>
      <c r="I142" s="657"/>
      <c r="J142" s="657"/>
      <c r="K142" s="657"/>
      <c r="L142" s="657"/>
      <c r="M142" s="657"/>
      <c r="N142" s="657"/>
      <c r="O142" s="657"/>
      <c r="P142" s="657"/>
      <c r="Q142" s="657"/>
      <c r="R142" s="657"/>
      <c r="S142" s="657"/>
      <c r="AF142" s="304"/>
      <c r="AG142" s="304"/>
      <c r="AH142" s="304"/>
      <c r="AI142" s="304"/>
      <c r="AJ142" s="304"/>
      <c r="AK142" s="304"/>
      <c r="AL142" s="304"/>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row>
    <row r="143" spans="1:70" x14ac:dyDescent="0.2">
      <c r="A143" s="657"/>
      <c r="B143" s="657"/>
      <c r="C143" s="657"/>
      <c r="D143" s="657"/>
      <c r="E143" s="659">
        <v>73</v>
      </c>
      <c r="F143" s="664">
        <f t="shared" si="9"/>
        <v>1.1570274746374851</v>
      </c>
      <c r="G143" s="657"/>
      <c r="H143" s="657"/>
      <c r="I143" s="657"/>
      <c r="J143" s="657"/>
      <c r="K143" s="657"/>
      <c r="L143" s="657"/>
      <c r="M143" s="657"/>
      <c r="N143" s="657"/>
      <c r="O143" s="657"/>
      <c r="P143" s="657"/>
      <c r="Q143" s="657"/>
      <c r="R143" s="657"/>
      <c r="S143" s="657"/>
      <c r="AF143" s="304"/>
      <c r="AG143" s="304"/>
      <c r="AH143" s="304"/>
      <c r="AI143" s="304"/>
      <c r="AJ143" s="304"/>
      <c r="AK143" s="304"/>
      <c r="AL143" s="304"/>
      <c r="AM143" s="304"/>
      <c r="AN143" s="304"/>
      <c r="AO143" s="304"/>
      <c r="AP143" s="304"/>
      <c r="AQ143" s="304"/>
      <c r="AR143" s="304"/>
      <c r="AS143" s="304"/>
      <c r="AT143" s="304"/>
      <c r="AU143" s="304"/>
      <c r="AV143" s="304"/>
      <c r="AW143" s="304"/>
      <c r="AX143" s="304"/>
      <c r="AY143" s="304"/>
      <c r="AZ143" s="304"/>
      <c r="BA143" s="304"/>
      <c r="BB143" s="304"/>
      <c r="BC143" s="304"/>
      <c r="BD143" s="304"/>
      <c r="BE143" s="304"/>
      <c r="BF143" s="304"/>
      <c r="BG143" s="304"/>
      <c r="BH143" s="304"/>
      <c r="BI143" s="304"/>
      <c r="BJ143" s="304"/>
      <c r="BK143" s="304"/>
      <c r="BL143" s="304"/>
      <c r="BM143" s="304"/>
      <c r="BN143" s="304"/>
      <c r="BO143" s="304"/>
      <c r="BP143" s="304"/>
      <c r="BQ143" s="304"/>
      <c r="BR143" s="304"/>
    </row>
    <row r="144" spans="1:70" x14ac:dyDescent="0.2">
      <c r="A144" s="657"/>
      <c r="B144" s="657"/>
      <c r="C144" s="657"/>
      <c r="D144" s="657"/>
      <c r="E144" s="659">
        <v>74</v>
      </c>
      <c r="F144" s="664">
        <f t="shared" si="9"/>
        <v>1.1593415295867602</v>
      </c>
      <c r="G144" s="657"/>
      <c r="H144" s="657"/>
      <c r="I144" s="657"/>
      <c r="J144" s="657"/>
      <c r="K144" s="657"/>
      <c r="L144" s="657"/>
      <c r="M144" s="657"/>
      <c r="N144" s="657"/>
      <c r="O144" s="657"/>
      <c r="P144" s="657"/>
      <c r="Q144" s="657"/>
      <c r="R144" s="657"/>
      <c r="S144" s="657"/>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row>
    <row r="145" spans="1:70" x14ac:dyDescent="0.2">
      <c r="A145" s="657"/>
      <c r="B145" s="657"/>
      <c r="C145" s="657"/>
      <c r="D145" s="657"/>
      <c r="E145" s="659">
        <v>75</v>
      </c>
      <c r="F145" s="664">
        <f t="shared" si="9"/>
        <v>1.1616602126459337</v>
      </c>
      <c r="G145" s="657"/>
      <c r="H145" s="657"/>
      <c r="I145" s="657"/>
      <c r="J145" s="657"/>
      <c r="K145" s="657"/>
      <c r="L145" s="657"/>
      <c r="M145" s="657"/>
      <c r="N145" s="657"/>
      <c r="O145" s="657"/>
      <c r="P145" s="657"/>
      <c r="Q145" s="657"/>
      <c r="R145" s="657"/>
      <c r="S145" s="657"/>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row>
    <row r="146" spans="1:70" x14ac:dyDescent="0.2">
      <c r="A146" s="657"/>
      <c r="B146" s="657"/>
      <c r="C146" s="657"/>
      <c r="D146" s="657"/>
      <c r="E146" s="659">
        <v>76</v>
      </c>
      <c r="F146" s="664">
        <f t="shared" si="9"/>
        <v>1.1639835330712256</v>
      </c>
      <c r="G146" s="657"/>
      <c r="H146" s="657"/>
      <c r="I146" s="657"/>
      <c r="J146" s="657"/>
      <c r="K146" s="657"/>
      <c r="L146" s="657"/>
      <c r="M146" s="657"/>
      <c r="N146" s="657"/>
      <c r="O146" s="657"/>
      <c r="P146" s="657"/>
      <c r="Q146" s="657"/>
      <c r="R146" s="657"/>
      <c r="S146" s="657"/>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row>
    <row r="147" spans="1:70" x14ac:dyDescent="0.2">
      <c r="A147" s="657"/>
      <c r="B147" s="657"/>
      <c r="C147" s="657"/>
      <c r="D147" s="657"/>
      <c r="E147" s="659">
        <v>77</v>
      </c>
      <c r="F147" s="664">
        <f t="shared" si="9"/>
        <v>1.1663115001373681</v>
      </c>
      <c r="G147" s="657"/>
      <c r="H147" s="657"/>
      <c r="I147" s="657"/>
      <c r="J147" s="657"/>
      <c r="K147" s="657"/>
      <c r="L147" s="657"/>
      <c r="M147" s="657"/>
      <c r="N147" s="657"/>
      <c r="O147" s="657"/>
      <c r="P147" s="657"/>
      <c r="Q147" s="657"/>
      <c r="R147" s="657"/>
      <c r="S147" s="657"/>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c r="BB147" s="304"/>
      <c r="BC147" s="304"/>
      <c r="BD147" s="304"/>
      <c r="BE147" s="304"/>
      <c r="BF147" s="304"/>
      <c r="BG147" s="304"/>
      <c r="BH147" s="304"/>
      <c r="BI147" s="304"/>
      <c r="BJ147" s="304"/>
      <c r="BK147" s="304"/>
      <c r="BL147" s="304"/>
      <c r="BM147" s="304"/>
      <c r="BN147" s="304"/>
      <c r="BO147" s="304"/>
      <c r="BP147" s="304"/>
      <c r="BQ147" s="304"/>
      <c r="BR147" s="304"/>
    </row>
    <row r="148" spans="1:70" x14ac:dyDescent="0.2">
      <c r="A148" s="657"/>
      <c r="B148" s="657"/>
      <c r="C148" s="657"/>
      <c r="D148" s="657"/>
      <c r="E148" s="659">
        <v>78</v>
      </c>
      <c r="F148" s="664">
        <f t="shared" si="9"/>
        <v>1.1686441231376428</v>
      </c>
      <c r="G148" s="657"/>
      <c r="H148" s="657"/>
      <c r="I148" s="657"/>
      <c r="J148" s="657"/>
      <c r="K148" s="657"/>
      <c r="L148" s="657"/>
      <c r="M148" s="657"/>
      <c r="N148" s="657"/>
      <c r="O148" s="657"/>
      <c r="P148" s="657"/>
      <c r="Q148" s="657"/>
      <c r="R148" s="657"/>
      <c r="S148" s="657"/>
      <c r="AF148" s="304"/>
      <c r="AG148" s="304"/>
      <c r="AH148" s="304"/>
      <c r="AI148" s="304"/>
      <c r="AJ148" s="304"/>
      <c r="AK148" s="304"/>
      <c r="AL148" s="304"/>
      <c r="AM148" s="304"/>
      <c r="AN148" s="304"/>
      <c r="AO148" s="304"/>
      <c r="AP148" s="304"/>
      <c r="AQ148" s="304"/>
      <c r="AR148" s="304"/>
      <c r="AS148" s="304"/>
      <c r="AT148" s="304"/>
      <c r="AU148" s="304"/>
      <c r="AV148" s="304"/>
      <c r="AW148" s="304"/>
      <c r="AX148" s="304"/>
      <c r="AY148" s="304"/>
      <c r="AZ148" s="304"/>
      <c r="BA148" s="304"/>
      <c r="BB148" s="304"/>
      <c r="BC148" s="304"/>
      <c r="BD148" s="304"/>
      <c r="BE148" s="304"/>
      <c r="BF148" s="304"/>
      <c r="BG148" s="304"/>
      <c r="BH148" s="304"/>
      <c r="BI148" s="304"/>
      <c r="BJ148" s="304"/>
      <c r="BK148" s="304"/>
      <c r="BL148" s="304"/>
      <c r="BM148" s="304"/>
      <c r="BN148" s="304"/>
      <c r="BO148" s="304"/>
      <c r="BP148" s="304"/>
      <c r="BQ148" s="304"/>
      <c r="BR148" s="304"/>
    </row>
    <row r="149" spans="1:70" x14ac:dyDescent="0.2">
      <c r="A149" s="657"/>
      <c r="B149" s="657"/>
      <c r="C149" s="657"/>
      <c r="D149" s="657"/>
      <c r="E149" s="659">
        <v>79</v>
      </c>
      <c r="F149" s="664">
        <f t="shared" si="9"/>
        <v>1.1709814113839181</v>
      </c>
      <c r="G149" s="657"/>
      <c r="H149" s="657"/>
      <c r="I149" s="657"/>
      <c r="J149" s="657"/>
      <c r="K149" s="657"/>
      <c r="L149" s="657"/>
      <c r="M149" s="657"/>
      <c r="N149" s="657"/>
      <c r="O149" s="657"/>
      <c r="P149" s="657"/>
      <c r="Q149" s="657"/>
      <c r="R149" s="657"/>
      <c r="S149" s="657"/>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row>
    <row r="150" spans="1:70" x14ac:dyDescent="0.2">
      <c r="A150" s="657"/>
      <c r="B150" s="657"/>
      <c r="C150" s="657"/>
      <c r="D150" s="657"/>
      <c r="E150" s="659">
        <v>80</v>
      </c>
      <c r="F150" s="664">
        <f t="shared" si="9"/>
        <v>1.173323374206686</v>
      </c>
      <c r="G150" s="657"/>
      <c r="H150" s="657"/>
      <c r="I150" s="657"/>
      <c r="J150" s="657"/>
      <c r="K150" s="657"/>
      <c r="L150" s="657"/>
      <c r="M150" s="657"/>
      <c r="N150" s="657"/>
      <c r="O150" s="657"/>
      <c r="P150" s="657"/>
      <c r="Q150" s="657"/>
      <c r="R150" s="657"/>
      <c r="S150" s="657"/>
      <c r="AF150" s="304"/>
      <c r="AG150" s="304"/>
      <c r="AH150" s="304"/>
      <c r="AI150" s="304"/>
      <c r="AJ150" s="304"/>
      <c r="AK150" s="304"/>
      <c r="AL150" s="304"/>
      <c r="AM150" s="304"/>
      <c r="AN150" s="304"/>
      <c r="AO150" s="304"/>
      <c r="AP150" s="304"/>
      <c r="AQ150" s="304"/>
      <c r="AR150" s="304"/>
      <c r="AS150" s="304"/>
      <c r="AT150" s="304"/>
      <c r="AU150" s="304"/>
      <c r="AV150" s="304"/>
      <c r="AW150" s="304"/>
      <c r="AX150" s="304"/>
      <c r="AY150" s="304"/>
      <c r="AZ150" s="304"/>
      <c r="BA150" s="304"/>
      <c r="BB150" s="304"/>
      <c r="BC150" s="304"/>
      <c r="BD150" s="304"/>
      <c r="BE150" s="304"/>
      <c r="BF150" s="304"/>
      <c r="BG150" s="304"/>
      <c r="BH150" s="304"/>
      <c r="BI150" s="304"/>
      <c r="BJ150" s="304"/>
      <c r="BK150" s="304"/>
      <c r="BL150" s="304"/>
      <c r="BM150" s="304"/>
      <c r="BN150" s="304"/>
      <c r="BO150" s="304"/>
      <c r="BP150" s="304"/>
      <c r="BQ150" s="304"/>
      <c r="BR150" s="304"/>
    </row>
    <row r="151" spans="1:70" x14ac:dyDescent="0.2">
      <c r="A151" s="657"/>
      <c r="B151" s="657"/>
      <c r="C151" s="657"/>
      <c r="D151" s="657"/>
      <c r="E151" s="659">
        <v>81</v>
      </c>
      <c r="F151" s="664">
        <f t="shared" si="9"/>
        <v>1.1756700209550994</v>
      </c>
      <c r="G151" s="657"/>
      <c r="H151" s="657"/>
      <c r="I151" s="657"/>
      <c r="J151" s="657"/>
      <c r="K151" s="657"/>
      <c r="L151" s="657"/>
      <c r="M151" s="657"/>
      <c r="N151" s="657"/>
      <c r="O151" s="657"/>
      <c r="P151" s="657"/>
      <c r="Q151" s="657"/>
      <c r="R151" s="657"/>
      <c r="S151" s="657"/>
      <c r="AF151" s="304"/>
      <c r="AG151" s="304"/>
      <c r="AH151" s="304"/>
      <c r="AI151" s="304"/>
      <c r="AJ151" s="304"/>
      <c r="AK151" s="304"/>
      <c r="AL151" s="304"/>
      <c r="AM151" s="304"/>
      <c r="AN151" s="304"/>
      <c r="AO151" s="304"/>
      <c r="AP151" s="304"/>
      <c r="AQ151" s="304"/>
      <c r="AR151" s="304"/>
      <c r="AS151" s="304"/>
      <c r="AT151" s="304"/>
      <c r="AU151" s="304"/>
      <c r="AV151" s="304"/>
      <c r="AW151" s="304"/>
      <c r="AX151" s="304"/>
      <c r="AY151" s="304"/>
      <c r="AZ151" s="304"/>
      <c r="BA151" s="304"/>
      <c r="BB151" s="304"/>
      <c r="BC151" s="304"/>
      <c r="BD151" s="304"/>
      <c r="BE151" s="304"/>
      <c r="BF151" s="304"/>
      <c r="BG151" s="304"/>
      <c r="BH151" s="304"/>
      <c r="BI151" s="304"/>
      <c r="BJ151" s="304"/>
      <c r="BK151" s="304"/>
      <c r="BL151" s="304"/>
      <c r="BM151" s="304"/>
      <c r="BN151" s="304"/>
      <c r="BO151" s="304"/>
      <c r="BP151" s="304"/>
      <c r="BQ151" s="304"/>
      <c r="BR151" s="304"/>
    </row>
    <row r="152" spans="1:70" x14ac:dyDescent="0.2">
      <c r="A152" s="657"/>
      <c r="B152" s="657"/>
      <c r="C152" s="657"/>
      <c r="D152" s="657"/>
      <c r="E152" s="659">
        <v>82</v>
      </c>
      <c r="F152" s="664">
        <f t="shared" si="9"/>
        <v>1.1780213609970096</v>
      </c>
      <c r="G152" s="657"/>
      <c r="H152" s="657"/>
      <c r="I152" s="657"/>
      <c r="J152" s="657"/>
      <c r="K152" s="657"/>
      <c r="L152" s="657"/>
      <c r="M152" s="657"/>
      <c r="N152" s="657"/>
      <c r="O152" s="657"/>
      <c r="P152" s="657"/>
      <c r="Q152" s="657"/>
      <c r="R152" s="657"/>
      <c r="S152" s="657"/>
      <c r="AF152" s="304"/>
      <c r="AG152" s="304"/>
      <c r="AH152" s="304"/>
      <c r="AI152" s="304"/>
      <c r="AJ152" s="304"/>
      <c r="AK152" s="304"/>
      <c r="AL152" s="304"/>
      <c r="AM152" s="304"/>
      <c r="AN152" s="304"/>
      <c r="AO152" s="304"/>
      <c r="AP152" s="304"/>
      <c r="AQ152" s="304"/>
      <c r="AR152" s="304"/>
      <c r="AS152" s="304"/>
      <c r="AT152" s="304"/>
      <c r="AU152" s="304"/>
      <c r="AV152" s="304"/>
      <c r="AW152" s="304"/>
      <c r="AX152" s="304"/>
      <c r="AY152" s="304"/>
      <c r="AZ152" s="304"/>
      <c r="BA152" s="304"/>
      <c r="BB152" s="304"/>
      <c r="BC152" s="304"/>
      <c r="BD152" s="304"/>
      <c r="BE152" s="304"/>
      <c r="BF152" s="304"/>
      <c r="BG152" s="304"/>
      <c r="BH152" s="304"/>
      <c r="BI152" s="304"/>
      <c r="BJ152" s="304"/>
      <c r="BK152" s="304"/>
      <c r="BL152" s="304"/>
      <c r="BM152" s="304"/>
      <c r="BN152" s="304"/>
      <c r="BO152" s="304"/>
      <c r="BP152" s="304"/>
      <c r="BQ152" s="304"/>
      <c r="BR152" s="304"/>
    </row>
    <row r="153" spans="1:70" x14ac:dyDescent="0.2">
      <c r="A153" s="657"/>
      <c r="B153" s="657"/>
      <c r="C153" s="657"/>
      <c r="D153" s="657"/>
      <c r="E153" s="659">
        <v>83</v>
      </c>
      <c r="F153" s="664">
        <f t="shared" si="9"/>
        <v>1.1803774037190036</v>
      </c>
      <c r="G153" s="657"/>
      <c r="H153" s="657"/>
      <c r="I153" s="657"/>
      <c r="J153" s="657"/>
      <c r="K153" s="657"/>
      <c r="L153" s="657"/>
      <c r="M153" s="657"/>
      <c r="N153" s="657"/>
      <c r="O153" s="657"/>
      <c r="P153" s="657"/>
      <c r="Q153" s="657"/>
      <c r="R153" s="657"/>
      <c r="S153" s="657"/>
      <c r="AF153" s="304"/>
      <c r="AG153" s="304"/>
      <c r="AH153" s="304"/>
      <c r="AI153" s="304"/>
      <c r="AJ153" s="304"/>
      <c r="AK153" s="304"/>
      <c r="AL153" s="304"/>
      <c r="AM153" s="304"/>
      <c r="AN153" s="304"/>
      <c r="AO153" s="304"/>
      <c r="AP153" s="304"/>
      <c r="AQ153" s="304"/>
      <c r="AR153" s="304"/>
      <c r="AS153" s="304"/>
      <c r="AT153" s="304"/>
      <c r="AU153" s="304"/>
      <c r="AV153" s="304"/>
      <c r="AW153" s="304"/>
      <c r="AX153" s="304"/>
      <c r="AY153" s="304"/>
      <c r="AZ153" s="304"/>
      <c r="BA153" s="304"/>
      <c r="BB153" s="304"/>
      <c r="BC153" s="304"/>
      <c r="BD153" s="304"/>
      <c r="BE153" s="304"/>
      <c r="BF153" s="304"/>
      <c r="BG153" s="304"/>
      <c r="BH153" s="304"/>
      <c r="BI153" s="304"/>
      <c r="BJ153" s="304"/>
      <c r="BK153" s="304"/>
      <c r="BL153" s="304"/>
      <c r="BM153" s="304"/>
      <c r="BN153" s="304"/>
      <c r="BO153" s="304"/>
      <c r="BP153" s="304"/>
      <c r="BQ153" s="304"/>
      <c r="BR153" s="304"/>
    </row>
    <row r="154" spans="1:70" x14ac:dyDescent="0.2">
      <c r="A154" s="657"/>
      <c r="B154" s="657"/>
      <c r="C154" s="657"/>
      <c r="D154" s="657"/>
      <c r="E154" s="659">
        <v>84</v>
      </c>
      <c r="F154" s="664">
        <f t="shared" si="9"/>
        <v>1.1827381585264416</v>
      </c>
      <c r="G154" s="657"/>
      <c r="H154" s="657"/>
      <c r="I154" s="657"/>
      <c r="J154" s="657"/>
      <c r="K154" s="657"/>
      <c r="L154" s="657"/>
      <c r="M154" s="657"/>
      <c r="N154" s="657"/>
      <c r="O154" s="657"/>
      <c r="P154" s="657"/>
      <c r="Q154" s="657"/>
      <c r="R154" s="657"/>
      <c r="S154" s="657"/>
      <c r="AF154" s="304"/>
      <c r="AG154" s="304"/>
      <c r="AH154" s="304"/>
      <c r="AI154" s="304"/>
      <c r="AJ154" s="304"/>
      <c r="AK154" s="304"/>
      <c r="AL154" s="304"/>
      <c r="AM154" s="304"/>
      <c r="AN154" s="304"/>
      <c r="AO154" s="304"/>
      <c r="AP154" s="304"/>
      <c r="AQ154" s="304"/>
      <c r="AR154" s="304"/>
      <c r="AS154" s="304"/>
      <c r="AT154" s="304"/>
      <c r="AU154" s="304"/>
      <c r="AV154" s="304"/>
      <c r="AW154" s="304"/>
      <c r="AX154" s="304"/>
      <c r="AY154" s="304"/>
      <c r="AZ154" s="304"/>
      <c r="BA154" s="304"/>
      <c r="BB154" s="304"/>
      <c r="BC154" s="304"/>
      <c r="BD154" s="304"/>
      <c r="BE154" s="304"/>
      <c r="BF154" s="304"/>
      <c r="BG154" s="304"/>
      <c r="BH154" s="304"/>
      <c r="BI154" s="304"/>
      <c r="BJ154" s="304"/>
      <c r="BK154" s="304"/>
      <c r="BL154" s="304"/>
      <c r="BM154" s="304"/>
      <c r="BN154" s="304"/>
      <c r="BO154" s="304"/>
      <c r="BP154" s="304"/>
      <c r="BQ154" s="304"/>
      <c r="BR154" s="304"/>
    </row>
    <row r="155" spans="1:70" x14ac:dyDescent="0.2">
      <c r="A155" s="657"/>
      <c r="B155" s="657"/>
      <c r="C155" s="657"/>
      <c r="D155" s="657"/>
      <c r="E155" s="669">
        <v>85</v>
      </c>
      <c r="F155" s="670">
        <f t="shared" si="9"/>
        <v>1.1851036348434945</v>
      </c>
      <c r="G155" s="657"/>
      <c r="H155" s="657"/>
      <c r="I155" s="657"/>
      <c r="J155" s="657"/>
      <c r="K155" s="657"/>
      <c r="L155" s="657"/>
      <c r="M155" s="657"/>
      <c r="N155" s="657"/>
      <c r="O155" s="657"/>
      <c r="P155" s="657"/>
      <c r="Q155" s="657"/>
      <c r="R155" s="657"/>
      <c r="S155" s="657"/>
      <c r="AF155" s="304"/>
      <c r="AG155" s="304"/>
      <c r="AH155" s="304"/>
      <c r="AI155" s="304"/>
      <c r="AJ155" s="304"/>
      <c r="AK155" s="304"/>
      <c r="AL155" s="304"/>
      <c r="AM155" s="304"/>
      <c r="AN155" s="304"/>
      <c r="AO155" s="304"/>
      <c r="AP155" s="304"/>
      <c r="AQ155" s="304"/>
      <c r="AR155" s="304"/>
      <c r="AS155" s="304"/>
      <c r="AT155" s="304"/>
      <c r="AU155" s="304"/>
      <c r="AV155" s="304"/>
      <c r="AW155" s="304"/>
      <c r="AX155" s="304"/>
      <c r="AY155" s="304"/>
      <c r="AZ155" s="304"/>
      <c r="BA155" s="304"/>
      <c r="BB155" s="304"/>
      <c r="BC155" s="304"/>
      <c r="BD155" s="304"/>
      <c r="BE155" s="304"/>
      <c r="BF155" s="304"/>
      <c r="BG155" s="304"/>
      <c r="BH155" s="304"/>
      <c r="BI155" s="304"/>
      <c r="BJ155" s="304"/>
      <c r="BK155" s="304"/>
      <c r="BL155" s="304"/>
      <c r="BM155" s="304"/>
      <c r="BN155" s="304"/>
      <c r="BO155" s="304"/>
      <c r="BP155" s="304"/>
      <c r="BQ155" s="304"/>
      <c r="BR155" s="304"/>
    </row>
    <row r="156" spans="1:70" x14ac:dyDescent="0.2">
      <c r="A156" s="657"/>
      <c r="B156" s="657"/>
      <c r="C156" s="657"/>
      <c r="D156" s="657"/>
      <c r="E156" s="659">
        <v>86</v>
      </c>
      <c r="F156" s="664">
        <f t="shared" si="9"/>
        <v>1.1874738421131814</v>
      </c>
      <c r="G156" s="657"/>
      <c r="H156" s="657"/>
      <c r="I156" s="657"/>
      <c r="J156" s="657"/>
      <c r="K156" s="657"/>
      <c r="L156" s="657"/>
      <c r="M156" s="657"/>
      <c r="N156" s="657"/>
      <c r="O156" s="657"/>
      <c r="P156" s="657"/>
      <c r="Q156" s="657"/>
      <c r="R156" s="657"/>
      <c r="S156" s="657"/>
      <c r="AF156" s="304"/>
      <c r="AG156" s="304"/>
      <c r="AH156" s="304"/>
      <c r="AI156" s="304"/>
      <c r="AJ156" s="304"/>
      <c r="AK156" s="304"/>
      <c r="AL156" s="304"/>
      <c r="AM156" s="304"/>
      <c r="AN156" s="304"/>
      <c r="AO156" s="304"/>
      <c r="AP156" s="304"/>
      <c r="AQ156" s="304"/>
      <c r="AR156" s="304"/>
      <c r="AS156" s="304"/>
      <c r="AT156" s="304"/>
      <c r="AU156" s="304"/>
      <c r="AV156" s="304"/>
      <c r="AW156" s="304"/>
      <c r="AX156" s="304"/>
      <c r="AY156" s="304"/>
      <c r="AZ156" s="304"/>
      <c r="BA156" s="304"/>
      <c r="BB156" s="304"/>
      <c r="BC156" s="304"/>
      <c r="BD156" s="304"/>
      <c r="BE156" s="304"/>
      <c r="BF156" s="304"/>
      <c r="BG156" s="304"/>
      <c r="BH156" s="304"/>
      <c r="BI156" s="304"/>
      <c r="BJ156" s="304"/>
      <c r="BK156" s="304"/>
      <c r="BL156" s="304"/>
      <c r="BM156" s="304"/>
      <c r="BN156" s="304"/>
      <c r="BO156" s="304"/>
      <c r="BP156" s="304"/>
      <c r="BQ156" s="304"/>
      <c r="BR156" s="304"/>
    </row>
    <row r="157" spans="1:70" x14ac:dyDescent="0.2">
      <c r="A157" s="657"/>
      <c r="B157" s="657"/>
      <c r="C157" s="657"/>
      <c r="D157" s="657"/>
      <c r="E157" s="659">
        <v>87</v>
      </c>
      <c r="F157" s="664">
        <f t="shared" si="9"/>
        <v>1.1898487897974077</v>
      </c>
      <c r="G157" s="657"/>
      <c r="H157" s="657"/>
      <c r="I157" s="657"/>
      <c r="J157" s="657"/>
      <c r="K157" s="657"/>
      <c r="L157" s="657"/>
      <c r="M157" s="657"/>
      <c r="N157" s="657"/>
      <c r="O157" s="657"/>
      <c r="P157" s="657"/>
      <c r="Q157" s="657"/>
      <c r="R157" s="657"/>
      <c r="S157" s="657"/>
      <c r="AF157" s="304"/>
      <c r="AG157" s="304"/>
      <c r="AH157" s="304"/>
      <c r="AI157" s="304"/>
      <c r="AJ157" s="304"/>
      <c r="AK157" s="304"/>
      <c r="AL157" s="304"/>
      <c r="AM157" s="304"/>
      <c r="AN157" s="304"/>
      <c r="AO157" s="304"/>
      <c r="AP157" s="304"/>
      <c r="AQ157" s="304"/>
      <c r="AR157" s="304"/>
      <c r="AS157" s="304"/>
      <c r="AT157" s="304"/>
      <c r="AU157" s="304"/>
      <c r="AV157" s="304"/>
      <c r="AW157" s="304"/>
      <c r="AX157" s="304"/>
      <c r="AY157" s="304"/>
      <c r="AZ157" s="304"/>
      <c r="BA157" s="304"/>
      <c r="BB157" s="304"/>
      <c r="BC157" s="304"/>
      <c r="BD157" s="304"/>
      <c r="BE157" s="304"/>
      <c r="BF157" s="304"/>
      <c r="BG157" s="304"/>
      <c r="BH157" s="304"/>
      <c r="BI157" s="304"/>
      <c r="BJ157" s="304"/>
      <c r="BK157" s="304"/>
      <c r="BL157" s="304"/>
      <c r="BM157" s="304"/>
      <c r="BN157" s="304"/>
      <c r="BO157" s="304"/>
      <c r="BP157" s="304"/>
      <c r="BQ157" s="304"/>
      <c r="BR157" s="304"/>
    </row>
    <row r="158" spans="1:70" x14ac:dyDescent="0.2">
      <c r="A158" s="657"/>
      <c r="B158" s="657"/>
      <c r="C158" s="657"/>
      <c r="D158" s="657"/>
      <c r="E158" s="659">
        <v>88</v>
      </c>
      <c r="F158" s="664">
        <f t="shared" si="9"/>
        <v>1.1922284873770026</v>
      </c>
      <c r="G158" s="657"/>
      <c r="H158" s="657"/>
      <c r="I158" s="657"/>
      <c r="J158" s="657"/>
      <c r="K158" s="657"/>
      <c r="L158" s="657"/>
      <c r="M158" s="657"/>
      <c r="N158" s="657"/>
      <c r="O158" s="657"/>
      <c r="P158" s="657"/>
      <c r="Q158" s="657"/>
      <c r="R158" s="657"/>
      <c r="S158" s="657"/>
      <c r="AF158" s="304"/>
      <c r="AG158" s="304"/>
      <c r="AH158" s="304"/>
      <c r="AI158" s="304"/>
      <c r="AJ158" s="304"/>
      <c r="AK158" s="304"/>
      <c r="AL158" s="304"/>
      <c r="AM158" s="304"/>
      <c r="AN158" s="304"/>
      <c r="AO158" s="304"/>
      <c r="AP158" s="304"/>
      <c r="AQ158" s="304"/>
      <c r="AR158" s="304"/>
      <c r="AS158" s="304"/>
      <c r="AT158" s="304"/>
      <c r="AU158" s="304"/>
      <c r="AV158" s="304"/>
      <c r="AW158" s="304"/>
      <c r="AX158" s="304"/>
      <c r="AY158" s="304"/>
      <c r="AZ158" s="304"/>
      <c r="BA158" s="304"/>
      <c r="BB158" s="304"/>
      <c r="BC158" s="304"/>
      <c r="BD158" s="304"/>
      <c r="BE158" s="304"/>
      <c r="BF158" s="304"/>
      <c r="BG158" s="304"/>
      <c r="BH158" s="304"/>
      <c r="BI158" s="304"/>
      <c r="BJ158" s="304"/>
      <c r="BK158" s="304"/>
      <c r="BL158" s="304"/>
      <c r="BM158" s="304"/>
      <c r="BN158" s="304"/>
      <c r="BO158" s="304"/>
      <c r="BP158" s="304"/>
      <c r="BQ158" s="304"/>
      <c r="BR158" s="304"/>
    </row>
    <row r="159" spans="1:70" x14ac:dyDescent="0.2">
      <c r="A159" s="657"/>
      <c r="B159" s="657"/>
      <c r="C159" s="657"/>
      <c r="D159" s="657"/>
      <c r="E159" s="659">
        <v>89</v>
      </c>
      <c r="F159" s="664">
        <f t="shared" si="9"/>
        <v>1.1946129443517566</v>
      </c>
      <c r="G159" s="657"/>
      <c r="H159" s="657"/>
      <c r="I159" s="657"/>
      <c r="J159" s="657"/>
      <c r="K159" s="657"/>
      <c r="L159" s="657"/>
      <c r="M159" s="657"/>
      <c r="N159" s="657"/>
      <c r="O159" s="657"/>
      <c r="P159" s="657"/>
      <c r="Q159" s="657"/>
      <c r="R159" s="657"/>
      <c r="S159" s="657"/>
      <c r="AF159" s="304"/>
      <c r="AG159" s="304"/>
      <c r="AH159" s="304"/>
      <c r="AI159" s="304"/>
      <c r="AJ159" s="304"/>
      <c r="AK159" s="304"/>
      <c r="AL159" s="304"/>
      <c r="AM159" s="304"/>
      <c r="AN159" s="304"/>
      <c r="AO159" s="304"/>
      <c r="AP159" s="304"/>
      <c r="AQ159" s="304"/>
      <c r="AR159" s="304"/>
      <c r="AS159" s="304"/>
      <c r="AT159" s="304"/>
      <c r="AU159" s="304"/>
      <c r="AV159" s="304"/>
      <c r="AW159" s="304"/>
      <c r="AX159" s="304"/>
      <c r="AY159" s="304"/>
      <c r="AZ159" s="304"/>
      <c r="BA159" s="304"/>
      <c r="BB159" s="304"/>
      <c r="BC159" s="304"/>
      <c r="BD159" s="304"/>
      <c r="BE159" s="304"/>
      <c r="BF159" s="304"/>
      <c r="BG159" s="304"/>
      <c r="BH159" s="304"/>
      <c r="BI159" s="304"/>
      <c r="BJ159" s="304"/>
      <c r="BK159" s="304"/>
      <c r="BL159" s="304"/>
      <c r="BM159" s="304"/>
      <c r="BN159" s="304"/>
      <c r="BO159" s="304"/>
      <c r="BP159" s="304"/>
      <c r="BQ159" s="304"/>
      <c r="BR159" s="304"/>
    </row>
    <row r="160" spans="1:70" x14ac:dyDescent="0.2">
      <c r="A160" s="657"/>
      <c r="B160" s="657"/>
      <c r="C160" s="657"/>
      <c r="D160" s="657"/>
      <c r="E160" s="659">
        <v>90</v>
      </c>
      <c r="F160" s="664">
        <f t="shared" si="9"/>
        <v>1.1970021702404601</v>
      </c>
      <c r="G160" s="657"/>
      <c r="H160" s="657"/>
      <c r="I160" s="657"/>
      <c r="J160" s="657"/>
      <c r="K160" s="657"/>
      <c r="L160" s="657"/>
      <c r="M160" s="657"/>
      <c r="N160" s="657"/>
      <c r="O160" s="657"/>
      <c r="P160" s="657"/>
      <c r="Q160" s="657"/>
      <c r="R160" s="657"/>
      <c r="S160" s="657"/>
      <c r="AF160" s="304"/>
      <c r="AG160" s="304"/>
      <c r="AH160" s="304"/>
      <c r="AI160" s="304"/>
      <c r="AJ160" s="304"/>
      <c r="AK160" s="304"/>
      <c r="AL160" s="304"/>
      <c r="AM160" s="304"/>
      <c r="AN160" s="304"/>
      <c r="AO160" s="304"/>
      <c r="AP160" s="304"/>
      <c r="AQ160" s="304"/>
      <c r="AR160" s="304"/>
      <c r="AS160" s="304"/>
      <c r="AT160" s="304"/>
      <c r="AU160" s="304"/>
      <c r="AV160" s="304"/>
      <c r="AW160" s="304"/>
      <c r="AX160" s="304"/>
      <c r="AY160" s="304"/>
      <c r="AZ160" s="304"/>
      <c r="BA160" s="304"/>
      <c r="BB160" s="304"/>
      <c r="BC160" s="304"/>
      <c r="BD160" s="304"/>
      <c r="BE160" s="304"/>
      <c r="BF160" s="304"/>
      <c r="BG160" s="304"/>
      <c r="BH160" s="304"/>
      <c r="BI160" s="304"/>
      <c r="BJ160" s="304"/>
      <c r="BK160" s="304"/>
      <c r="BL160" s="304"/>
      <c r="BM160" s="304"/>
      <c r="BN160" s="304"/>
      <c r="BO160" s="304"/>
      <c r="BP160" s="304"/>
      <c r="BQ160" s="304"/>
      <c r="BR160" s="304"/>
    </row>
    <row r="161" spans="1:70" x14ac:dyDescent="0.2">
      <c r="A161" s="657"/>
      <c r="B161" s="657"/>
      <c r="C161" s="657"/>
      <c r="D161" s="657"/>
      <c r="E161" s="659">
        <v>91</v>
      </c>
      <c r="F161" s="664">
        <f t="shared" si="9"/>
        <v>1.1993961745809409</v>
      </c>
      <c r="G161" s="657"/>
      <c r="H161" s="657"/>
      <c r="I161" s="657"/>
      <c r="J161" s="657"/>
      <c r="K161" s="657"/>
      <c r="L161" s="657"/>
      <c r="M161" s="657"/>
      <c r="N161" s="657"/>
      <c r="O161" s="657"/>
      <c r="P161" s="657"/>
      <c r="Q161" s="657"/>
      <c r="R161" s="657"/>
      <c r="S161" s="657"/>
      <c r="AF161" s="304"/>
      <c r="AG161" s="304"/>
      <c r="AH161" s="304"/>
      <c r="AI161" s="304"/>
      <c r="AJ161" s="304"/>
      <c r="AK161" s="304"/>
      <c r="AL161" s="304"/>
      <c r="AM161" s="304"/>
      <c r="AN161" s="304"/>
      <c r="AO161" s="304"/>
      <c r="AP161" s="304"/>
      <c r="AQ161" s="304"/>
      <c r="AR161" s="304"/>
      <c r="AS161" s="304"/>
      <c r="AT161" s="304"/>
      <c r="AU161" s="304"/>
      <c r="AV161" s="304"/>
      <c r="AW161" s="304"/>
      <c r="AX161" s="304"/>
      <c r="AY161" s="304"/>
      <c r="AZ161" s="304"/>
      <c r="BA161" s="304"/>
      <c r="BB161" s="304"/>
      <c r="BC161" s="304"/>
      <c r="BD161" s="304"/>
      <c r="BE161" s="304"/>
      <c r="BF161" s="304"/>
      <c r="BG161" s="304"/>
      <c r="BH161" s="304"/>
      <c r="BI161" s="304"/>
      <c r="BJ161" s="304"/>
      <c r="BK161" s="304"/>
      <c r="BL161" s="304"/>
      <c r="BM161" s="304"/>
      <c r="BN161" s="304"/>
      <c r="BO161" s="304"/>
      <c r="BP161" s="304"/>
      <c r="BQ161" s="304"/>
      <c r="BR161" s="304"/>
    </row>
    <row r="162" spans="1:70" x14ac:dyDescent="0.2">
      <c r="A162" s="657"/>
      <c r="B162" s="657"/>
      <c r="C162" s="657"/>
      <c r="D162" s="657"/>
      <c r="E162" s="659">
        <v>92</v>
      </c>
      <c r="F162" s="664">
        <f t="shared" si="9"/>
        <v>1.2017949669301029</v>
      </c>
      <c r="G162" s="657"/>
      <c r="H162" s="657"/>
      <c r="I162" s="657"/>
      <c r="J162" s="657"/>
      <c r="K162" s="657"/>
      <c r="L162" s="657"/>
      <c r="M162" s="657"/>
      <c r="N162" s="657"/>
      <c r="O162" s="657"/>
      <c r="P162" s="657"/>
      <c r="Q162" s="657"/>
      <c r="R162" s="657"/>
      <c r="S162" s="657"/>
      <c r="AF162" s="304"/>
      <c r="AG162" s="304"/>
      <c r="AH162" s="304"/>
      <c r="AI162" s="304"/>
      <c r="AJ162" s="304"/>
      <c r="AK162" s="304"/>
      <c r="AL162" s="304"/>
      <c r="AM162" s="304"/>
      <c r="AN162" s="304"/>
      <c r="AO162" s="304"/>
      <c r="AP162" s="304"/>
      <c r="AQ162" s="304"/>
      <c r="AR162" s="304"/>
      <c r="AS162" s="304"/>
      <c r="AT162" s="304"/>
      <c r="AU162" s="304"/>
      <c r="AV162" s="304"/>
      <c r="AW162" s="304"/>
      <c r="AX162" s="304"/>
      <c r="AY162" s="304"/>
      <c r="AZ162" s="304"/>
      <c r="BA162" s="304"/>
      <c r="BB162" s="304"/>
      <c r="BC162" s="304"/>
      <c r="BD162" s="304"/>
      <c r="BE162" s="304"/>
      <c r="BF162" s="304"/>
      <c r="BG162" s="304"/>
      <c r="BH162" s="304"/>
      <c r="BI162" s="304"/>
      <c r="BJ162" s="304"/>
      <c r="BK162" s="304"/>
      <c r="BL162" s="304"/>
      <c r="BM162" s="304"/>
      <c r="BN162" s="304"/>
      <c r="BO162" s="304"/>
      <c r="BP162" s="304"/>
      <c r="BQ162" s="304"/>
      <c r="BR162" s="304"/>
    </row>
    <row r="163" spans="1:70" x14ac:dyDescent="0.2">
      <c r="A163" s="657"/>
      <c r="B163" s="657"/>
      <c r="C163" s="657"/>
      <c r="D163" s="657"/>
      <c r="E163" s="659">
        <v>93</v>
      </c>
      <c r="F163" s="664">
        <f t="shared" si="9"/>
        <v>1.204198556863963</v>
      </c>
      <c r="G163" s="657"/>
      <c r="H163" s="657"/>
      <c r="I163" s="657"/>
      <c r="J163" s="657"/>
      <c r="K163" s="657"/>
      <c r="L163" s="657"/>
      <c r="M163" s="657"/>
      <c r="N163" s="657"/>
      <c r="O163" s="657"/>
      <c r="P163" s="657"/>
      <c r="Q163" s="657"/>
      <c r="R163" s="657"/>
      <c r="S163" s="657"/>
      <c r="AF163" s="304"/>
      <c r="AG163" s="304"/>
      <c r="AH163" s="304"/>
      <c r="AI163" s="304"/>
      <c r="AJ163" s="304"/>
      <c r="AK163" s="304"/>
      <c r="AL163" s="304"/>
      <c r="AM163" s="304"/>
      <c r="AN163" s="304"/>
      <c r="AO163" s="304"/>
      <c r="AP163" s="304"/>
      <c r="AQ163" s="304"/>
      <c r="AR163" s="304"/>
      <c r="AS163" s="304"/>
      <c r="AT163" s="304"/>
      <c r="AU163" s="304"/>
      <c r="AV163" s="304"/>
      <c r="AW163" s="304"/>
      <c r="AX163" s="304"/>
      <c r="AY163" s="304"/>
      <c r="AZ163" s="304"/>
      <c r="BA163" s="304"/>
      <c r="BB163" s="304"/>
      <c r="BC163" s="304"/>
      <c r="BD163" s="304"/>
      <c r="BE163" s="304"/>
      <c r="BF163" s="304"/>
      <c r="BG163" s="304"/>
      <c r="BH163" s="304"/>
      <c r="BI163" s="304"/>
      <c r="BJ163" s="304"/>
      <c r="BK163" s="304"/>
      <c r="BL163" s="304"/>
      <c r="BM163" s="304"/>
      <c r="BN163" s="304"/>
      <c r="BO163" s="304"/>
      <c r="BP163" s="304"/>
      <c r="BQ163" s="304"/>
      <c r="BR163" s="304"/>
    </row>
    <row r="164" spans="1:70" x14ac:dyDescent="0.2">
      <c r="A164" s="657"/>
      <c r="B164" s="657"/>
      <c r="C164" s="657"/>
      <c r="D164" s="657"/>
      <c r="E164" s="659">
        <v>94</v>
      </c>
      <c r="F164" s="664">
        <f t="shared" si="9"/>
        <v>1.2066069539776909</v>
      </c>
      <c r="G164" s="657"/>
      <c r="H164" s="657"/>
      <c r="I164" s="657"/>
      <c r="J164" s="657"/>
      <c r="K164" s="657"/>
      <c r="L164" s="657"/>
      <c r="M164" s="657"/>
      <c r="N164" s="657"/>
      <c r="O164" s="657"/>
      <c r="P164" s="657"/>
      <c r="Q164" s="657"/>
      <c r="R164" s="657"/>
      <c r="S164" s="657"/>
      <c r="AF164" s="304"/>
      <c r="AG164" s="304"/>
      <c r="AH164" s="304"/>
      <c r="AI164" s="304"/>
      <c r="AJ164" s="304"/>
      <c r="AK164" s="304"/>
      <c r="AL164" s="304"/>
      <c r="AM164" s="304"/>
      <c r="AN164" s="304"/>
      <c r="AO164" s="304"/>
      <c r="AP164" s="304"/>
      <c r="AQ164" s="304"/>
      <c r="AR164" s="304"/>
      <c r="AS164" s="304"/>
      <c r="AT164" s="304"/>
      <c r="AU164" s="304"/>
      <c r="AV164" s="304"/>
      <c r="AW164" s="304"/>
      <c r="AX164" s="304"/>
      <c r="AY164" s="304"/>
      <c r="AZ164" s="304"/>
      <c r="BA164" s="304"/>
      <c r="BB164" s="304"/>
      <c r="BC164" s="304"/>
      <c r="BD164" s="304"/>
      <c r="BE164" s="304"/>
      <c r="BF164" s="304"/>
      <c r="BG164" s="304"/>
      <c r="BH164" s="304"/>
      <c r="BI164" s="304"/>
      <c r="BJ164" s="304"/>
      <c r="BK164" s="304"/>
      <c r="BL164" s="304"/>
      <c r="BM164" s="304"/>
      <c r="BN164" s="304"/>
      <c r="BO164" s="304"/>
      <c r="BP164" s="304"/>
      <c r="BQ164" s="304"/>
      <c r="BR164" s="304"/>
    </row>
    <row r="165" spans="1:70" x14ac:dyDescent="0.2">
      <c r="A165" s="657"/>
      <c r="B165" s="657"/>
      <c r="C165" s="657"/>
      <c r="D165" s="657"/>
      <c r="E165" s="659">
        <v>95</v>
      </c>
      <c r="F165" s="664">
        <f t="shared" si="9"/>
        <v>1.2090201678856463</v>
      </c>
      <c r="G165" s="657"/>
      <c r="H165" s="657"/>
      <c r="I165" s="657"/>
      <c r="J165" s="657"/>
      <c r="K165" s="657"/>
      <c r="L165" s="657"/>
      <c r="M165" s="657"/>
      <c r="N165" s="657"/>
      <c r="O165" s="657"/>
      <c r="P165" s="657"/>
      <c r="Q165" s="657"/>
      <c r="R165" s="657"/>
      <c r="S165" s="657"/>
      <c r="AF165" s="304"/>
      <c r="AG165" s="304"/>
      <c r="AH165" s="304"/>
      <c r="AI165" s="304"/>
      <c r="AJ165" s="304"/>
      <c r="AK165" s="304"/>
      <c r="AL165" s="304"/>
      <c r="AM165" s="304"/>
      <c r="AN165" s="304"/>
      <c r="AO165" s="304"/>
      <c r="AP165" s="304"/>
      <c r="AQ165" s="304"/>
      <c r="AR165" s="304"/>
      <c r="AS165" s="304"/>
      <c r="AT165" s="304"/>
      <c r="AU165" s="304"/>
      <c r="AV165" s="304"/>
      <c r="AW165" s="304"/>
      <c r="AX165" s="304"/>
      <c r="AY165" s="304"/>
      <c r="AZ165" s="304"/>
      <c r="BA165" s="304"/>
      <c r="BB165" s="304"/>
      <c r="BC165" s="304"/>
      <c r="BD165" s="304"/>
      <c r="BE165" s="304"/>
      <c r="BF165" s="304"/>
      <c r="BG165" s="304"/>
      <c r="BH165" s="304"/>
      <c r="BI165" s="304"/>
      <c r="BJ165" s="304"/>
      <c r="BK165" s="304"/>
      <c r="BL165" s="304"/>
      <c r="BM165" s="304"/>
      <c r="BN165" s="304"/>
      <c r="BO165" s="304"/>
      <c r="BP165" s="304"/>
      <c r="BQ165" s="304"/>
      <c r="BR165" s="304"/>
    </row>
    <row r="166" spans="1:70" x14ac:dyDescent="0.2">
      <c r="A166" s="657"/>
      <c r="B166" s="657"/>
      <c r="C166" s="657"/>
      <c r="D166" s="657"/>
      <c r="E166" s="659">
        <v>96</v>
      </c>
      <c r="F166" s="664">
        <f t="shared" si="9"/>
        <v>1.2114382082214175</v>
      </c>
      <c r="G166" s="657"/>
      <c r="H166" s="657"/>
      <c r="I166" s="657"/>
      <c r="J166" s="657"/>
      <c r="K166" s="657"/>
      <c r="L166" s="657"/>
      <c r="M166" s="657"/>
      <c r="N166" s="657"/>
      <c r="O166" s="657"/>
      <c r="P166" s="657"/>
      <c r="Q166" s="657"/>
      <c r="R166" s="657"/>
      <c r="S166" s="657"/>
      <c r="AF166" s="304"/>
      <c r="AG166" s="304"/>
      <c r="AH166" s="304"/>
      <c r="AI166" s="304"/>
      <c r="AJ166" s="304"/>
      <c r="AK166" s="304"/>
      <c r="AL166" s="304"/>
      <c r="AM166" s="304"/>
      <c r="AN166" s="304"/>
      <c r="AO166" s="304"/>
      <c r="AP166" s="304"/>
      <c r="AQ166" s="304"/>
      <c r="AR166" s="304"/>
      <c r="AS166" s="304"/>
      <c r="AT166" s="304"/>
      <c r="AU166" s="304"/>
      <c r="AV166" s="304"/>
      <c r="AW166" s="304"/>
      <c r="AX166" s="304"/>
      <c r="AY166" s="304"/>
      <c r="AZ166" s="304"/>
      <c r="BA166" s="304"/>
      <c r="BB166" s="304"/>
      <c r="BC166" s="304"/>
      <c r="BD166" s="304"/>
      <c r="BE166" s="304"/>
      <c r="BF166" s="304"/>
      <c r="BG166" s="304"/>
      <c r="BH166" s="304"/>
      <c r="BI166" s="304"/>
      <c r="BJ166" s="304"/>
      <c r="BK166" s="304"/>
      <c r="BL166" s="304"/>
      <c r="BM166" s="304"/>
      <c r="BN166" s="304"/>
      <c r="BO166" s="304"/>
      <c r="BP166" s="304"/>
      <c r="BQ166" s="304"/>
      <c r="BR166" s="304"/>
    </row>
    <row r="167" spans="1:70" x14ac:dyDescent="0.2">
      <c r="A167" s="657"/>
      <c r="B167" s="657"/>
      <c r="C167" s="657"/>
      <c r="D167" s="657"/>
      <c r="E167" s="659">
        <v>97</v>
      </c>
      <c r="F167" s="664">
        <f t="shared" si="9"/>
        <v>1.2138610846378604</v>
      </c>
      <c r="G167" s="657"/>
      <c r="H167" s="657"/>
      <c r="I167" s="657"/>
      <c r="J167" s="657"/>
      <c r="K167" s="657"/>
      <c r="L167" s="657"/>
      <c r="M167" s="657"/>
      <c r="N167" s="657"/>
      <c r="O167" s="657"/>
      <c r="P167" s="657"/>
      <c r="Q167" s="657"/>
      <c r="R167" s="657"/>
      <c r="S167" s="657"/>
      <c r="AF167" s="304"/>
      <c r="AG167" s="304"/>
      <c r="AH167" s="304"/>
      <c r="AI167" s="304"/>
      <c r="AJ167" s="304"/>
      <c r="AK167" s="304"/>
      <c r="AL167" s="304"/>
      <c r="AM167" s="304"/>
      <c r="AN167" s="304"/>
      <c r="AO167" s="304"/>
      <c r="AP167" s="304"/>
      <c r="AQ167" s="304"/>
      <c r="AR167" s="304"/>
      <c r="AS167" s="304"/>
      <c r="AT167" s="304"/>
      <c r="AU167" s="304"/>
      <c r="AV167" s="304"/>
      <c r="AW167" s="304"/>
      <c r="AX167" s="304"/>
      <c r="AY167" s="304"/>
      <c r="AZ167" s="304"/>
      <c r="BA167" s="304"/>
      <c r="BB167" s="304"/>
      <c r="BC167" s="304"/>
      <c r="BD167" s="304"/>
      <c r="BE167" s="304"/>
      <c r="BF167" s="304"/>
      <c r="BG167" s="304"/>
      <c r="BH167" s="304"/>
      <c r="BI167" s="304"/>
      <c r="BJ167" s="304"/>
      <c r="BK167" s="304"/>
      <c r="BL167" s="304"/>
      <c r="BM167" s="304"/>
      <c r="BN167" s="304"/>
      <c r="BO167" s="304"/>
      <c r="BP167" s="304"/>
      <c r="BQ167" s="304"/>
      <c r="BR167" s="304"/>
    </row>
    <row r="168" spans="1:70" x14ac:dyDescent="0.2">
      <c r="A168" s="657"/>
      <c r="B168" s="657"/>
      <c r="C168" s="657"/>
      <c r="D168" s="657"/>
      <c r="E168" s="659">
        <v>98</v>
      </c>
      <c r="F168" s="664">
        <f t="shared" si="9"/>
        <v>1.216288806807136</v>
      </c>
      <c r="G168" s="657"/>
      <c r="H168" s="657"/>
      <c r="I168" s="657"/>
      <c r="J168" s="657"/>
      <c r="K168" s="657"/>
      <c r="L168" s="657"/>
      <c r="M168" s="657"/>
      <c r="N168" s="657"/>
      <c r="O168" s="657"/>
      <c r="P168" s="657"/>
      <c r="Q168" s="657"/>
      <c r="R168" s="657"/>
      <c r="S168" s="657"/>
      <c r="AF168" s="304"/>
      <c r="AG168" s="304"/>
      <c r="AH168" s="304"/>
      <c r="AI168" s="304"/>
      <c r="AJ168" s="304"/>
      <c r="AK168" s="304"/>
      <c r="AL168" s="304"/>
      <c r="AM168" s="304"/>
      <c r="AN168" s="304"/>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04"/>
      <c r="BL168" s="304"/>
      <c r="BM168" s="304"/>
      <c r="BN168" s="304"/>
      <c r="BO168" s="304"/>
      <c r="BP168" s="304"/>
      <c r="BQ168" s="304"/>
      <c r="BR168" s="304"/>
    </row>
    <row r="169" spans="1:70" x14ac:dyDescent="0.2">
      <c r="A169" s="657"/>
      <c r="B169" s="657"/>
      <c r="C169" s="657"/>
      <c r="D169" s="657"/>
      <c r="E169" s="659">
        <v>99</v>
      </c>
      <c r="F169" s="664">
        <f t="shared" si="9"/>
        <v>1.2187213844207503</v>
      </c>
      <c r="G169" s="657"/>
      <c r="H169" s="657"/>
      <c r="I169" s="657"/>
      <c r="J169" s="657"/>
      <c r="K169" s="657"/>
      <c r="L169" s="657"/>
      <c r="M169" s="657"/>
      <c r="N169" s="657"/>
      <c r="O169" s="657"/>
      <c r="P169" s="657"/>
      <c r="Q169" s="657"/>
      <c r="R169" s="657"/>
      <c r="S169" s="657"/>
      <c r="AF169" s="304"/>
      <c r="AG169" s="304"/>
      <c r="AH169" s="304"/>
      <c r="AI169" s="304"/>
      <c r="AJ169" s="304"/>
      <c r="AK169" s="304"/>
      <c r="AL169" s="304"/>
      <c r="AM169" s="304"/>
      <c r="AN169" s="304"/>
      <c r="AO169" s="304"/>
      <c r="AP169" s="304"/>
      <c r="AQ169" s="304"/>
      <c r="AR169" s="304"/>
      <c r="AS169" s="304"/>
      <c r="AT169" s="304"/>
      <c r="AU169" s="304"/>
      <c r="AV169" s="304"/>
      <c r="AW169" s="304"/>
      <c r="AX169" s="304"/>
      <c r="AY169" s="304"/>
      <c r="AZ169" s="304"/>
      <c r="BA169" s="304"/>
      <c r="BB169" s="304"/>
      <c r="BC169" s="304"/>
      <c r="BD169" s="304"/>
      <c r="BE169" s="304"/>
      <c r="BF169" s="304"/>
      <c r="BG169" s="304"/>
      <c r="BH169" s="304"/>
      <c r="BI169" s="304"/>
      <c r="BJ169" s="304"/>
      <c r="BK169" s="304"/>
      <c r="BL169" s="304"/>
      <c r="BM169" s="304"/>
      <c r="BN169" s="304"/>
      <c r="BO169" s="304"/>
      <c r="BP169" s="304"/>
      <c r="BQ169" s="304"/>
      <c r="BR169" s="304"/>
    </row>
    <row r="170" spans="1:70" x14ac:dyDescent="0.2">
      <c r="A170" s="657"/>
      <c r="B170" s="657"/>
      <c r="C170" s="657"/>
      <c r="D170" s="657"/>
      <c r="E170" s="659">
        <v>100</v>
      </c>
      <c r="F170" s="664">
        <f t="shared" si="9"/>
        <v>1.2211588271895919</v>
      </c>
      <c r="G170" s="657"/>
      <c r="H170" s="657"/>
      <c r="I170" s="657"/>
      <c r="J170" s="657"/>
      <c r="K170" s="657"/>
      <c r="L170" s="657"/>
      <c r="M170" s="657"/>
      <c r="N170" s="657"/>
      <c r="O170" s="657"/>
      <c r="P170" s="657"/>
      <c r="Q170" s="657"/>
      <c r="R170" s="657"/>
      <c r="S170" s="657"/>
      <c r="AF170" s="304"/>
      <c r="AG170" s="304"/>
      <c r="AH170" s="304"/>
      <c r="AI170" s="304"/>
      <c r="AJ170" s="304"/>
      <c r="AK170" s="304"/>
      <c r="AL170" s="304"/>
      <c r="AM170" s="304"/>
      <c r="AN170" s="304"/>
      <c r="AO170" s="304"/>
      <c r="AP170" s="304"/>
      <c r="AQ170" s="304"/>
      <c r="AR170" s="304"/>
      <c r="AS170" s="304"/>
      <c r="AT170" s="304"/>
      <c r="AU170" s="304"/>
      <c r="AV170" s="304"/>
      <c r="AW170" s="304"/>
      <c r="AX170" s="304"/>
      <c r="AY170" s="304"/>
      <c r="AZ170" s="304"/>
      <c r="BA170" s="304"/>
      <c r="BB170" s="304"/>
      <c r="BC170" s="304"/>
      <c r="BD170" s="304"/>
      <c r="BE170" s="304"/>
      <c r="BF170" s="304"/>
      <c r="BG170" s="304"/>
      <c r="BH170" s="304"/>
      <c r="BI170" s="304"/>
      <c r="BJ170" s="304"/>
      <c r="BK170" s="304"/>
      <c r="BL170" s="304"/>
      <c r="BM170" s="304"/>
      <c r="BN170" s="304"/>
      <c r="BO170" s="304"/>
      <c r="BP170" s="304"/>
      <c r="BQ170" s="304"/>
      <c r="BR170" s="304"/>
    </row>
    <row r="171" spans="1:70" x14ac:dyDescent="0.2">
      <c r="A171" s="657"/>
      <c r="B171" s="657"/>
      <c r="C171" s="657"/>
      <c r="D171" s="657"/>
      <c r="E171" s="657"/>
      <c r="F171" s="657"/>
      <c r="G171" s="657"/>
      <c r="H171" s="657"/>
      <c r="I171" s="657"/>
      <c r="J171" s="657"/>
      <c r="K171" s="657"/>
      <c r="L171" s="657"/>
      <c r="M171" s="657"/>
      <c r="N171" s="657"/>
      <c r="O171" s="657"/>
      <c r="P171" s="657"/>
      <c r="Q171" s="657"/>
      <c r="R171" s="657"/>
      <c r="S171" s="657"/>
      <c r="AF171" s="304"/>
      <c r="AG171" s="304"/>
      <c r="AH171" s="304"/>
      <c r="AI171" s="304"/>
      <c r="AJ171" s="304"/>
      <c r="AK171" s="304"/>
      <c r="AL171" s="304"/>
      <c r="AM171" s="304"/>
      <c r="AN171" s="304"/>
      <c r="AO171" s="304"/>
      <c r="AP171" s="304"/>
      <c r="AQ171" s="304"/>
      <c r="AR171" s="304"/>
      <c r="AS171" s="304"/>
      <c r="AT171" s="304"/>
      <c r="AU171" s="304"/>
      <c r="AV171" s="304"/>
      <c r="AW171" s="304"/>
      <c r="AX171" s="304"/>
      <c r="AY171" s="304"/>
      <c r="AZ171" s="304"/>
      <c r="BA171" s="304"/>
      <c r="BB171" s="304"/>
      <c r="BC171" s="304"/>
      <c r="BD171" s="304"/>
      <c r="BE171" s="304"/>
      <c r="BF171" s="304"/>
      <c r="BG171" s="304"/>
      <c r="BH171" s="304"/>
      <c r="BI171" s="304"/>
      <c r="BJ171" s="304"/>
      <c r="BK171" s="304"/>
      <c r="BL171" s="304"/>
      <c r="BM171" s="304"/>
      <c r="BN171" s="304"/>
      <c r="BO171" s="304"/>
      <c r="BP171" s="304"/>
      <c r="BQ171" s="304"/>
      <c r="BR171" s="304"/>
    </row>
    <row r="172" spans="1:70" x14ac:dyDescent="0.2">
      <c r="A172" s="657"/>
      <c r="B172" s="657"/>
      <c r="C172" s="657"/>
      <c r="D172" s="657"/>
      <c r="E172" s="657"/>
      <c r="F172" s="657"/>
      <c r="G172" s="657"/>
      <c r="H172" s="657"/>
      <c r="I172" s="657"/>
      <c r="J172" s="657"/>
      <c r="K172" s="657"/>
      <c r="L172" s="657"/>
      <c r="M172" s="657"/>
      <c r="N172" s="657"/>
      <c r="O172" s="657"/>
      <c r="P172" s="657"/>
      <c r="Q172" s="657"/>
      <c r="R172" s="657"/>
      <c r="S172" s="657"/>
      <c r="AF172" s="304"/>
      <c r="AG172" s="304"/>
      <c r="AH172" s="304"/>
      <c r="AI172" s="304"/>
      <c r="AJ172" s="304"/>
      <c r="AK172" s="304"/>
      <c r="AL172" s="304"/>
      <c r="AM172" s="304"/>
      <c r="AN172" s="304"/>
      <c r="AO172" s="304"/>
      <c r="AP172" s="304"/>
      <c r="AQ172" s="304"/>
      <c r="AR172" s="304"/>
      <c r="AS172" s="304"/>
      <c r="AT172" s="304"/>
      <c r="AU172" s="304"/>
      <c r="AV172" s="304"/>
      <c r="AW172" s="304"/>
      <c r="AX172" s="304"/>
      <c r="AY172" s="304"/>
      <c r="AZ172" s="304"/>
      <c r="BA172" s="304"/>
      <c r="BB172" s="304"/>
      <c r="BC172" s="304"/>
      <c r="BD172" s="304"/>
      <c r="BE172" s="304"/>
      <c r="BF172" s="304"/>
      <c r="BG172" s="304"/>
      <c r="BH172" s="304"/>
      <c r="BI172" s="304"/>
      <c r="BJ172" s="304"/>
      <c r="BK172" s="304"/>
      <c r="BL172" s="304"/>
      <c r="BM172" s="304"/>
      <c r="BN172" s="304"/>
      <c r="BO172" s="304"/>
      <c r="BP172" s="304"/>
      <c r="BQ172" s="304"/>
      <c r="BR172" s="304"/>
    </row>
    <row r="173" spans="1:70" x14ac:dyDescent="0.2">
      <c r="A173" s="657"/>
      <c r="B173" s="657"/>
      <c r="C173" s="657"/>
      <c r="D173" s="657"/>
      <c r="E173" s="657"/>
      <c r="F173" s="657"/>
      <c r="G173" s="657"/>
      <c r="H173" s="657"/>
      <c r="I173" s="657"/>
      <c r="J173" s="657"/>
      <c r="K173" s="657"/>
      <c r="L173" s="657"/>
      <c r="M173" s="657"/>
      <c r="N173" s="657"/>
      <c r="O173" s="657"/>
      <c r="P173" s="657"/>
      <c r="Q173" s="657"/>
      <c r="R173" s="657"/>
      <c r="S173" s="657"/>
      <c r="AF173" s="304"/>
      <c r="AG173" s="304"/>
      <c r="AH173" s="304"/>
      <c r="AI173" s="304"/>
      <c r="AJ173" s="304"/>
      <c r="AK173" s="304"/>
      <c r="AL173" s="304"/>
      <c r="AM173" s="304"/>
      <c r="AN173" s="304"/>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04"/>
      <c r="BL173" s="304"/>
      <c r="BM173" s="304"/>
      <c r="BN173" s="304"/>
      <c r="BO173" s="304"/>
      <c r="BP173" s="304"/>
      <c r="BQ173" s="304"/>
      <c r="BR173" s="304"/>
    </row>
    <row r="174" spans="1:70" x14ac:dyDescent="0.2">
      <c r="A174" s="657"/>
      <c r="B174" s="657"/>
      <c r="C174" s="657"/>
      <c r="D174" s="657"/>
      <c r="E174" s="657"/>
      <c r="F174" s="657"/>
      <c r="G174" s="657"/>
      <c r="H174" s="657"/>
      <c r="I174" s="657"/>
      <c r="J174" s="657"/>
      <c r="K174" s="657"/>
      <c r="L174" s="657"/>
      <c r="M174" s="657"/>
      <c r="N174" s="657"/>
      <c r="O174" s="657"/>
      <c r="P174" s="657"/>
      <c r="Q174" s="657"/>
      <c r="R174" s="657"/>
      <c r="S174" s="657"/>
      <c r="AF174" s="304"/>
      <c r="AG174" s="304"/>
      <c r="AH174" s="304"/>
      <c r="AI174" s="304"/>
      <c r="AJ174" s="304"/>
      <c r="AK174" s="304"/>
      <c r="AL174" s="304"/>
      <c r="AM174" s="304"/>
      <c r="AN174" s="304"/>
      <c r="AO174" s="304"/>
      <c r="AP174" s="304"/>
      <c r="AQ174" s="304"/>
      <c r="AR174" s="304"/>
      <c r="AS174" s="304"/>
      <c r="AT174" s="304"/>
      <c r="AU174" s="304"/>
      <c r="AV174" s="304"/>
      <c r="AW174" s="304"/>
      <c r="AX174" s="304"/>
      <c r="AY174" s="304"/>
      <c r="AZ174" s="304"/>
      <c r="BA174" s="304"/>
      <c r="BB174" s="304"/>
      <c r="BC174" s="304"/>
      <c r="BD174" s="304"/>
      <c r="BE174" s="304"/>
      <c r="BF174" s="304"/>
      <c r="BG174" s="304"/>
      <c r="BH174" s="304"/>
      <c r="BI174" s="304"/>
      <c r="BJ174" s="304"/>
      <c r="BK174" s="304"/>
      <c r="BL174" s="304"/>
      <c r="BM174" s="304"/>
      <c r="BN174" s="304"/>
      <c r="BO174" s="304"/>
      <c r="BP174" s="304"/>
      <c r="BQ174" s="304"/>
      <c r="BR174" s="304"/>
    </row>
    <row r="175" spans="1:70" x14ac:dyDescent="0.2">
      <c r="A175" s="657"/>
      <c r="B175" s="657"/>
      <c r="C175" s="657"/>
      <c r="D175" s="657"/>
      <c r="E175" s="657"/>
      <c r="F175" s="657"/>
      <c r="G175" s="657"/>
      <c r="H175" s="657"/>
      <c r="I175" s="657"/>
      <c r="J175" s="657"/>
      <c r="K175" s="657"/>
      <c r="L175" s="657"/>
      <c r="M175" s="657"/>
      <c r="N175" s="657"/>
      <c r="O175" s="657"/>
      <c r="P175" s="657"/>
      <c r="Q175" s="657"/>
      <c r="R175" s="657"/>
      <c r="S175" s="657"/>
      <c r="AF175" s="304"/>
      <c r="AG175" s="304"/>
      <c r="AH175" s="304"/>
      <c r="AI175" s="304"/>
      <c r="AJ175" s="304"/>
      <c r="AK175" s="304"/>
      <c r="AL175" s="304"/>
      <c r="AM175" s="304"/>
      <c r="AN175" s="304"/>
      <c r="AO175" s="304"/>
      <c r="AP175" s="304"/>
      <c r="AQ175" s="304"/>
      <c r="AR175" s="304"/>
      <c r="AS175" s="304"/>
      <c r="AT175" s="304"/>
      <c r="AU175" s="304"/>
      <c r="AV175" s="304"/>
      <c r="AW175" s="304"/>
      <c r="AX175" s="304"/>
      <c r="AY175" s="304"/>
      <c r="AZ175" s="304"/>
      <c r="BA175" s="304"/>
      <c r="BB175" s="304"/>
      <c r="BC175" s="304"/>
      <c r="BD175" s="304"/>
      <c r="BE175" s="304"/>
      <c r="BF175" s="304"/>
      <c r="BG175" s="304"/>
      <c r="BH175" s="304"/>
      <c r="BI175" s="304"/>
      <c r="BJ175" s="304"/>
      <c r="BK175" s="304"/>
      <c r="BL175" s="304"/>
      <c r="BM175" s="304"/>
      <c r="BN175" s="304"/>
      <c r="BO175" s="304"/>
      <c r="BP175" s="304"/>
      <c r="BQ175" s="304"/>
      <c r="BR175" s="304"/>
    </row>
    <row r="176" spans="1:70" x14ac:dyDescent="0.2">
      <c r="A176" s="657"/>
      <c r="B176" s="657"/>
      <c r="C176" s="657"/>
      <c r="D176" s="657"/>
      <c r="E176" s="657"/>
      <c r="F176" s="657"/>
      <c r="G176" s="657"/>
      <c r="H176" s="657"/>
      <c r="I176" s="657"/>
      <c r="J176" s="657"/>
      <c r="K176" s="657"/>
      <c r="L176" s="657"/>
      <c r="M176" s="657"/>
      <c r="N176" s="657"/>
      <c r="O176" s="657"/>
      <c r="P176" s="657"/>
      <c r="Q176" s="657"/>
      <c r="R176" s="657"/>
      <c r="S176" s="657"/>
      <c r="AF176" s="304"/>
      <c r="AG176" s="304"/>
      <c r="AH176" s="304"/>
      <c r="AI176" s="304"/>
      <c r="AJ176" s="304"/>
      <c r="AK176" s="304"/>
      <c r="AL176" s="304"/>
      <c r="AM176" s="304"/>
      <c r="AN176" s="304"/>
      <c r="AO176" s="304"/>
      <c r="AP176" s="304"/>
      <c r="AQ176" s="304"/>
      <c r="AR176" s="304"/>
      <c r="AS176" s="304"/>
      <c r="AT176" s="304"/>
      <c r="AU176" s="304"/>
      <c r="AV176" s="304"/>
      <c r="AW176" s="304"/>
      <c r="AX176" s="304"/>
      <c r="AY176" s="304"/>
      <c r="AZ176" s="304"/>
      <c r="BA176" s="304"/>
      <c r="BB176" s="304"/>
      <c r="BC176" s="304"/>
      <c r="BD176" s="304"/>
      <c r="BE176" s="304"/>
      <c r="BF176" s="304"/>
      <c r="BG176" s="304"/>
      <c r="BH176" s="304"/>
      <c r="BI176" s="304"/>
      <c r="BJ176" s="304"/>
      <c r="BK176" s="304"/>
      <c r="BL176" s="304"/>
      <c r="BM176" s="304"/>
      <c r="BN176" s="304"/>
      <c r="BO176" s="304"/>
      <c r="BP176" s="304"/>
      <c r="BQ176" s="304"/>
      <c r="BR176" s="304"/>
    </row>
    <row r="177" spans="1:70" x14ac:dyDescent="0.2">
      <c r="A177" s="657"/>
      <c r="B177" s="657"/>
      <c r="C177" s="657"/>
      <c r="D177" s="657"/>
      <c r="E177" s="657"/>
      <c r="F177" s="657"/>
      <c r="G177" s="657"/>
      <c r="H177" s="657"/>
      <c r="I177" s="657"/>
      <c r="J177" s="657"/>
      <c r="K177" s="657"/>
      <c r="L177" s="657"/>
      <c r="M177" s="657"/>
      <c r="N177" s="657"/>
      <c r="O177" s="657"/>
      <c r="P177" s="657"/>
      <c r="Q177" s="657"/>
      <c r="R177" s="657"/>
      <c r="S177" s="657"/>
      <c r="AF177" s="304"/>
      <c r="AG177" s="304"/>
      <c r="AH177" s="304"/>
      <c r="AI177" s="304"/>
      <c r="AJ177" s="304"/>
      <c r="AK177" s="304"/>
      <c r="AL177" s="304"/>
      <c r="AM177" s="304"/>
      <c r="AN177" s="304"/>
      <c r="AO177" s="304"/>
      <c r="AP177" s="304"/>
      <c r="AQ177" s="304"/>
      <c r="AR177" s="304"/>
      <c r="AS177" s="304"/>
      <c r="AT177" s="304"/>
      <c r="AU177" s="304"/>
      <c r="AV177" s="304"/>
      <c r="AW177" s="304"/>
      <c r="AX177" s="304"/>
      <c r="AY177" s="304"/>
      <c r="AZ177" s="304"/>
      <c r="BA177" s="304"/>
      <c r="BB177" s="304"/>
      <c r="BC177" s="304"/>
      <c r="BD177" s="304"/>
      <c r="BE177" s="304"/>
      <c r="BF177" s="304"/>
      <c r="BG177" s="304"/>
      <c r="BH177" s="304"/>
      <c r="BI177" s="304"/>
      <c r="BJ177" s="304"/>
      <c r="BK177" s="304"/>
      <c r="BL177" s="304"/>
      <c r="BM177" s="304"/>
      <c r="BN177" s="304"/>
      <c r="BO177" s="304"/>
      <c r="BP177" s="304"/>
      <c r="BQ177" s="304"/>
      <c r="BR177" s="304"/>
    </row>
  </sheetData>
  <sheetProtection selectLockedCells="1"/>
  <customSheetViews>
    <customSheetView guid="{58F65609-3622-42C4-9926-1A56B88F9C36}">
      <selection activeCell="H7" sqref="H7"/>
      <pageMargins left="0.7" right="0.7" top="0.75" bottom="0.75" header="0.3" footer="0.3"/>
    </customSheetView>
  </customSheetViews>
  <mergeCells count="33">
    <mergeCell ref="E1:H1"/>
    <mergeCell ref="A23:J23"/>
    <mergeCell ref="J19:K21"/>
    <mergeCell ref="D9:I9"/>
    <mergeCell ref="D10:I10"/>
    <mergeCell ref="I1:J1"/>
    <mergeCell ref="A10:B10"/>
    <mergeCell ref="C11:I11"/>
    <mergeCell ref="A18:B18"/>
    <mergeCell ref="L1:Q1"/>
    <mergeCell ref="I26:L26"/>
    <mergeCell ref="J11:K11"/>
    <mergeCell ref="L15:M15"/>
    <mergeCell ref="L17:M17"/>
    <mergeCell ref="L18:M18"/>
    <mergeCell ref="L12:M12"/>
    <mergeCell ref="L13:M13"/>
    <mergeCell ref="L14:M14"/>
    <mergeCell ref="L16:M16"/>
    <mergeCell ref="L11:Q11"/>
    <mergeCell ref="L19:M19"/>
    <mergeCell ref="L20:M20"/>
    <mergeCell ref="L21:M21"/>
    <mergeCell ref="L22:M22"/>
    <mergeCell ref="M24:Q24"/>
    <mergeCell ref="M32:Q33"/>
    <mergeCell ref="F20:H21"/>
    <mergeCell ref="O25:Q25"/>
    <mergeCell ref="P2:Q2"/>
    <mergeCell ref="K9:Q10"/>
    <mergeCell ref="F32:H32"/>
    <mergeCell ref="H27:H28"/>
    <mergeCell ref="H30:H31"/>
  </mergeCells>
  <dataValidations count="12">
    <dataValidation type="list" allowBlank="1" showErrorMessage="1" sqref="C34 WVK983077 WLO983077 WBS983077 VRW983077 VIA983077 UYE983077 UOI983077 UEM983077 TUQ983077 TKU983077 TAY983077 SRC983077 SHG983077 RXK983077 RNO983077 RDS983077 QTW983077 QKA983077 QAE983077 PQI983077 PGM983077 OWQ983077 OMU983077 OCY983077 NTC983077 NJG983077 MZK983077 MPO983077 MFS983077 LVW983077 LMA983077 LCE983077 KSI983077 KIM983077 JYQ983077 JOU983077 JEY983077 IVC983077 ILG983077 IBK983077 HRO983077 HHS983077 GXW983077 GOA983077 GEE983077 FUI983077 FKM983077 FAQ983077 EQU983077 EGY983077 DXC983077 DNG983077 DDK983077 CTO983077 CJS983077 BZW983077 BQA983077 BGE983077 AWI983077 AMM983077 ACQ983077 SU983077 IY983077 C983077 WVK917541 WLO917541 WBS917541 VRW917541 VIA917541 UYE917541 UOI917541 UEM917541 TUQ917541 TKU917541 TAY917541 SRC917541 SHG917541 RXK917541 RNO917541 RDS917541 QTW917541 QKA917541 QAE917541 PQI917541 PGM917541 OWQ917541 OMU917541 OCY917541 NTC917541 NJG917541 MZK917541 MPO917541 MFS917541 LVW917541 LMA917541 LCE917541 KSI917541 KIM917541 JYQ917541 JOU917541 JEY917541 IVC917541 ILG917541 IBK917541 HRO917541 HHS917541 GXW917541 GOA917541 GEE917541 FUI917541 FKM917541 FAQ917541 EQU917541 EGY917541 DXC917541 DNG917541 DDK917541 CTO917541 CJS917541 BZW917541 BQA917541 BGE917541 AWI917541 AMM917541 ACQ917541 SU917541 IY917541 C917541 WVK852005 WLO852005 WBS852005 VRW852005 VIA852005 UYE852005 UOI852005 UEM852005 TUQ852005 TKU852005 TAY852005 SRC852005 SHG852005 RXK852005 RNO852005 RDS852005 QTW852005 QKA852005 QAE852005 PQI852005 PGM852005 OWQ852005 OMU852005 OCY852005 NTC852005 NJG852005 MZK852005 MPO852005 MFS852005 LVW852005 LMA852005 LCE852005 KSI852005 KIM852005 JYQ852005 JOU852005 JEY852005 IVC852005 ILG852005 IBK852005 HRO852005 HHS852005 GXW852005 GOA852005 GEE852005 FUI852005 FKM852005 FAQ852005 EQU852005 EGY852005 DXC852005 DNG852005 DDK852005 CTO852005 CJS852005 BZW852005 BQA852005 BGE852005 AWI852005 AMM852005 ACQ852005 SU852005 IY852005 C852005 WVK786469 WLO786469 WBS786469 VRW786469 VIA786469 UYE786469 UOI786469 UEM786469 TUQ786469 TKU786469 TAY786469 SRC786469 SHG786469 RXK786469 RNO786469 RDS786469 QTW786469 QKA786469 QAE786469 PQI786469 PGM786469 OWQ786469 OMU786469 OCY786469 NTC786469 NJG786469 MZK786469 MPO786469 MFS786469 LVW786469 LMA786469 LCE786469 KSI786469 KIM786469 JYQ786469 JOU786469 JEY786469 IVC786469 ILG786469 IBK786469 HRO786469 HHS786469 GXW786469 GOA786469 GEE786469 FUI786469 FKM786469 FAQ786469 EQU786469 EGY786469 DXC786469 DNG786469 DDK786469 CTO786469 CJS786469 BZW786469 BQA786469 BGE786469 AWI786469 AMM786469 ACQ786469 SU786469 IY786469 C786469 WVK720933 WLO720933 WBS720933 VRW720933 VIA720933 UYE720933 UOI720933 UEM720933 TUQ720933 TKU720933 TAY720933 SRC720933 SHG720933 RXK720933 RNO720933 RDS720933 QTW720933 QKA720933 QAE720933 PQI720933 PGM720933 OWQ720933 OMU720933 OCY720933 NTC720933 NJG720933 MZK720933 MPO720933 MFS720933 LVW720933 LMA720933 LCE720933 KSI720933 KIM720933 JYQ720933 JOU720933 JEY720933 IVC720933 ILG720933 IBK720933 HRO720933 HHS720933 GXW720933 GOA720933 GEE720933 FUI720933 FKM720933 FAQ720933 EQU720933 EGY720933 DXC720933 DNG720933 DDK720933 CTO720933 CJS720933 BZW720933 BQA720933 BGE720933 AWI720933 AMM720933 ACQ720933 SU720933 IY720933 C720933 WVK655397 WLO655397 WBS655397 VRW655397 VIA655397 UYE655397 UOI655397 UEM655397 TUQ655397 TKU655397 TAY655397 SRC655397 SHG655397 RXK655397 RNO655397 RDS655397 QTW655397 QKA655397 QAE655397 PQI655397 PGM655397 OWQ655397 OMU655397 OCY655397 NTC655397 NJG655397 MZK655397 MPO655397 MFS655397 LVW655397 LMA655397 LCE655397 KSI655397 KIM655397 JYQ655397 JOU655397 JEY655397 IVC655397 ILG655397 IBK655397 HRO655397 HHS655397 GXW655397 GOA655397 GEE655397 FUI655397 FKM655397 FAQ655397 EQU655397 EGY655397 DXC655397 DNG655397 DDK655397 CTO655397 CJS655397 BZW655397 BQA655397 BGE655397 AWI655397 AMM655397 ACQ655397 SU655397 IY655397 C655397 WVK589861 WLO589861 WBS589861 VRW589861 VIA589861 UYE589861 UOI589861 UEM589861 TUQ589861 TKU589861 TAY589861 SRC589861 SHG589861 RXK589861 RNO589861 RDS589861 QTW589861 QKA589861 QAE589861 PQI589861 PGM589861 OWQ589861 OMU589861 OCY589861 NTC589861 NJG589861 MZK589861 MPO589861 MFS589861 LVW589861 LMA589861 LCE589861 KSI589861 KIM589861 JYQ589861 JOU589861 JEY589861 IVC589861 ILG589861 IBK589861 HRO589861 HHS589861 GXW589861 GOA589861 GEE589861 FUI589861 FKM589861 FAQ589861 EQU589861 EGY589861 DXC589861 DNG589861 DDK589861 CTO589861 CJS589861 BZW589861 BQA589861 BGE589861 AWI589861 AMM589861 ACQ589861 SU589861 IY589861 C589861 WVK524325 WLO524325 WBS524325 VRW524325 VIA524325 UYE524325 UOI524325 UEM524325 TUQ524325 TKU524325 TAY524325 SRC524325 SHG524325 RXK524325 RNO524325 RDS524325 QTW524325 QKA524325 QAE524325 PQI524325 PGM524325 OWQ524325 OMU524325 OCY524325 NTC524325 NJG524325 MZK524325 MPO524325 MFS524325 LVW524325 LMA524325 LCE524325 KSI524325 KIM524325 JYQ524325 JOU524325 JEY524325 IVC524325 ILG524325 IBK524325 HRO524325 HHS524325 GXW524325 GOA524325 GEE524325 FUI524325 FKM524325 FAQ524325 EQU524325 EGY524325 DXC524325 DNG524325 DDK524325 CTO524325 CJS524325 BZW524325 BQA524325 BGE524325 AWI524325 AMM524325 ACQ524325 SU524325 IY524325 C524325 WVK458789 WLO458789 WBS458789 VRW458789 VIA458789 UYE458789 UOI458789 UEM458789 TUQ458789 TKU458789 TAY458789 SRC458789 SHG458789 RXK458789 RNO458789 RDS458789 QTW458789 QKA458789 QAE458789 PQI458789 PGM458789 OWQ458789 OMU458789 OCY458789 NTC458789 NJG458789 MZK458789 MPO458789 MFS458789 LVW458789 LMA458789 LCE458789 KSI458789 KIM458789 JYQ458789 JOU458789 JEY458789 IVC458789 ILG458789 IBK458789 HRO458789 HHS458789 GXW458789 GOA458789 GEE458789 FUI458789 FKM458789 FAQ458789 EQU458789 EGY458789 DXC458789 DNG458789 DDK458789 CTO458789 CJS458789 BZW458789 BQA458789 BGE458789 AWI458789 AMM458789 ACQ458789 SU458789 IY458789 C458789 WVK393253 WLO393253 WBS393253 VRW393253 VIA393253 UYE393253 UOI393253 UEM393253 TUQ393253 TKU393253 TAY393253 SRC393253 SHG393253 RXK393253 RNO393253 RDS393253 QTW393253 QKA393253 QAE393253 PQI393253 PGM393253 OWQ393253 OMU393253 OCY393253 NTC393253 NJG393253 MZK393253 MPO393253 MFS393253 LVW393253 LMA393253 LCE393253 KSI393253 KIM393253 JYQ393253 JOU393253 JEY393253 IVC393253 ILG393253 IBK393253 HRO393253 HHS393253 GXW393253 GOA393253 GEE393253 FUI393253 FKM393253 FAQ393253 EQU393253 EGY393253 DXC393253 DNG393253 DDK393253 CTO393253 CJS393253 BZW393253 BQA393253 BGE393253 AWI393253 AMM393253 ACQ393253 SU393253 IY393253 C393253 WVK327717 WLO327717 WBS327717 VRW327717 VIA327717 UYE327717 UOI327717 UEM327717 TUQ327717 TKU327717 TAY327717 SRC327717 SHG327717 RXK327717 RNO327717 RDS327717 QTW327717 QKA327717 QAE327717 PQI327717 PGM327717 OWQ327717 OMU327717 OCY327717 NTC327717 NJG327717 MZK327717 MPO327717 MFS327717 LVW327717 LMA327717 LCE327717 KSI327717 KIM327717 JYQ327717 JOU327717 JEY327717 IVC327717 ILG327717 IBK327717 HRO327717 HHS327717 GXW327717 GOA327717 GEE327717 FUI327717 FKM327717 FAQ327717 EQU327717 EGY327717 DXC327717 DNG327717 DDK327717 CTO327717 CJS327717 BZW327717 BQA327717 BGE327717 AWI327717 AMM327717 ACQ327717 SU327717 IY327717 C327717 WVK262181 WLO262181 WBS262181 VRW262181 VIA262181 UYE262181 UOI262181 UEM262181 TUQ262181 TKU262181 TAY262181 SRC262181 SHG262181 RXK262181 RNO262181 RDS262181 QTW262181 QKA262181 QAE262181 PQI262181 PGM262181 OWQ262181 OMU262181 OCY262181 NTC262181 NJG262181 MZK262181 MPO262181 MFS262181 LVW262181 LMA262181 LCE262181 KSI262181 KIM262181 JYQ262181 JOU262181 JEY262181 IVC262181 ILG262181 IBK262181 HRO262181 HHS262181 GXW262181 GOA262181 GEE262181 FUI262181 FKM262181 FAQ262181 EQU262181 EGY262181 DXC262181 DNG262181 DDK262181 CTO262181 CJS262181 BZW262181 BQA262181 BGE262181 AWI262181 AMM262181 ACQ262181 SU262181 IY262181 C262181 WVK196645 WLO196645 WBS196645 VRW196645 VIA196645 UYE196645 UOI196645 UEM196645 TUQ196645 TKU196645 TAY196645 SRC196645 SHG196645 RXK196645 RNO196645 RDS196645 QTW196645 QKA196645 QAE196645 PQI196645 PGM196645 OWQ196645 OMU196645 OCY196645 NTC196645 NJG196645 MZK196645 MPO196645 MFS196645 LVW196645 LMA196645 LCE196645 KSI196645 KIM196645 JYQ196645 JOU196645 JEY196645 IVC196645 ILG196645 IBK196645 HRO196645 HHS196645 GXW196645 GOA196645 GEE196645 FUI196645 FKM196645 FAQ196645 EQU196645 EGY196645 DXC196645 DNG196645 DDK196645 CTO196645 CJS196645 BZW196645 BQA196645 BGE196645 AWI196645 AMM196645 ACQ196645 SU196645 IY196645 C196645 WVK131109 WLO131109 WBS131109 VRW131109 VIA131109 UYE131109 UOI131109 UEM131109 TUQ131109 TKU131109 TAY131109 SRC131109 SHG131109 RXK131109 RNO131109 RDS131109 QTW131109 QKA131109 QAE131109 PQI131109 PGM131109 OWQ131109 OMU131109 OCY131109 NTC131109 NJG131109 MZK131109 MPO131109 MFS131109 LVW131109 LMA131109 LCE131109 KSI131109 KIM131109 JYQ131109 JOU131109 JEY131109 IVC131109 ILG131109 IBK131109 HRO131109 HHS131109 GXW131109 GOA131109 GEE131109 FUI131109 FKM131109 FAQ131109 EQU131109 EGY131109 DXC131109 DNG131109 DDK131109 CTO131109 CJS131109 BZW131109 BQA131109 BGE131109 AWI131109 AMM131109 ACQ131109 SU131109 IY131109 C131109 WVK65573 WLO65573 WBS65573 VRW65573 VIA65573 UYE65573 UOI65573 UEM65573 TUQ65573 TKU65573 TAY65573 SRC65573 SHG65573 RXK65573 RNO65573 RDS65573 QTW65573 QKA65573 QAE65573 PQI65573 PGM65573 OWQ65573 OMU65573 OCY65573 NTC65573 NJG65573 MZK65573 MPO65573 MFS65573 LVW65573 LMA65573 LCE65573 KSI65573 KIM65573 JYQ65573 JOU65573 JEY65573 IVC65573 ILG65573 IBK65573 HRO65573 HHS65573 GXW65573 GOA65573 GEE65573 FUI65573 FKM65573 FAQ65573 EQU65573 EGY65573 DXC65573 DNG65573 DDK65573 CTO65573 CJS65573 BZW65573 BQA65573 BGE65573 AWI65573 AMM65573 ACQ65573 SU65573 IY65573 C65573 WVK36 WLO36 WBS36 VRW36 VIA36 UYE36 UOI36 UEM36 TUQ36 TKU36 TAY36 SRC36 SHG36 RXK36 RNO36 RDS36 QTW36 QKA36 QAE36 PQI36 PGM36 OWQ36 OMU36 OCY36 NTC36 NJG36 MZK36 MPO36 MFS36 LVW36 LMA36 LCE36 KSI36 KIM36 JYQ36 JOU36 JEY36 IVC36 ILG36 IBK36 HRO36 HHS36 GXW36 GOA36 GEE36 FUI36 FKM36 FAQ36 EQU36 EGY36 DXC36 DNG36 DDK36 CTO36 CJS36 BZW36 BQA36 BGE36 AWI36 AMM36 ACQ36 SU36 IY36 WVQ983077 WLU983077 WBY983077 VSC983077 VIG983077 UYK983077 UOO983077 UES983077 TUW983077 TLA983077 TBE983077 SRI983077 SHM983077 RXQ983077 RNU983077 RDY983077 QUC983077 QKG983077 QAK983077 PQO983077 PGS983077 OWW983077 ONA983077 ODE983077 NTI983077 NJM983077 MZQ983077 MPU983077 MFY983077 LWC983077 LMG983077 LCK983077 KSO983077 KIS983077 JYW983077 JPA983077 JFE983077 IVI983077 ILM983077 IBQ983077 HRU983077 HHY983077 GYC983077 GOG983077 GEK983077 FUO983077 FKS983077 FAW983077 ERA983077 EHE983077 DXI983077 DNM983077 DDQ983077 CTU983077 CJY983077 CAC983077 BQG983077 BGK983077 AWO983077 AMS983077 ACW983077 TA983077 JE983077 I983077 WVQ917541 WLU917541 WBY917541 VSC917541 VIG917541 UYK917541 UOO917541 UES917541 TUW917541 TLA917541 TBE917541 SRI917541 SHM917541 RXQ917541 RNU917541 RDY917541 QUC917541 QKG917541 QAK917541 PQO917541 PGS917541 OWW917541 ONA917541 ODE917541 NTI917541 NJM917541 MZQ917541 MPU917541 MFY917541 LWC917541 LMG917541 LCK917541 KSO917541 KIS917541 JYW917541 JPA917541 JFE917541 IVI917541 ILM917541 IBQ917541 HRU917541 HHY917541 GYC917541 GOG917541 GEK917541 FUO917541 FKS917541 FAW917541 ERA917541 EHE917541 DXI917541 DNM917541 DDQ917541 CTU917541 CJY917541 CAC917541 BQG917541 BGK917541 AWO917541 AMS917541 ACW917541 TA917541 JE917541 I917541 WVQ852005 WLU852005 WBY852005 VSC852005 VIG852005 UYK852005 UOO852005 UES852005 TUW852005 TLA852005 TBE852005 SRI852005 SHM852005 RXQ852005 RNU852005 RDY852005 QUC852005 QKG852005 QAK852005 PQO852005 PGS852005 OWW852005 ONA852005 ODE852005 NTI852005 NJM852005 MZQ852005 MPU852005 MFY852005 LWC852005 LMG852005 LCK852005 KSO852005 KIS852005 JYW852005 JPA852005 JFE852005 IVI852005 ILM852005 IBQ852005 HRU852005 HHY852005 GYC852005 GOG852005 GEK852005 FUO852005 FKS852005 FAW852005 ERA852005 EHE852005 DXI852005 DNM852005 DDQ852005 CTU852005 CJY852005 CAC852005 BQG852005 BGK852005 AWO852005 AMS852005 ACW852005 TA852005 JE852005 I852005 WVQ786469 WLU786469 WBY786469 VSC786469 VIG786469 UYK786469 UOO786469 UES786469 TUW786469 TLA786469 TBE786469 SRI786469 SHM786469 RXQ786469 RNU786469 RDY786469 QUC786469 QKG786469 QAK786469 PQO786469 PGS786469 OWW786469 ONA786469 ODE786469 NTI786469 NJM786469 MZQ786469 MPU786469 MFY786469 LWC786469 LMG786469 LCK786469 KSO786469 KIS786469 JYW786469 JPA786469 JFE786469 IVI786469 ILM786469 IBQ786469 HRU786469 HHY786469 GYC786469 GOG786469 GEK786469 FUO786469 FKS786469 FAW786469 ERA786469 EHE786469 DXI786469 DNM786469 DDQ786469 CTU786469 CJY786469 CAC786469 BQG786469 BGK786469 AWO786469 AMS786469 ACW786469 TA786469 JE786469 I786469 WVQ720933 WLU720933 WBY720933 VSC720933 VIG720933 UYK720933 UOO720933 UES720933 TUW720933 TLA720933 TBE720933 SRI720933 SHM720933 RXQ720933 RNU720933 RDY720933 QUC720933 QKG720933 QAK720933 PQO720933 PGS720933 OWW720933 ONA720933 ODE720933 NTI720933 NJM720933 MZQ720933 MPU720933 MFY720933 LWC720933 LMG720933 LCK720933 KSO720933 KIS720933 JYW720933 JPA720933 JFE720933 IVI720933 ILM720933 IBQ720933 HRU720933 HHY720933 GYC720933 GOG720933 GEK720933 FUO720933 FKS720933 FAW720933 ERA720933 EHE720933 DXI720933 DNM720933 DDQ720933 CTU720933 CJY720933 CAC720933 BQG720933 BGK720933 AWO720933 AMS720933 ACW720933 TA720933 JE720933 I720933 WVQ655397 WLU655397 WBY655397 VSC655397 VIG655397 UYK655397 UOO655397 UES655397 TUW655397 TLA655397 TBE655397 SRI655397 SHM655397 RXQ655397 RNU655397 RDY655397 QUC655397 QKG655397 QAK655397 PQO655397 PGS655397 OWW655397 ONA655397 ODE655397 NTI655397 NJM655397 MZQ655397 MPU655397 MFY655397 LWC655397 LMG655397 LCK655397 KSO655397 KIS655397 JYW655397 JPA655397 JFE655397 IVI655397 ILM655397 IBQ655397 HRU655397 HHY655397 GYC655397 GOG655397 GEK655397 FUO655397 FKS655397 FAW655397 ERA655397 EHE655397 DXI655397 DNM655397 DDQ655397 CTU655397 CJY655397 CAC655397 BQG655397 BGK655397 AWO655397 AMS655397 ACW655397 TA655397 JE655397 I655397 WVQ589861 WLU589861 WBY589861 VSC589861 VIG589861 UYK589861 UOO589861 UES589861 TUW589861 TLA589861 TBE589861 SRI589861 SHM589861 RXQ589861 RNU589861 RDY589861 QUC589861 QKG589861 QAK589861 PQO589861 PGS589861 OWW589861 ONA589861 ODE589861 NTI589861 NJM589861 MZQ589861 MPU589861 MFY589861 LWC589861 LMG589861 LCK589861 KSO589861 KIS589861 JYW589861 JPA589861 JFE589861 IVI589861 ILM589861 IBQ589861 HRU589861 HHY589861 GYC589861 GOG589861 GEK589861 FUO589861 FKS589861 FAW589861 ERA589861 EHE589861 DXI589861 DNM589861 DDQ589861 CTU589861 CJY589861 CAC589861 BQG589861 BGK589861 AWO589861 AMS589861 ACW589861 TA589861 JE589861 I589861 WVQ524325 WLU524325 WBY524325 VSC524325 VIG524325 UYK524325 UOO524325 UES524325 TUW524325 TLA524325 TBE524325 SRI524325 SHM524325 RXQ524325 RNU524325 RDY524325 QUC524325 QKG524325 QAK524325 PQO524325 PGS524325 OWW524325 ONA524325 ODE524325 NTI524325 NJM524325 MZQ524325 MPU524325 MFY524325 LWC524325 LMG524325 LCK524325 KSO524325 KIS524325 JYW524325 JPA524325 JFE524325 IVI524325 ILM524325 IBQ524325 HRU524325 HHY524325 GYC524325 GOG524325 GEK524325 FUO524325 FKS524325 FAW524325 ERA524325 EHE524325 DXI524325 DNM524325 DDQ524325 CTU524325 CJY524325 CAC524325 BQG524325 BGK524325 AWO524325 AMS524325 ACW524325 TA524325 JE524325 I524325 WVQ458789 WLU458789 WBY458789 VSC458789 VIG458789 UYK458789 UOO458789 UES458789 TUW458789 TLA458789 TBE458789 SRI458789 SHM458789 RXQ458789 RNU458789 RDY458789 QUC458789 QKG458789 QAK458789 PQO458789 PGS458789 OWW458789 ONA458789 ODE458789 NTI458789 NJM458789 MZQ458789 MPU458789 MFY458789 LWC458789 LMG458789 LCK458789 KSO458789 KIS458789 JYW458789 JPA458789 JFE458789 IVI458789 ILM458789 IBQ458789 HRU458789 HHY458789 GYC458789 GOG458789 GEK458789 FUO458789 FKS458789 FAW458789 ERA458789 EHE458789 DXI458789 DNM458789 DDQ458789 CTU458789 CJY458789 CAC458789 BQG458789 BGK458789 AWO458789 AMS458789 ACW458789 TA458789 JE458789 I458789 WVQ393253 WLU393253 WBY393253 VSC393253 VIG393253 UYK393253 UOO393253 UES393253 TUW393253 TLA393253 TBE393253 SRI393253 SHM393253 RXQ393253 RNU393253 RDY393253 QUC393253 QKG393253 QAK393253 PQO393253 PGS393253 OWW393253 ONA393253 ODE393253 NTI393253 NJM393253 MZQ393253 MPU393253 MFY393253 LWC393253 LMG393253 LCK393253 KSO393253 KIS393253 JYW393253 JPA393253 JFE393253 IVI393253 ILM393253 IBQ393253 HRU393253 HHY393253 GYC393253 GOG393253 GEK393253 FUO393253 FKS393253 FAW393253 ERA393253 EHE393253 DXI393253 DNM393253 DDQ393253 CTU393253 CJY393253 CAC393253 BQG393253 BGK393253 AWO393253 AMS393253 ACW393253 TA393253 JE393253 I393253 WVQ327717 WLU327717 WBY327717 VSC327717 VIG327717 UYK327717 UOO327717 UES327717 TUW327717 TLA327717 TBE327717 SRI327717 SHM327717 RXQ327717 RNU327717 RDY327717 QUC327717 QKG327717 QAK327717 PQO327717 PGS327717 OWW327717 ONA327717 ODE327717 NTI327717 NJM327717 MZQ327717 MPU327717 MFY327717 LWC327717 LMG327717 LCK327717 KSO327717 KIS327717 JYW327717 JPA327717 JFE327717 IVI327717 ILM327717 IBQ327717 HRU327717 HHY327717 GYC327717 GOG327717 GEK327717 FUO327717 FKS327717 FAW327717 ERA327717 EHE327717 DXI327717 DNM327717 DDQ327717 CTU327717 CJY327717 CAC327717 BQG327717 BGK327717 AWO327717 AMS327717 ACW327717 TA327717 JE327717 I327717 WVQ262181 WLU262181 WBY262181 VSC262181 VIG262181 UYK262181 UOO262181 UES262181 TUW262181 TLA262181 TBE262181 SRI262181 SHM262181 RXQ262181 RNU262181 RDY262181 QUC262181 QKG262181 QAK262181 PQO262181 PGS262181 OWW262181 ONA262181 ODE262181 NTI262181 NJM262181 MZQ262181 MPU262181 MFY262181 LWC262181 LMG262181 LCK262181 KSO262181 KIS262181 JYW262181 JPA262181 JFE262181 IVI262181 ILM262181 IBQ262181 HRU262181 HHY262181 GYC262181 GOG262181 GEK262181 FUO262181 FKS262181 FAW262181 ERA262181 EHE262181 DXI262181 DNM262181 DDQ262181 CTU262181 CJY262181 CAC262181 BQG262181 BGK262181 AWO262181 AMS262181 ACW262181 TA262181 JE262181 I262181 WVQ196645 WLU196645 WBY196645 VSC196645 VIG196645 UYK196645 UOO196645 UES196645 TUW196645 TLA196645 TBE196645 SRI196645 SHM196645 RXQ196645 RNU196645 RDY196645 QUC196645 QKG196645 QAK196645 PQO196645 PGS196645 OWW196645 ONA196645 ODE196645 NTI196645 NJM196645 MZQ196645 MPU196645 MFY196645 LWC196645 LMG196645 LCK196645 KSO196645 KIS196645 JYW196645 JPA196645 JFE196645 IVI196645 ILM196645 IBQ196645 HRU196645 HHY196645 GYC196645 GOG196645 GEK196645 FUO196645 FKS196645 FAW196645 ERA196645 EHE196645 DXI196645 DNM196645 DDQ196645 CTU196645 CJY196645 CAC196645 BQG196645 BGK196645 AWO196645 AMS196645 ACW196645 TA196645 JE196645 I196645 WVQ131109 WLU131109 WBY131109 VSC131109 VIG131109 UYK131109 UOO131109 UES131109 TUW131109 TLA131109 TBE131109 SRI131109 SHM131109 RXQ131109 RNU131109 RDY131109 QUC131109 QKG131109 QAK131109 PQO131109 PGS131109 OWW131109 ONA131109 ODE131109 NTI131109 NJM131109 MZQ131109 MPU131109 MFY131109 LWC131109 LMG131109 LCK131109 KSO131109 KIS131109 JYW131109 JPA131109 JFE131109 IVI131109 ILM131109 IBQ131109 HRU131109 HHY131109 GYC131109 GOG131109 GEK131109 FUO131109 FKS131109 FAW131109 ERA131109 EHE131109 DXI131109 DNM131109 DDQ131109 CTU131109 CJY131109 CAC131109 BQG131109 BGK131109 AWO131109 AMS131109 ACW131109 TA131109 JE131109 I131109 WVQ65573 WLU65573 WBY65573 VSC65573 VIG65573 UYK65573 UOO65573 UES65573 TUW65573 TLA65573 TBE65573 SRI65573 SHM65573 RXQ65573 RNU65573 RDY65573 QUC65573 QKG65573 QAK65573 PQO65573 PGS65573 OWW65573 ONA65573 ODE65573 NTI65573 NJM65573 MZQ65573 MPU65573 MFY65573 LWC65573 LMG65573 LCK65573 KSO65573 KIS65573 JYW65573 JPA65573 JFE65573 IVI65573 ILM65573 IBQ65573 HRU65573 HHY65573 GYC65573 GOG65573 GEK65573 FUO65573 FKS65573 FAW65573 ERA65573 EHE65573 DXI65573 DNM65573 DDQ65573 CTU65573 CJY65573 CAC65573 BQG65573 BGK65573 AWO65573 AMS65573 ACW65573 TA65573 JE65573 I65573 WVQ36 WLU36 WBY36 VSC36 VIG36 UYK36 UOO36 UES36 TUW36 TLA36 TBE36 SRI36 SHM36 RXQ36 RNU36 RDY36 QUC36 QKG36 QAK36 PQO36 PGS36 OWW36 ONA36 ODE36 NTI36 NJM36 MZQ36 MPU36 MFY36 LWC36 LMG36 LCK36 KSO36 KIS36 JYW36 JPA36 JFE36 IVI36 ILM36 IBQ36 HRU36 HHY36 GYC36 GOG36 GEK36 FUO36 FKS36 FAW36 ERA36 EHE36 DXI36 DNM36 DDQ36 CTU36 CJY36 CAC36 BQG36 BGK36 AWO36 AMS36 ACW36 TA36 JE36 I34" xr:uid="{00000000-0002-0000-0300-000000000000}">
      <formula1>$L$69:$L$98</formula1>
      <formula2>0</formula2>
    </dataValidation>
    <dataValidation type="list" allowBlank="1" showErrorMessage="1" sqref="D31 WVL983073 WLP983073 WBT983073 VRX983073 VIB983073 UYF983073 UOJ983073 UEN983073 TUR983073 TKV983073 TAZ983073 SRD983073 SHH983073 RXL983073 RNP983073 RDT983073 QTX983073 QKB983073 QAF983073 PQJ983073 PGN983073 OWR983073 OMV983073 OCZ983073 NTD983073 NJH983073 MZL983073 MPP983073 MFT983073 LVX983073 LMB983073 LCF983073 KSJ983073 KIN983073 JYR983073 JOV983073 JEZ983073 IVD983073 ILH983073 IBL983073 HRP983073 HHT983073 GXX983073 GOB983073 GEF983073 FUJ983073 FKN983073 FAR983073 EQV983073 EGZ983073 DXD983073 DNH983073 DDL983073 CTP983073 CJT983073 BZX983073 BQB983073 BGF983073 AWJ983073 AMN983073 ACR983073 SV983073 IZ983073 D983073 WVL917537 WLP917537 WBT917537 VRX917537 VIB917537 UYF917537 UOJ917537 UEN917537 TUR917537 TKV917537 TAZ917537 SRD917537 SHH917537 RXL917537 RNP917537 RDT917537 QTX917537 QKB917537 QAF917537 PQJ917537 PGN917537 OWR917537 OMV917537 OCZ917537 NTD917537 NJH917537 MZL917537 MPP917537 MFT917537 LVX917537 LMB917537 LCF917537 KSJ917537 KIN917537 JYR917537 JOV917537 JEZ917537 IVD917537 ILH917537 IBL917537 HRP917537 HHT917537 GXX917537 GOB917537 GEF917537 FUJ917537 FKN917537 FAR917537 EQV917537 EGZ917537 DXD917537 DNH917537 DDL917537 CTP917537 CJT917537 BZX917537 BQB917537 BGF917537 AWJ917537 AMN917537 ACR917537 SV917537 IZ917537 D917537 WVL852001 WLP852001 WBT852001 VRX852001 VIB852001 UYF852001 UOJ852001 UEN852001 TUR852001 TKV852001 TAZ852001 SRD852001 SHH852001 RXL852001 RNP852001 RDT852001 QTX852001 QKB852001 QAF852001 PQJ852001 PGN852001 OWR852001 OMV852001 OCZ852001 NTD852001 NJH852001 MZL852001 MPP852001 MFT852001 LVX852001 LMB852001 LCF852001 KSJ852001 KIN852001 JYR852001 JOV852001 JEZ852001 IVD852001 ILH852001 IBL852001 HRP852001 HHT852001 GXX852001 GOB852001 GEF852001 FUJ852001 FKN852001 FAR852001 EQV852001 EGZ852001 DXD852001 DNH852001 DDL852001 CTP852001 CJT852001 BZX852001 BQB852001 BGF852001 AWJ852001 AMN852001 ACR852001 SV852001 IZ852001 D852001 WVL786465 WLP786465 WBT786465 VRX786465 VIB786465 UYF786465 UOJ786465 UEN786465 TUR786465 TKV786465 TAZ786465 SRD786465 SHH786465 RXL786465 RNP786465 RDT786465 QTX786465 QKB786465 QAF786465 PQJ786465 PGN786465 OWR786465 OMV786465 OCZ786465 NTD786465 NJH786465 MZL786465 MPP786465 MFT786465 LVX786465 LMB786465 LCF786465 KSJ786465 KIN786465 JYR786465 JOV786465 JEZ786465 IVD786465 ILH786465 IBL786465 HRP786465 HHT786465 GXX786465 GOB786465 GEF786465 FUJ786465 FKN786465 FAR786465 EQV786465 EGZ786465 DXD786465 DNH786465 DDL786465 CTP786465 CJT786465 BZX786465 BQB786465 BGF786465 AWJ786465 AMN786465 ACR786465 SV786465 IZ786465 D786465 WVL720929 WLP720929 WBT720929 VRX720929 VIB720929 UYF720929 UOJ720929 UEN720929 TUR720929 TKV720929 TAZ720929 SRD720929 SHH720929 RXL720929 RNP720929 RDT720929 QTX720929 QKB720929 QAF720929 PQJ720929 PGN720929 OWR720929 OMV720929 OCZ720929 NTD720929 NJH720929 MZL720929 MPP720929 MFT720929 LVX720929 LMB720929 LCF720929 KSJ720929 KIN720929 JYR720929 JOV720929 JEZ720929 IVD720929 ILH720929 IBL720929 HRP720929 HHT720929 GXX720929 GOB720929 GEF720929 FUJ720929 FKN720929 FAR720929 EQV720929 EGZ720929 DXD720929 DNH720929 DDL720929 CTP720929 CJT720929 BZX720929 BQB720929 BGF720929 AWJ720929 AMN720929 ACR720929 SV720929 IZ720929 D720929 WVL655393 WLP655393 WBT655393 VRX655393 VIB655393 UYF655393 UOJ655393 UEN655393 TUR655393 TKV655393 TAZ655393 SRD655393 SHH655393 RXL655393 RNP655393 RDT655393 QTX655393 QKB655393 QAF655393 PQJ655393 PGN655393 OWR655393 OMV655393 OCZ655393 NTD655393 NJH655393 MZL655393 MPP655393 MFT655393 LVX655393 LMB655393 LCF655393 KSJ655393 KIN655393 JYR655393 JOV655393 JEZ655393 IVD655393 ILH655393 IBL655393 HRP655393 HHT655393 GXX655393 GOB655393 GEF655393 FUJ655393 FKN655393 FAR655393 EQV655393 EGZ655393 DXD655393 DNH655393 DDL655393 CTP655393 CJT655393 BZX655393 BQB655393 BGF655393 AWJ655393 AMN655393 ACR655393 SV655393 IZ655393 D655393 WVL589857 WLP589857 WBT589857 VRX589857 VIB589857 UYF589857 UOJ589857 UEN589857 TUR589857 TKV589857 TAZ589857 SRD589857 SHH589857 RXL589857 RNP589857 RDT589857 QTX589857 QKB589857 QAF589857 PQJ589857 PGN589857 OWR589857 OMV589857 OCZ589857 NTD589857 NJH589857 MZL589857 MPP589857 MFT589857 LVX589857 LMB589857 LCF589857 KSJ589857 KIN589857 JYR589857 JOV589857 JEZ589857 IVD589857 ILH589857 IBL589857 HRP589857 HHT589857 GXX589857 GOB589857 GEF589857 FUJ589857 FKN589857 FAR589857 EQV589857 EGZ589857 DXD589857 DNH589857 DDL589857 CTP589857 CJT589857 BZX589857 BQB589857 BGF589857 AWJ589857 AMN589857 ACR589857 SV589857 IZ589857 D589857 WVL524321 WLP524321 WBT524321 VRX524321 VIB524321 UYF524321 UOJ524321 UEN524321 TUR524321 TKV524321 TAZ524321 SRD524321 SHH524321 RXL524321 RNP524321 RDT524321 QTX524321 QKB524321 QAF524321 PQJ524321 PGN524321 OWR524321 OMV524321 OCZ524321 NTD524321 NJH524321 MZL524321 MPP524321 MFT524321 LVX524321 LMB524321 LCF524321 KSJ524321 KIN524321 JYR524321 JOV524321 JEZ524321 IVD524321 ILH524321 IBL524321 HRP524321 HHT524321 GXX524321 GOB524321 GEF524321 FUJ524321 FKN524321 FAR524321 EQV524321 EGZ524321 DXD524321 DNH524321 DDL524321 CTP524321 CJT524321 BZX524321 BQB524321 BGF524321 AWJ524321 AMN524321 ACR524321 SV524321 IZ524321 D524321 WVL458785 WLP458785 WBT458785 VRX458785 VIB458785 UYF458785 UOJ458785 UEN458785 TUR458785 TKV458785 TAZ458785 SRD458785 SHH458785 RXL458785 RNP458785 RDT458785 QTX458785 QKB458785 QAF458785 PQJ458785 PGN458785 OWR458785 OMV458785 OCZ458785 NTD458785 NJH458785 MZL458785 MPP458785 MFT458785 LVX458785 LMB458785 LCF458785 KSJ458785 KIN458785 JYR458785 JOV458785 JEZ458785 IVD458785 ILH458785 IBL458785 HRP458785 HHT458785 GXX458785 GOB458785 GEF458785 FUJ458785 FKN458785 FAR458785 EQV458785 EGZ458785 DXD458785 DNH458785 DDL458785 CTP458785 CJT458785 BZX458785 BQB458785 BGF458785 AWJ458785 AMN458785 ACR458785 SV458785 IZ458785 D458785 WVL393249 WLP393249 WBT393249 VRX393249 VIB393249 UYF393249 UOJ393249 UEN393249 TUR393249 TKV393249 TAZ393249 SRD393249 SHH393249 RXL393249 RNP393249 RDT393249 QTX393249 QKB393249 QAF393249 PQJ393249 PGN393249 OWR393249 OMV393249 OCZ393249 NTD393249 NJH393249 MZL393249 MPP393249 MFT393249 LVX393249 LMB393249 LCF393249 KSJ393249 KIN393249 JYR393249 JOV393249 JEZ393249 IVD393249 ILH393249 IBL393249 HRP393249 HHT393249 GXX393249 GOB393249 GEF393249 FUJ393249 FKN393249 FAR393249 EQV393249 EGZ393249 DXD393249 DNH393249 DDL393249 CTP393249 CJT393249 BZX393249 BQB393249 BGF393249 AWJ393249 AMN393249 ACR393249 SV393249 IZ393249 D393249 WVL327713 WLP327713 WBT327713 VRX327713 VIB327713 UYF327713 UOJ327713 UEN327713 TUR327713 TKV327713 TAZ327713 SRD327713 SHH327713 RXL327713 RNP327713 RDT327713 QTX327713 QKB327713 QAF327713 PQJ327713 PGN327713 OWR327713 OMV327713 OCZ327713 NTD327713 NJH327713 MZL327713 MPP327713 MFT327713 LVX327713 LMB327713 LCF327713 KSJ327713 KIN327713 JYR327713 JOV327713 JEZ327713 IVD327713 ILH327713 IBL327713 HRP327713 HHT327713 GXX327713 GOB327713 GEF327713 FUJ327713 FKN327713 FAR327713 EQV327713 EGZ327713 DXD327713 DNH327713 DDL327713 CTP327713 CJT327713 BZX327713 BQB327713 BGF327713 AWJ327713 AMN327713 ACR327713 SV327713 IZ327713 D327713 WVL262177 WLP262177 WBT262177 VRX262177 VIB262177 UYF262177 UOJ262177 UEN262177 TUR262177 TKV262177 TAZ262177 SRD262177 SHH262177 RXL262177 RNP262177 RDT262177 QTX262177 QKB262177 QAF262177 PQJ262177 PGN262177 OWR262177 OMV262177 OCZ262177 NTD262177 NJH262177 MZL262177 MPP262177 MFT262177 LVX262177 LMB262177 LCF262177 KSJ262177 KIN262177 JYR262177 JOV262177 JEZ262177 IVD262177 ILH262177 IBL262177 HRP262177 HHT262177 GXX262177 GOB262177 GEF262177 FUJ262177 FKN262177 FAR262177 EQV262177 EGZ262177 DXD262177 DNH262177 DDL262177 CTP262177 CJT262177 BZX262177 BQB262177 BGF262177 AWJ262177 AMN262177 ACR262177 SV262177 IZ262177 D262177 WVL196641 WLP196641 WBT196641 VRX196641 VIB196641 UYF196641 UOJ196641 UEN196641 TUR196641 TKV196641 TAZ196641 SRD196641 SHH196641 RXL196641 RNP196641 RDT196641 QTX196641 QKB196641 QAF196641 PQJ196641 PGN196641 OWR196641 OMV196641 OCZ196641 NTD196641 NJH196641 MZL196641 MPP196641 MFT196641 LVX196641 LMB196641 LCF196641 KSJ196641 KIN196641 JYR196641 JOV196641 JEZ196641 IVD196641 ILH196641 IBL196641 HRP196641 HHT196641 GXX196641 GOB196641 GEF196641 FUJ196641 FKN196641 FAR196641 EQV196641 EGZ196641 DXD196641 DNH196641 DDL196641 CTP196641 CJT196641 BZX196641 BQB196641 BGF196641 AWJ196641 AMN196641 ACR196641 SV196641 IZ196641 D196641 WVL131105 WLP131105 WBT131105 VRX131105 VIB131105 UYF131105 UOJ131105 UEN131105 TUR131105 TKV131105 TAZ131105 SRD131105 SHH131105 RXL131105 RNP131105 RDT131105 QTX131105 QKB131105 QAF131105 PQJ131105 PGN131105 OWR131105 OMV131105 OCZ131105 NTD131105 NJH131105 MZL131105 MPP131105 MFT131105 LVX131105 LMB131105 LCF131105 KSJ131105 KIN131105 JYR131105 JOV131105 JEZ131105 IVD131105 ILH131105 IBL131105 HRP131105 HHT131105 GXX131105 GOB131105 GEF131105 FUJ131105 FKN131105 FAR131105 EQV131105 EGZ131105 DXD131105 DNH131105 DDL131105 CTP131105 CJT131105 BZX131105 BQB131105 BGF131105 AWJ131105 AMN131105 ACR131105 SV131105 IZ131105 D131105 WVL65569 WLP65569 WBT65569 VRX65569 VIB65569 UYF65569 UOJ65569 UEN65569 TUR65569 TKV65569 TAZ65569 SRD65569 SHH65569 RXL65569 RNP65569 RDT65569 QTX65569 QKB65569 QAF65569 PQJ65569 PGN65569 OWR65569 OMV65569 OCZ65569 NTD65569 NJH65569 MZL65569 MPP65569 MFT65569 LVX65569 LMB65569 LCF65569 KSJ65569 KIN65569 JYR65569 JOV65569 JEZ65569 IVD65569 ILH65569 IBL65569 HRP65569 HHT65569 GXX65569 GOB65569 GEF65569 FUJ65569 FKN65569 FAR65569 EQV65569 EGZ65569 DXD65569 DNH65569 DDL65569 CTP65569 CJT65569 BZX65569 BQB65569 BGF65569 AWJ65569 AMN65569 ACR65569 SV65569 IZ65569 D65569 WVL32 WLP32 WBT32 VRX32 VIB32 UYF32 UOJ32 UEN32 TUR32 TKV32 TAZ32 SRD32 SHH32 RXL32 RNP32 RDT32 QTX32 QKB32 QAF32 PQJ32 PGN32 OWR32 OMV32 OCZ32 NTD32 NJH32 MZL32 MPP32 MFT32 LVX32 LMB32 LCF32 KSJ32 KIN32 JYR32 JOV32 JEZ32 IVD32 ILH32 IBL32 HRP32 HHT32 GXX32 GOB32 GEF32 FUJ32 FKN32 FAR32 EQV32 EGZ32 DXD32 DNH32 DDL32 CTP32 CJT32 BZX32 BQB32 BGF32 AWJ32 AMN32 ACR32 SV32 IZ32" xr:uid="{00000000-0002-0000-0300-000001000000}">
      <formula1>"P Xsoft,P Soft,P Medium,P Hard,P Rain,Y Xsoft,Y Soft,Y Medium,Y Hard,Y Rain,3 Xsoft,3 Soft,3 Medium,3 Hard,3 Rain,D Xsoft,D Soft,D Medium,D Hard,D Rain,BY Xsoft,BY Soft,BY Medium,BY Hard,BY Rain,M Xsoft,M Soft,M Medium,M Hard,"</formula1>
      <formula2>0</formula2>
    </dataValidation>
    <dataValidation allowBlank="1" showInputMessage="1" showErrorMessage="1" prompt="use this column if your working with a setting that was too high but is okay now." sqref="G2 WVO983043 WLS983043 WBW983043 VSA983043 VIE983043 UYI983043 UOM983043 UEQ983043 TUU983043 TKY983043 TBC983043 SRG983043 SHK983043 RXO983043 RNS983043 RDW983043 QUA983043 QKE983043 QAI983043 PQM983043 PGQ983043 OWU983043 OMY983043 ODC983043 NTG983043 NJK983043 MZO983043 MPS983043 MFW983043 LWA983043 LME983043 LCI983043 KSM983043 KIQ983043 JYU983043 JOY983043 JFC983043 IVG983043 ILK983043 IBO983043 HRS983043 HHW983043 GYA983043 GOE983043 GEI983043 FUM983043 FKQ983043 FAU983043 EQY983043 EHC983043 DXG983043 DNK983043 DDO983043 CTS983043 CJW983043 CAA983043 BQE983043 BGI983043 AWM983043 AMQ983043 ACU983043 SY983043 JC983043 G983043 WVO917507 WLS917507 WBW917507 VSA917507 VIE917507 UYI917507 UOM917507 UEQ917507 TUU917507 TKY917507 TBC917507 SRG917507 SHK917507 RXO917507 RNS917507 RDW917507 QUA917507 QKE917507 QAI917507 PQM917507 PGQ917507 OWU917507 OMY917507 ODC917507 NTG917507 NJK917507 MZO917507 MPS917507 MFW917507 LWA917507 LME917507 LCI917507 KSM917507 KIQ917507 JYU917507 JOY917507 JFC917507 IVG917507 ILK917507 IBO917507 HRS917507 HHW917507 GYA917507 GOE917507 GEI917507 FUM917507 FKQ917507 FAU917507 EQY917507 EHC917507 DXG917507 DNK917507 DDO917507 CTS917507 CJW917507 CAA917507 BQE917507 BGI917507 AWM917507 AMQ917507 ACU917507 SY917507 JC917507 G917507 WVO851971 WLS851971 WBW851971 VSA851971 VIE851971 UYI851971 UOM851971 UEQ851971 TUU851971 TKY851971 TBC851971 SRG851971 SHK851971 RXO851971 RNS851971 RDW851971 QUA851971 QKE851971 QAI851971 PQM851971 PGQ851971 OWU851971 OMY851971 ODC851971 NTG851971 NJK851971 MZO851971 MPS851971 MFW851971 LWA851971 LME851971 LCI851971 KSM851971 KIQ851971 JYU851971 JOY851971 JFC851971 IVG851971 ILK851971 IBO851971 HRS851971 HHW851971 GYA851971 GOE851971 GEI851971 FUM851971 FKQ851971 FAU851971 EQY851971 EHC851971 DXG851971 DNK851971 DDO851971 CTS851971 CJW851971 CAA851971 BQE851971 BGI851971 AWM851971 AMQ851971 ACU851971 SY851971 JC851971 G851971 WVO786435 WLS786435 WBW786435 VSA786435 VIE786435 UYI786435 UOM786435 UEQ786435 TUU786435 TKY786435 TBC786435 SRG786435 SHK786435 RXO786435 RNS786435 RDW786435 QUA786435 QKE786435 QAI786435 PQM786435 PGQ786435 OWU786435 OMY786435 ODC786435 NTG786435 NJK786435 MZO786435 MPS786435 MFW786435 LWA786435 LME786435 LCI786435 KSM786435 KIQ786435 JYU786435 JOY786435 JFC786435 IVG786435 ILK786435 IBO786435 HRS786435 HHW786435 GYA786435 GOE786435 GEI786435 FUM786435 FKQ786435 FAU786435 EQY786435 EHC786435 DXG786435 DNK786435 DDO786435 CTS786435 CJW786435 CAA786435 BQE786435 BGI786435 AWM786435 AMQ786435 ACU786435 SY786435 JC786435 G786435 WVO720899 WLS720899 WBW720899 VSA720899 VIE720899 UYI720899 UOM720899 UEQ720899 TUU720899 TKY720899 TBC720899 SRG720899 SHK720899 RXO720899 RNS720899 RDW720899 QUA720899 QKE720899 QAI720899 PQM720899 PGQ720899 OWU720899 OMY720899 ODC720899 NTG720899 NJK720899 MZO720899 MPS720899 MFW720899 LWA720899 LME720899 LCI720899 KSM720899 KIQ720899 JYU720899 JOY720899 JFC720899 IVG720899 ILK720899 IBO720899 HRS720899 HHW720899 GYA720899 GOE720899 GEI720899 FUM720899 FKQ720899 FAU720899 EQY720899 EHC720899 DXG720899 DNK720899 DDO720899 CTS720899 CJW720899 CAA720899 BQE720899 BGI720899 AWM720899 AMQ720899 ACU720899 SY720899 JC720899 G720899 WVO655363 WLS655363 WBW655363 VSA655363 VIE655363 UYI655363 UOM655363 UEQ655363 TUU655363 TKY655363 TBC655363 SRG655363 SHK655363 RXO655363 RNS655363 RDW655363 QUA655363 QKE655363 QAI655363 PQM655363 PGQ655363 OWU655363 OMY655363 ODC655363 NTG655363 NJK655363 MZO655363 MPS655363 MFW655363 LWA655363 LME655363 LCI655363 KSM655363 KIQ655363 JYU655363 JOY655363 JFC655363 IVG655363 ILK655363 IBO655363 HRS655363 HHW655363 GYA655363 GOE655363 GEI655363 FUM655363 FKQ655363 FAU655363 EQY655363 EHC655363 DXG655363 DNK655363 DDO655363 CTS655363 CJW655363 CAA655363 BQE655363 BGI655363 AWM655363 AMQ655363 ACU655363 SY655363 JC655363 G655363 WVO589827 WLS589827 WBW589827 VSA589827 VIE589827 UYI589827 UOM589827 UEQ589827 TUU589827 TKY589827 TBC589827 SRG589827 SHK589827 RXO589827 RNS589827 RDW589827 QUA589827 QKE589827 QAI589827 PQM589827 PGQ589827 OWU589827 OMY589827 ODC589827 NTG589827 NJK589827 MZO589827 MPS589827 MFW589827 LWA589827 LME589827 LCI589827 KSM589827 KIQ589827 JYU589827 JOY589827 JFC589827 IVG589827 ILK589827 IBO589827 HRS589827 HHW589827 GYA589827 GOE589827 GEI589827 FUM589827 FKQ589827 FAU589827 EQY589827 EHC589827 DXG589827 DNK589827 DDO589827 CTS589827 CJW589827 CAA589827 BQE589827 BGI589827 AWM589827 AMQ589827 ACU589827 SY589827 JC589827 G589827 WVO524291 WLS524291 WBW524291 VSA524291 VIE524291 UYI524291 UOM524291 UEQ524291 TUU524291 TKY524291 TBC524291 SRG524291 SHK524291 RXO524291 RNS524291 RDW524291 QUA524291 QKE524291 QAI524291 PQM524291 PGQ524291 OWU524291 OMY524291 ODC524291 NTG524291 NJK524291 MZO524291 MPS524291 MFW524291 LWA524291 LME524291 LCI524291 KSM524291 KIQ524291 JYU524291 JOY524291 JFC524291 IVG524291 ILK524291 IBO524291 HRS524291 HHW524291 GYA524291 GOE524291 GEI524291 FUM524291 FKQ524291 FAU524291 EQY524291 EHC524291 DXG524291 DNK524291 DDO524291 CTS524291 CJW524291 CAA524291 BQE524291 BGI524291 AWM524291 AMQ524291 ACU524291 SY524291 JC524291 G524291 WVO458755 WLS458755 WBW458755 VSA458755 VIE458755 UYI458755 UOM458755 UEQ458755 TUU458755 TKY458755 TBC458755 SRG458755 SHK458755 RXO458755 RNS458755 RDW458755 QUA458755 QKE458755 QAI458755 PQM458755 PGQ458755 OWU458755 OMY458755 ODC458755 NTG458755 NJK458755 MZO458755 MPS458755 MFW458755 LWA458755 LME458755 LCI458755 KSM458755 KIQ458755 JYU458755 JOY458755 JFC458755 IVG458755 ILK458755 IBO458755 HRS458755 HHW458755 GYA458755 GOE458755 GEI458755 FUM458755 FKQ458755 FAU458755 EQY458755 EHC458755 DXG458755 DNK458755 DDO458755 CTS458755 CJW458755 CAA458755 BQE458755 BGI458755 AWM458755 AMQ458755 ACU458755 SY458755 JC458755 G458755 WVO393219 WLS393219 WBW393219 VSA393219 VIE393219 UYI393219 UOM393219 UEQ393219 TUU393219 TKY393219 TBC393219 SRG393219 SHK393219 RXO393219 RNS393219 RDW393219 QUA393219 QKE393219 QAI393219 PQM393219 PGQ393219 OWU393219 OMY393219 ODC393219 NTG393219 NJK393219 MZO393219 MPS393219 MFW393219 LWA393219 LME393219 LCI393219 KSM393219 KIQ393219 JYU393219 JOY393219 JFC393219 IVG393219 ILK393219 IBO393219 HRS393219 HHW393219 GYA393219 GOE393219 GEI393219 FUM393219 FKQ393219 FAU393219 EQY393219 EHC393219 DXG393219 DNK393219 DDO393219 CTS393219 CJW393219 CAA393219 BQE393219 BGI393219 AWM393219 AMQ393219 ACU393219 SY393219 JC393219 G393219 WVO327683 WLS327683 WBW327683 VSA327683 VIE327683 UYI327683 UOM327683 UEQ327683 TUU327683 TKY327683 TBC327683 SRG327683 SHK327683 RXO327683 RNS327683 RDW327683 QUA327683 QKE327683 QAI327683 PQM327683 PGQ327683 OWU327683 OMY327683 ODC327683 NTG327683 NJK327683 MZO327683 MPS327683 MFW327683 LWA327683 LME327683 LCI327683 KSM327683 KIQ327683 JYU327683 JOY327683 JFC327683 IVG327683 ILK327683 IBO327683 HRS327683 HHW327683 GYA327683 GOE327683 GEI327683 FUM327683 FKQ327683 FAU327683 EQY327683 EHC327683 DXG327683 DNK327683 DDO327683 CTS327683 CJW327683 CAA327683 BQE327683 BGI327683 AWM327683 AMQ327683 ACU327683 SY327683 JC327683 G327683 WVO262147 WLS262147 WBW262147 VSA262147 VIE262147 UYI262147 UOM262147 UEQ262147 TUU262147 TKY262147 TBC262147 SRG262147 SHK262147 RXO262147 RNS262147 RDW262147 QUA262147 QKE262147 QAI262147 PQM262147 PGQ262147 OWU262147 OMY262147 ODC262147 NTG262147 NJK262147 MZO262147 MPS262147 MFW262147 LWA262147 LME262147 LCI262147 KSM262147 KIQ262147 JYU262147 JOY262147 JFC262147 IVG262147 ILK262147 IBO262147 HRS262147 HHW262147 GYA262147 GOE262147 GEI262147 FUM262147 FKQ262147 FAU262147 EQY262147 EHC262147 DXG262147 DNK262147 DDO262147 CTS262147 CJW262147 CAA262147 BQE262147 BGI262147 AWM262147 AMQ262147 ACU262147 SY262147 JC262147 G262147 WVO196611 WLS196611 WBW196611 VSA196611 VIE196611 UYI196611 UOM196611 UEQ196611 TUU196611 TKY196611 TBC196611 SRG196611 SHK196611 RXO196611 RNS196611 RDW196611 QUA196611 QKE196611 QAI196611 PQM196611 PGQ196611 OWU196611 OMY196611 ODC196611 NTG196611 NJK196611 MZO196611 MPS196611 MFW196611 LWA196611 LME196611 LCI196611 KSM196611 KIQ196611 JYU196611 JOY196611 JFC196611 IVG196611 ILK196611 IBO196611 HRS196611 HHW196611 GYA196611 GOE196611 GEI196611 FUM196611 FKQ196611 FAU196611 EQY196611 EHC196611 DXG196611 DNK196611 DDO196611 CTS196611 CJW196611 CAA196611 BQE196611 BGI196611 AWM196611 AMQ196611 ACU196611 SY196611 JC196611 G196611 WVO131075 WLS131075 WBW131075 VSA131075 VIE131075 UYI131075 UOM131075 UEQ131075 TUU131075 TKY131075 TBC131075 SRG131075 SHK131075 RXO131075 RNS131075 RDW131075 QUA131075 QKE131075 QAI131075 PQM131075 PGQ131075 OWU131075 OMY131075 ODC131075 NTG131075 NJK131075 MZO131075 MPS131075 MFW131075 LWA131075 LME131075 LCI131075 KSM131075 KIQ131075 JYU131075 JOY131075 JFC131075 IVG131075 ILK131075 IBO131075 HRS131075 HHW131075 GYA131075 GOE131075 GEI131075 FUM131075 FKQ131075 FAU131075 EQY131075 EHC131075 DXG131075 DNK131075 DDO131075 CTS131075 CJW131075 CAA131075 BQE131075 BGI131075 AWM131075 AMQ131075 ACU131075 SY131075 JC131075 G131075 WVO65539 WLS65539 WBW65539 VSA65539 VIE65539 UYI65539 UOM65539 UEQ65539 TUU65539 TKY65539 TBC65539 SRG65539 SHK65539 RXO65539 RNS65539 RDW65539 QUA65539 QKE65539 QAI65539 PQM65539 PGQ65539 OWU65539 OMY65539 ODC65539 NTG65539 NJK65539 MZO65539 MPS65539 MFW65539 LWA65539 LME65539 LCI65539 KSM65539 KIQ65539 JYU65539 JOY65539 JFC65539 IVG65539 ILK65539 IBO65539 HRS65539 HHW65539 GYA65539 GOE65539 GEI65539 FUM65539 FKQ65539 FAU65539 EQY65539 EHC65539 DXG65539 DNK65539 DDO65539 CTS65539 CJW65539 CAA65539 BQE65539 BGI65539 AWM65539 AMQ65539 ACU65539 SY65539 JC65539 G65539 WVO2 WLS2 WBW2 VSA2 VIE2 UYI2 UOM2 UEQ2 TUU2 TKY2 TBC2 SRG2 SHK2 RXO2 RNS2 RDW2 QUA2 QKE2 QAI2 PQM2 PGQ2 OWU2 OMY2 ODC2 NTG2 NJK2 MZO2 MPS2 MFW2 LWA2 LME2 LCI2 KSM2 KIQ2 JYU2 JOY2 JFC2 IVG2 ILK2 IBO2 HRS2 HHW2 GYA2 GOE2 GEI2 FUM2 FKQ2 FAU2 EQY2 EHC2 DXG2 DNK2 DDO2 CTS2 CJW2 CAA2 BQE2 BGI2 AWM2 AMQ2 ACU2 SY2 JC2" xr:uid="{00000000-0002-0000-0300-000002000000}">
      <formula1>0</formula1>
      <formula2>0</formula2>
    </dataValidation>
    <dataValidation allowBlank="1" showInputMessage="1" showErrorMessage="1" prompt="If you get too high messages, place those settings in this column" sqref="H2 WVP983043 WLT983043 WBX983043 VSB983043 VIF983043 UYJ983043 UON983043 UER983043 TUV983043 TKZ983043 TBD983043 SRH983043 SHL983043 RXP983043 RNT983043 RDX983043 QUB983043 QKF983043 QAJ983043 PQN983043 PGR983043 OWV983043 OMZ983043 ODD983043 NTH983043 NJL983043 MZP983043 MPT983043 MFX983043 LWB983043 LMF983043 LCJ983043 KSN983043 KIR983043 JYV983043 JOZ983043 JFD983043 IVH983043 ILL983043 IBP983043 HRT983043 HHX983043 GYB983043 GOF983043 GEJ983043 FUN983043 FKR983043 FAV983043 EQZ983043 EHD983043 DXH983043 DNL983043 DDP983043 CTT983043 CJX983043 CAB983043 BQF983043 BGJ983043 AWN983043 AMR983043 ACV983043 SZ983043 JD983043 H983043 WVP917507 WLT917507 WBX917507 VSB917507 VIF917507 UYJ917507 UON917507 UER917507 TUV917507 TKZ917507 TBD917507 SRH917507 SHL917507 RXP917507 RNT917507 RDX917507 QUB917507 QKF917507 QAJ917507 PQN917507 PGR917507 OWV917507 OMZ917507 ODD917507 NTH917507 NJL917507 MZP917507 MPT917507 MFX917507 LWB917507 LMF917507 LCJ917507 KSN917507 KIR917507 JYV917507 JOZ917507 JFD917507 IVH917507 ILL917507 IBP917507 HRT917507 HHX917507 GYB917507 GOF917507 GEJ917507 FUN917507 FKR917507 FAV917507 EQZ917507 EHD917507 DXH917507 DNL917507 DDP917507 CTT917507 CJX917507 CAB917507 BQF917507 BGJ917507 AWN917507 AMR917507 ACV917507 SZ917507 JD917507 H917507 WVP851971 WLT851971 WBX851971 VSB851971 VIF851971 UYJ851971 UON851971 UER851971 TUV851971 TKZ851971 TBD851971 SRH851971 SHL851971 RXP851971 RNT851971 RDX851971 QUB851971 QKF851971 QAJ851971 PQN851971 PGR851971 OWV851971 OMZ851971 ODD851971 NTH851971 NJL851971 MZP851971 MPT851971 MFX851971 LWB851971 LMF851971 LCJ851971 KSN851971 KIR851971 JYV851971 JOZ851971 JFD851971 IVH851971 ILL851971 IBP851971 HRT851971 HHX851971 GYB851971 GOF851971 GEJ851971 FUN851971 FKR851971 FAV851971 EQZ851971 EHD851971 DXH851971 DNL851971 DDP851971 CTT851971 CJX851971 CAB851971 BQF851971 BGJ851971 AWN851971 AMR851971 ACV851971 SZ851971 JD851971 H851971 WVP786435 WLT786435 WBX786435 VSB786435 VIF786435 UYJ786435 UON786435 UER786435 TUV786435 TKZ786435 TBD786435 SRH786435 SHL786435 RXP786435 RNT786435 RDX786435 QUB786435 QKF786435 QAJ786435 PQN786435 PGR786435 OWV786435 OMZ786435 ODD786435 NTH786435 NJL786435 MZP786435 MPT786435 MFX786435 LWB786435 LMF786435 LCJ786435 KSN786435 KIR786435 JYV786435 JOZ786435 JFD786435 IVH786435 ILL786435 IBP786435 HRT786435 HHX786435 GYB786435 GOF786435 GEJ786435 FUN786435 FKR786435 FAV786435 EQZ786435 EHD786435 DXH786435 DNL786435 DDP786435 CTT786435 CJX786435 CAB786435 BQF786435 BGJ786435 AWN786435 AMR786435 ACV786435 SZ786435 JD786435 H786435 WVP720899 WLT720899 WBX720899 VSB720899 VIF720899 UYJ720899 UON720899 UER720899 TUV720899 TKZ720899 TBD720899 SRH720899 SHL720899 RXP720899 RNT720899 RDX720899 QUB720899 QKF720899 QAJ720899 PQN720899 PGR720899 OWV720899 OMZ720899 ODD720899 NTH720899 NJL720899 MZP720899 MPT720899 MFX720899 LWB720899 LMF720899 LCJ720899 KSN720899 KIR720899 JYV720899 JOZ720899 JFD720899 IVH720899 ILL720899 IBP720899 HRT720899 HHX720899 GYB720899 GOF720899 GEJ720899 FUN720899 FKR720899 FAV720899 EQZ720899 EHD720899 DXH720899 DNL720899 DDP720899 CTT720899 CJX720899 CAB720899 BQF720899 BGJ720899 AWN720899 AMR720899 ACV720899 SZ720899 JD720899 H720899 WVP655363 WLT655363 WBX655363 VSB655363 VIF655363 UYJ655363 UON655363 UER655363 TUV655363 TKZ655363 TBD655363 SRH655363 SHL655363 RXP655363 RNT655363 RDX655363 QUB655363 QKF655363 QAJ655363 PQN655363 PGR655363 OWV655363 OMZ655363 ODD655363 NTH655363 NJL655363 MZP655363 MPT655363 MFX655363 LWB655363 LMF655363 LCJ655363 KSN655363 KIR655363 JYV655363 JOZ655363 JFD655363 IVH655363 ILL655363 IBP655363 HRT655363 HHX655363 GYB655363 GOF655363 GEJ655363 FUN655363 FKR655363 FAV655363 EQZ655363 EHD655363 DXH655363 DNL655363 DDP655363 CTT655363 CJX655363 CAB655363 BQF655363 BGJ655363 AWN655363 AMR655363 ACV655363 SZ655363 JD655363 H655363 WVP589827 WLT589827 WBX589827 VSB589827 VIF589827 UYJ589827 UON589827 UER589827 TUV589827 TKZ589827 TBD589827 SRH589827 SHL589827 RXP589827 RNT589827 RDX589827 QUB589827 QKF589827 QAJ589827 PQN589827 PGR589827 OWV589827 OMZ589827 ODD589827 NTH589827 NJL589827 MZP589827 MPT589827 MFX589827 LWB589827 LMF589827 LCJ589827 KSN589827 KIR589827 JYV589827 JOZ589827 JFD589827 IVH589827 ILL589827 IBP589827 HRT589827 HHX589827 GYB589827 GOF589827 GEJ589827 FUN589827 FKR589827 FAV589827 EQZ589827 EHD589827 DXH589827 DNL589827 DDP589827 CTT589827 CJX589827 CAB589827 BQF589827 BGJ589827 AWN589827 AMR589827 ACV589827 SZ589827 JD589827 H589827 WVP524291 WLT524291 WBX524291 VSB524291 VIF524291 UYJ524291 UON524291 UER524291 TUV524291 TKZ524291 TBD524291 SRH524291 SHL524291 RXP524291 RNT524291 RDX524291 QUB524291 QKF524291 QAJ524291 PQN524291 PGR524291 OWV524291 OMZ524291 ODD524291 NTH524291 NJL524291 MZP524291 MPT524291 MFX524291 LWB524291 LMF524291 LCJ524291 KSN524291 KIR524291 JYV524291 JOZ524291 JFD524291 IVH524291 ILL524291 IBP524291 HRT524291 HHX524291 GYB524291 GOF524291 GEJ524291 FUN524291 FKR524291 FAV524291 EQZ524291 EHD524291 DXH524291 DNL524291 DDP524291 CTT524291 CJX524291 CAB524291 BQF524291 BGJ524291 AWN524291 AMR524291 ACV524291 SZ524291 JD524291 H524291 WVP458755 WLT458755 WBX458755 VSB458755 VIF458755 UYJ458755 UON458755 UER458755 TUV458755 TKZ458755 TBD458755 SRH458755 SHL458755 RXP458755 RNT458755 RDX458755 QUB458755 QKF458755 QAJ458755 PQN458755 PGR458755 OWV458755 OMZ458755 ODD458755 NTH458755 NJL458755 MZP458755 MPT458755 MFX458755 LWB458755 LMF458755 LCJ458755 KSN458755 KIR458755 JYV458755 JOZ458755 JFD458755 IVH458755 ILL458755 IBP458755 HRT458755 HHX458755 GYB458755 GOF458755 GEJ458755 FUN458755 FKR458755 FAV458755 EQZ458755 EHD458755 DXH458755 DNL458755 DDP458755 CTT458755 CJX458755 CAB458755 BQF458755 BGJ458755 AWN458755 AMR458755 ACV458755 SZ458755 JD458755 H458755 WVP393219 WLT393219 WBX393219 VSB393219 VIF393219 UYJ393219 UON393219 UER393219 TUV393219 TKZ393219 TBD393219 SRH393219 SHL393219 RXP393219 RNT393219 RDX393219 QUB393219 QKF393219 QAJ393219 PQN393219 PGR393219 OWV393219 OMZ393219 ODD393219 NTH393219 NJL393219 MZP393219 MPT393219 MFX393219 LWB393219 LMF393219 LCJ393219 KSN393219 KIR393219 JYV393219 JOZ393219 JFD393219 IVH393219 ILL393219 IBP393219 HRT393219 HHX393219 GYB393219 GOF393219 GEJ393219 FUN393219 FKR393219 FAV393219 EQZ393219 EHD393219 DXH393219 DNL393219 DDP393219 CTT393219 CJX393219 CAB393219 BQF393219 BGJ393219 AWN393219 AMR393219 ACV393219 SZ393219 JD393219 H393219 WVP327683 WLT327683 WBX327683 VSB327683 VIF327683 UYJ327683 UON327683 UER327683 TUV327683 TKZ327683 TBD327683 SRH327683 SHL327683 RXP327683 RNT327683 RDX327683 QUB327683 QKF327683 QAJ327683 PQN327683 PGR327683 OWV327683 OMZ327683 ODD327683 NTH327683 NJL327683 MZP327683 MPT327683 MFX327683 LWB327683 LMF327683 LCJ327683 KSN327683 KIR327683 JYV327683 JOZ327683 JFD327683 IVH327683 ILL327683 IBP327683 HRT327683 HHX327683 GYB327683 GOF327683 GEJ327683 FUN327683 FKR327683 FAV327683 EQZ327683 EHD327683 DXH327683 DNL327683 DDP327683 CTT327683 CJX327683 CAB327683 BQF327683 BGJ327683 AWN327683 AMR327683 ACV327683 SZ327683 JD327683 H327683 WVP262147 WLT262147 WBX262147 VSB262147 VIF262147 UYJ262147 UON262147 UER262147 TUV262147 TKZ262147 TBD262147 SRH262147 SHL262147 RXP262147 RNT262147 RDX262147 QUB262147 QKF262147 QAJ262147 PQN262147 PGR262147 OWV262147 OMZ262147 ODD262147 NTH262147 NJL262147 MZP262147 MPT262147 MFX262147 LWB262147 LMF262147 LCJ262147 KSN262147 KIR262147 JYV262147 JOZ262147 JFD262147 IVH262147 ILL262147 IBP262147 HRT262147 HHX262147 GYB262147 GOF262147 GEJ262147 FUN262147 FKR262147 FAV262147 EQZ262147 EHD262147 DXH262147 DNL262147 DDP262147 CTT262147 CJX262147 CAB262147 BQF262147 BGJ262147 AWN262147 AMR262147 ACV262147 SZ262147 JD262147 H262147 WVP196611 WLT196611 WBX196611 VSB196611 VIF196611 UYJ196611 UON196611 UER196611 TUV196611 TKZ196611 TBD196611 SRH196611 SHL196611 RXP196611 RNT196611 RDX196611 QUB196611 QKF196611 QAJ196611 PQN196611 PGR196611 OWV196611 OMZ196611 ODD196611 NTH196611 NJL196611 MZP196611 MPT196611 MFX196611 LWB196611 LMF196611 LCJ196611 KSN196611 KIR196611 JYV196611 JOZ196611 JFD196611 IVH196611 ILL196611 IBP196611 HRT196611 HHX196611 GYB196611 GOF196611 GEJ196611 FUN196611 FKR196611 FAV196611 EQZ196611 EHD196611 DXH196611 DNL196611 DDP196611 CTT196611 CJX196611 CAB196611 BQF196611 BGJ196611 AWN196611 AMR196611 ACV196611 SZ196611 JD196611 H196611 WVP131075 WLT131075 WBX131075 VSB131075 VIF131075 UYJ131075 UON131075 UER131075 TUV131075 TKZ131075 TBD131075 SRH131075 SHL131075 RXP131075 RNT131075 RDX131075 QUB131075 QKF131075 QAJ131075 PQN131075 PGR131075 OWV131075 OMZ131075 ODD131075 NTH131075 NJL131075 MZP131075 MPT131075 MFX131075 LWB131075 LMF131075 LCJ131075 KSN131075 KIR131075 JYV131075 JOZ131075 JFD131075 IVH131075 ILL131075 IBP131075 HRT131075 HHX131075 GYB131075 GOF131075 GEJ131075 FUN131075 FKR131075 FAV131075 EQZ131075 EHD131075 DXH131075 DNL131075 DDP131075 CTT131075 CJX131075 CAB131075 BQF131075 BGJ131075 AWN131075 AMR131075 ACV131075 SZ131075 JD131075 H131075 WVP65539 WLT65539 WBX65539 VSB65539 VIF65539 UYJ65539 UON65539 UER65539 TUV65539 TKZ65539 TBD65539 SRH65539 SHL65539 RXP65539 RNT65539 RDX65539 QUB65539 QKF65539 QAJ65539 PQN65539 PGR65539 OWV65539 OMZ65539 ODD65539 NTH65539 NJL65539 MZP65539 MPT65539 MFX65539 LWB65539 LMF65539 LCJ65539 KSN65539 KIR65539 JYV65539 JOZ65539 JFD65539 IVH65539 ILL65539 IBP65539 HRT65539 HHX65539 GYB65539 GOF65539 GEJ65539 FUN65539 FKR65539 FAV65539 EQZ65539 EHD65539 DXH65539 DNL65539 DDP65539 CTT65539 CJX65539 CAB65539 BQF65539 BGJ65539 AWN65539 AMR65539 ACV65539 SZ65539 JD65539 H65539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JD2" xr:uid="{00000000-0002-0000-0300-000003000000}">
      <formula1>0</formula1>
      <formula2>0</formula2>
    </dataValidation>
    <dataValidation allowBlank="1" showInputMessage="1" showErrorMessage="1" prompt="If your setting is too low, put the settings in this column" sqref="E2 WVM983043 WLQ983043 WBU983043 VRY983043 VIC983043 UYG983043 UOK983043 UEO983043 TUS983043 TKW983043 TBA983043 SRE983043 SHI983043 RXM983043 RNQ983043 RDU983043 QTY983043 QKC983043 QAG983043 PQK983043 PGO983043 OWS983043 OMW983043 ODA983043 NTE983043 NJI983043 MZM983043 MPQ983043 MFU983043 LVY983043 LMC983043 LCG983043 KSK983043 KIO983043 JYS983043 JOW983043 JFA983043 IVE983043 ILI983043 IBM983043 HRQ983043 HHU983043 GXY983043 GOC983043 GEG983043 FUK983043 FKO983043 FAS983043 EQW983043 EHA983043 DXE983043 DNI983043 DDM983043 CTQ983043 CJU983043 BZY983043 BQC983043 BGG983043 AWK983043 AMO983043 ACS983043 SW983043 JA983043 E983043 WVM917507 WLQ917507 WBU917507 VRY917507 VIC917507 UYG917507 UOK917507 UEO917507 TUS917507 TKW917507 TBA917507 SRE917507 SHI917507 RXM917507 RNQ917507 RDU917507 QTY917507 QKC917507 QAG917507 PQK917507 PGO917507 OWS917507 OMW917507 ODA917507 NTE917507 NJI917507 MZM917507 MPQ917507 MFU917507 LVY917507 LMC917507 LCG917507 KSK917507 KIO917507 JYS917507 JOW917507 JFA917507 IVE917507 ILI917507 IBM917507 HRQ917507 HHU917507 GXY917507 GOC917507 GEG917507 FUK917507 FKO917507 FAS917507 EQW917507 EHA917507 DXE917507 DNI917507 DDM917507 CTQ917507 CJU917507 BZY917507 BQC917507 BGG917507 AWK917507 AMO917507 ACS917507 SW917507 JA917507 E917507 WVM851971 WLQ851971 WBU851971 VRY851971 VIC851971 UYG851971 UOK851971 UEO851971 TUS851971 TKW851971 TBA851971 SRE851971 SHI851971 RXM851971 RNQ851971 RDU851971 QTY851971 QKC851971 QAG851971 PQK851971 PGO851971 OWS851971 OMW851971 ODA851971 NTE851971 NJI851971 MZM851971 MPQ851971 MFU851971 LVY851971 LMC851971 LCG851971 KSK851971 KIO851971 JYS851971 JOW851971 JFA851971 IVE851971 ILI851971 IBM851971 HRQ851971 HHU851971 GXY851971 GOC851971 GEG851971 FUK851971 FKO851971 FAS851971 EQW851971 EHA851971 DXE851971 DNI851971 DDM851971 CTQ851971 CJU851971 BZY851971 BQC851971 BGG851971 AWK851971 AMO851971 ACS851971 SW851971 JA851971 E851971 WVM786435 WLQ786435 WBU786435 VRY786435 VIC786435 UYG786435 UOK786435 UEO786435 TUS786435 TKW786435 TBA786435 SRE786435 SHI786435 RXM786435 RNQ786435 RDU786435 QTY786435 QKC786435 QAG786435 PQK786435 PGO786435 OWS786435 OMW786435 ODA786435 NTE786435 NJI786435 MZM786435 MPQ786435 MFU786435 LVY786435 LMC786435 LCG786435 KSK786435 KIO786435 JYS786435 JOW786435 JFA786435 IVE786435 ILI786435 IBM786435 HRQ786435 HHU786435 GXY786435 GOC786435 GEG786435 FUK786435 FKO786435 FAS786435 EQW786435 EHA786435 DXE786435 DNI786435 DDM786435 CTQ786435 CJU786435 BZY786435 BQC786435 BGG786435 AWK786435 AMO786435 ACS786435 SW786435 JA786435 E786435 WVM720899 WLQ720899 WBU720899 VRY720899 VIC720899 UYG720899 UOK720899 UEO720899 TUS720899 TKW720899 TBA720899 SRE720899 SHI720899 RXM720899 RNQ720899 RDU720899 QTY720899 QKC720899 QAG720899 PQK720899 PGO720899 OWS720899 OMW720899 ODA720899 NTE720899 NJI720899 MZM720899 MPQ720899 MFU720899 LVY720899 LMC720899 LCG720899 KSK720899 KIO720899 JYS720899 JOW720899 JFA720899 IVE720899 ILI720899 IBM720899 HRQ720899 HHU720899 GXY720899 GOC720899 GEG720899 FUK720899 FKO720899 FAS720899 EQW720899 EHA720899 DXE720899 DNI720899 DDM720899 CTQ720899 CJU720899 BZY720899 BQC720899 BGG720899 AWK720899 AMO720899 ACS720899 SW720899 JA720899 E720899 WVM655363 WLQ655363 WBU655363 VRY655363 VIC655363 UYG655363 UOK655363 UEO655363 TUS655363 TKW655363 TBA655363 SRE655363 SHI655363 RXM655363 RNQ655363 RDU655363 QTY655363 QKC655363 QAG655363 PQK655363 PGO655363 OWS655363 OMW655363 ODA655363 NTE655363 NJI655363 MZM655363 MPQ655363 MFU655363 LVY655363 LMC655363 LCG655363 KSK655363 KIO655363 JYS655363 JOW655363 JFA655363 IVE655363 ILI655363 IBM655363 HRQ655363 HHU655363 GXY655363 GOC655363 GEG655363 FUK655363 FKO655363 FAS655363 EQW655363 EHA655363 DXE655363 DNI655363 DDM655363 CTQ655363 CJU655363 BZY655363 BQC655363 BGG655363 AWK655363 AMO655363 ACS655363 SW655363 JA655363 E655363 WVM589827 WLQ589827 WBU589827 VRY589827 VIC589827 UYG589827 UOK589827 UEO589827 TUS589827 TKW589827 TBA589827 SRE589827 SHI589827 RXM589827 RNQ589827 RDU589827 QTY589827 QKC589827 QAG589827 PQK589827 PGO589827 OWS589827 OMW589827 ODA589827 NTE589827 NJI589827 MZM589827 MPQ589827 MFU589827 LVY589827 LMC589827 LCG589827 KSK589827 KIO589827 JYS589827 JOW589827 JFA589827 IVE589827 ILI589827 IBM589827 HRQ589827 HHU589827 GXY589827 GOC589827 GEG589827 FUK589827 FKO589827 FAS589827 EQW589827 EHA589827 DXE589827 DNI589827 DDM589827 CTQ589827 CJU589827 BZY589827 BQC589827 BGG589827 AWK589827 AMO589827 ACS589827 SW589827 JA589827 E589827 WVM524291 WLQ524291 WBU524291 VRY524291 VIC524291 UYG524291 UOK524291 UEO524291 TUS524291 TKW524291 TBA524291 SRE524291 SHI524291 RXM524291 RNQ524291 RDU524291 QTY524291 QKC524291 QAG524291 PQK524291 PGO524291 OWS524291 OMW524291 ODA524291 NTE524291 NJI524291 MZM524291 MPQ524291 MFU524291 LVY524291 LMC524291 LCG524291 KSK524291 KIO524291 JYS524291 JOW524291 JFA524291 IVE524291 ILI524291 IBM524291 HRQ524291 HHU524291 GXY524291 GOC524291 GEG524291 FUK524291 FKO524291 FAS524291 EQW524291 EHA524291 DXE524291 DNI524291 DDM524291 CTQ524291 CJU524291 BZY524291 BQC524291 BGG524291 AWK524291 AMO524291 ACS524291 SW524291 JA524291 E524291 WVM458755 WLQ458755 WBU458755 VRY458755 VIC458755 UYG458755 UOK458755 UEO458755 TUS458755 TKW458755 TBA458755 SRE458755 SHI458755 RXM458755 RNQ458755 RDU458755 QTY458755 QKC458755 QAG458755 PQK458755 PGO458755 OWS458755 OMW458755 ODA458755 NTE458755 NJI458755 MZM458755 MPQ458755 MFU458755 LVY458755 LMC458755 LCG458755 KSK458755 KIO458755 JYS458755 JOW458755 JFA458755 IVE458755 ILI458755 IBM458755 HRQ458755 HHU458755 GXY458755 GOC458755 GEG458755 FUK458755 FKO458755 FAS458755 EQW458755 EHA458755 DXE458755 DNI458755 DDM458755 CTQ458755 CJU458755 BZY458755 BQC458755 BGG458755 AWK458755 AMO458755 ACS458755 SW458755 JA458755 E458755 WVM393219 WLQ393219 WBU393219 VRY393219 VIC393219 UYG393219 UOK393219 UEO393219 TUS393219 TKW393219 TBA393219 SRE393219 SHI393219 RXM393219 RNQ393219 RDU393219 QTY393219 QKC393219 QAG393219 PQK393219 PGO393219 OWS393219 OMW393219 ODA393219 NTE393219 NJI393219 MZM393219 MPQ393219 MFU393219 LVY393219 LMC393219 LCG393219 KSK393219 KIO393219 JYS393219 JOW393219 JFA393219 IVE393219 ILI393219 IBM393219 HRQ393219 HHU393219 GXY393219 GOC393219 GEG393219 FUK393219 FKO393219 FAS393219 EQW393219 EHA393219 DXE393219 DNI393219 DDM393219 CTQ393219 CJU393219 BZY393219 BQC393219 BGG393219 AWK393219 AMO393219 ACS393219 SW393219 JA393219 E393219 WVM327683 WLQ327683 WBU327683 VRY327683 VIC327683 UYG327683 UOK327683 UEO327683 TUS327683 TKW327683 TBA327683 SRE327683 SHI327683 RXM327683 RNQ327683 RDU327683 QTY327683 QKC327683 QAG327683 PQK327683 PGO327683 OWS327683 OMW327683 ODA327683 NTE327683 NJI327683 MZM327683 MPQ327683 MFU327683 LVY327683 LMC327683 LCG327683 KSK327683 KIO327683 JYS327683 JOW327683 JFA327683 IVE327683 ILI327683 IBM327683 HRQ327683 HHU327683 GXY327683 GOC327683 GEG327683 FUK327683 FKO327683 FAS327683 EQW327683 EHA327683 DXE327683 DNI327683 DDM327683 CTQ327683 CJU327683 BZY327683 BQC327683 BGG327683 AWK327683 AMO327683 ACS327683 SW327683 JA327683 E327683 WVM262147 WLQ262147 WBU262147 VRY262147 VIC262147 UYG262147 UOK262147 UEO262147 TUS262147 TKW262147 TBA262147 SRE262147 SHI262147 RXM262147 RNQ262147 RDU262147 QTY262147 QKC262147 QAG262147 PQK262147 PGO262147 OWS262147 OMW262147 ODA262147 NTE262147 NJI262147 MZM262147 MPQ262147 MFU262147 LVY262147 LMC262147 LCG262147 KSK262147 KIO262147 JYS262147 JOW262147 JFA262147 IVE262147 ILI262147 IBM262147 HRQ262147 HHU262147 GXY262147 GOC262147 GEG262147 FUK262147 FKO262147 FAS262147 EQW262147 EHA262147 DXE262147 DNI262147 DDM262147 CTQ262147 CJU262147 BZY262147 BQC262147 BGG262147 AWK262147 AMO262147 ACS262147 SW262147 JA262147 E262147 WVM196611 WLQ196611 WBU196611 VRY196611 VIC196611 UYG196611 UOK196611 UEO196611 TUS196611 TKW196611 TBA196611 SRE196611 SHI196611 RXM196611 RNQ196611 RDU196611 QTY196611 QKC196611 QAG196611 PQK196611 PGO196611 OWS196611 OMW196611 ODA196611 NTE196611 NJI196611 MZM196611 MPQ196611 MFU196611 LVY196611 LMC196611 LCG196611 KSK196611 KIO196611 JYS196611 JOW196611 JFA196611 IVE196611 ILI196611 IBM196611 HRQ196611 HHU196611 GXY196611 GOC196611 GEG196611 FUK196611 FKO196611 FAS196611 EQW196611 EHA196611 DXE196611 DNI196611 DDM196611 CTQ196611 CJU196611 BZY196611 BQC196611 BGG196611 AWK196611 AMO196611 ACS196611 SW196611 JA196611 E196611 WVM131075 WLQ131075 WBU131075 VRY131075 VIC131075 UYG131075 UOK131075 UEO131075 TUS131075 TKW131075 TBA131075 SRE131075 SHI131075 RXM131075 RNQ131075 RDU131075 QTY131075 QKC131075 QAG131075 PQK131075 PGO131075 OWS131075 OMW131075 ODA131075 NTE131075 NJI131075 MZM131075 MPQ131075 MFU131075 LVY131075 LMC131075 LCG131075 KSK131075 KIO131075 JYS131075 JOW131075 JFA131075 IVE131075 ILI131075 IBM131075 HRQ131075 HHU131075 GXY131075 GOC131075 GEG131075 FUK131075 FKO131075 FAS131075 EQW131075 EHA131075 DXE131075 DNI131075 DDM131075 CTQ131075 CJU131075 BZY131075 BQC131075 BGG131075 AWK131075 AMO131075 ACS131075 SW131075 JA131075 E131075 WVM65539 WLQ65539 WBU65539 VRY65539 VIC65539 UYG65539 UOK65539 UEO65539 TUS65539 TKW65539 TBA65539 SRE65539 SHI65539 RXM65539 RNQ65539 RDU65539 QTY65539 QKC65539 QAG65539 PQK65539 PGO65539 OWS65539 OMW65539 ODA65539 NTE65539 NJI65539 MZM65539 MPQ65539 MFU65539 LVY65539 LMC65539 LCG65539 KSK65539 KIO65539 JYS65539 JOW65539 JFA65539 IVE65539 ILI65539 IBM65539 HRQ65539 HHU65539 GXY65539 GOC65539 GEG65539 FUK65539 FKO65539 FAS65539 EQW65539 EHA65539 DXE65539 DNI65539 DDM65539 CTQ65539 CJU65539 BZY65539 BQC65539 BGG65539 AWK65539 AMO65539 ACS65539 SW65539 JA65539 E65539 WVM2 WLQ2 WBU2 VRY2 VIC2 UYG2 UOK2 UEO2 TUS2 TKW2 TBA2 SRE2 SHI2 RXM2 RNQ2 RDU2 QTY2 QKC2 QAG2 PQK2 PGO2 OWS2 OMW2 ODA2 NTE2 NJI2 MZM2 MPQ2 MFU2 LVY2 LMC2 LCG2 KSK2 KIO2 JYS2 JOW2 JFA2 IVE2 ILI2 IBM2 HRQ2 HHU2 GXY2 GOC2 GEG2 FUK2 FKO2 FAS2 EQW2 EHA2 DXE2 DNI2 DDM2 CTQ2 CJU2 BZY2 BQC2 BGG2 AWK2 AMO2 ACS2 SW2 JA2" xr:uid="{00000000-0002-0000-0300-000004000000}">
      <formula1>0</formula1>
      <formula2>0</formula2>
    </dataValidation>
    <dataValidation allowBlank="1" showInputMessage="1" showErrorMessage="1" prompt="If your settings are okay, place them in this column, unless you had a setting that was too high" sqref="F2 WVN983043 WLR983043 WBV983043 VRZ983043 VID983043 UYH983043 UOL983043 UEP983043 TUT983043 TKX983043 TBB983043 SRF983043 SHJ983043 RXN983043 RNR983043 RDV983043 QTZ983043 QKD983043 QAH983043 PQL983043 PGP983043 OWT983043 OMX983043 ODB983043 NTF983043 NJJ983043 MZN983043 MPR983043 MFV983043 LVZ983043 LMD983043 LCH983043 KSL983043 KIP983043 JYT983043 JOX983043 JFB983043 IVF983043 ILJ983043 IBN983043 HRR983043 HHV983043 GXZ983043 GOD983043 GEH983043 FUL983043 FKP983043 FAT983043 EQX983043 EHB983043 DXF983043 DNJ983043 DDN983043 CTR983043 CJV983043 BZZ983043 BQD983043 BGH983043 AWL983043 AMP983043 ACT983043 SX983043 JB983043 F983043 WVN917507 WLR917507 WBV917507 VRZ917507 VID917507 UYH917507 UOL917507 UEP917507 TUT917507 TKX917507 TBB917507 SRF917507 SHJ917507 RXN917507 RNR917507 RDV917507 QTZ917507 QKD917507 QAH917507 PQL917507 PGP917507 OWT917507 OMX917507 ODB917507 NTF917507 NJJ917507 MZN917507 MPR917507 MFV917507 LVZ917507 LMD917507 LCH917507 KSL917507 KIP917507 JYT917507 JOX917507 JFB917507 IVF917507 ILJ917507 IBN917507 HRR917507 HHV917507 GXZ917507 GOD917507 GEH917507 FUL917507 FKP917507 FAT917507 EQX917507 EHB917507 DXF917507 DNJ917507 DDN917507 CTR917507 CJV917507 BZZ917507 BQD917507 BGH917507 AWL917507 AMP917507 ACT917507 SX917507 JB917507 F917507 WVN851971 WLR851971 WBV851971 VRZ851971 VID851971 UYH851971 UOL851971 UEP851971 TUT851971 TKX851971 TBB851971 SRF851971 SHJ851971 RXN851971 RNR851971 RDV851971 QTZ851971 QKD851971 QAH851971 PQL851971 PGP851971 OWT851971 OMX851971 ODB851971 NTF851971 NJJ851971 MZN851971 MPR851971 MFV851971 LVZ851971 LMD851971 LCH851971 KSL851971 KIP851971 JYT851971 JOX851971 JFB851971 IVF851971 ILJ851971 IBN851971 HRR851971 HHV851971 GXZ851971 GOD851971 GEH851971 FUL851971 FKP851971 FAT851971 EQX851971 EHB851971 DXF851971 DNJ851971 DDN851971 CTR851971 CJV851971 BZZ851971 BQD851971 BGH851971 AWL851971 AMP851971 ACT851971 SX851971 JB851971 F851971 WVN786435 WLR786435 WBV786435 VRZ786435 VID786435 UYH786435 UOL786435 UEP786435 TUT786435 TKX786435 TBB786435 SRF786435 SHJ786435 RXN786435 RNR786435 RDV786435 QTZ786435 QKD786435 QAH786435 PQL786435 PGP786435 OWT786435 OMX786435 ODB786435 NTF786435 NJJ786435 MZN786435 MPR786435 MFV786435 LVZ786435 LMD786435 LCH786435 KSL786435 KIP786435 JYT786435 JOX786435 JFB786435 IVF786435 ILJ786435 IBN786435 HRR786435 HHV786435 GXZ786435 GOD786435 GEH786435 FUL786435 FKP786435 FAT786435 EQX786435 EHB786435 DXF786435 DNJ786435 DDN786435 CTR786435 CJV786435 BZZ786435 BQD786435 BGH786435 AWL786435 AMP786435 ACT786435 SX786435 JB786435 F786435 WVN720899 WLR720899 WBV720899 VRZ720899 VID720899 UYH720899 UOL720899 UEP720899 TUT720899 TKX720899 TBB720899 SRF720899 SHJ720899 RXN720899 RNR720899 RDV720899 QTZ720899 QKD720899 QAH720899 PQL720899 PGP720899 OWT720899 OMX720899 ODB720899 NTF720899 NJJ720899 MZN720899 MPR720899 MFV720899 LVZ720899 LMD720899 LCH720899 KSL720899 KIP720899 JYT720899 JOX720899 JFB720899 IVF720899 ILJ720899 IBN720899 HRR720899 HHV720899 GXZ720899 GOD720899 GEH720899 FUL720899 FKP720899 FAT720899 EQX720899 EHB720899 DXF720899 DNJ720899 DDN720899 CTR720899 CJV720899 BZZ720899 BQD720899 BGH720899 AWL720899 AMP720899 ACT720899 SX720899 JB720899 F720899 WVN655363 WLR655363 WBV655363 VRZ655363 VID655363 UYH655363 UOL655363 UEP655363 TUT655363 TKX655363 TBB655363 SRF655363 SHJ655363 RXN655363 RNR655363 RDV655363 QTZ655363 QKD655363 QAH655363 PQL655363 PGP655363 OWT655363 OMX655363 ODB655363 NTF655363 NJJ655363 MZN655363 MPR655363 MFV655363 LVZ655363 LMD655363 LCH655363 KSL655363 KIP655363 JYT655363 JOX655363 JFB655363 IVF655363 ILJ655363 IBN655363 HRR655363 HHV655363 GXZ655363 GOD655363 GEH655363 FUL655363 FKP655363 FAT655363 EQX655363 EHB655363 DXF655363 DNJ655363 DDN655363 CTR655363 CJV655363 BZZ655363 BQD655363 BGH655363 AWL655363 AMP655363 ACT655363 SX655363 JB655363 F655363 WVN589827 WLR589827 WBV589827 VRZ589827 VID589827 UYH589827 UOL589827 UEP589827 TUT589827 TKX589827 TBB589827 SRF589827 SHJ589827 RXN589827 RNR589827 RDV589827 QTZ589827 QKD589827 QAH589827 PQL589827 PGP589827 OWT589827 OMX589827 ODB589827 NTF589827 NJJ589827 MZN589827 MPR589827 MFV589827 LVZ589827 LMD589827 LCH589827 KSL589827 KIP589827 JYT589827 JOX589827 JFB589827 IVF589827 ILJ589827 IBN589827 HRR589827 HHV589827 GXZ589827 GOD589827 GEH589827 FUL589827 FKP589827 FAT589827 EQX589827 EHB589827 DXF589827 DNJ589827 DDN589827 CTR589827 CJV589827 BZZ589827 BQD589827 BGH589827 AWL589827 AMP589827 ACT589827 SX589827 JB589827 F589827 WVN524291 WLR524291 WBV524291 VRZ524291 VID524291 UYH524291 UOL524291 UEP524291 TUT524291 TKX524291 TBB524291 SRF524291 SHJ524291 RXN524291 RNR524291 RDV524291 QTZ524291 QKD524291 QAH524291 PQL524291 PGP524291 OWT524291 OMX524291 ODB524291 NTF524291 NJJ524291 MZN524291 MPR524291 MFV524291 LVZ524291 LMD524291 LCH524291 KSL524291 KIP524291 JYT524291 JOX524291 JFB524291 IVF524291 ILJ524291 IBN524291 HRR524291 HHV524291 GXZ524291 GOD524291 GEH524291 FUL524291 FKP524291 FAT524291 EQX524291 EHB524291 DXF524291 DNJ524291 DDN524291 CTR524291 CJV524291 BZZ524291 BQD524291 BGH524291 AWL524291 AMP524291 ACT524291 SX524291 JB524291 F524291 WVN458755 WLR458755 WBV458755 VRZ458755 VID458755 UYH458755 UOL458755 UEP458755 TUT458755 TKX458755 TBB458755 SRF458755 SHJ458755 RXN458755 RNR458755 RDV458755 QTZ458755 QKD458755 QAH458755 PQL458755 PGP458755 OWT458755 OMX458755 ODB458755 NTF458755 NJJ458755 MZN458755 MPR458755 MFV458755 LVZ458755 LMD458755 LCH458755 KSL458755 KIP458755 JYT458755 JOX458755 JFB458755 IVF458755 ILJ458755 IBN458755 HRR458755 HHV458755 GXZ458755 GOD458755 GEH458755 FUL458755 FKP458755 FAT458755 EQX458755 EHB458755 DXF458755 DNJ458755 DDN458755 CTR458755 CJV458755 BZZ458755 BQD458755 BGH458755 AWL458755 AMP458755 ACT458755 SX458755 JB458755 F458755 WVN393219 WLR393219 WBV393219 VRZ393219 VID393219 UYH393219 UOL393219 UEP393219 TUT393219 TKX393219 TBB393219 SRF393219 SHJ393219 RXN393219 RNR393219 RDV393219 QTZ393219 QKD393219 QAH393219 PQL393219 PGP393219 OWT393219 OMX393219 ODB393219 NTF393219 NJJ393219 MZN393219 MPR393219 MFV393219 LVZ393219 LMD393219 LCH393219 KSL393219 KIP393219 JYT393219 JOX393219 JFB393219 IVF393219 ILJ393219 IBN393219 HRR393219 HHV393219 GXZ393219 GOD393219 GEH393219 FUL393219 FKP393219 FAT393219 EQX393219 EHB393219 DXF393219 DNJ393219 DDN393219 CTR393219 CJV393219 BZZ393219 BQD393219 BGH393219 AWL393219 AMP393219 ACT393219 SX393219 JB393219 F393219 WVN327683 WLR327683 WBV327683 VRZ327683 VID327683 UYH327683 UOL327683 UEP327683 TUT327683 TKX327683 TBB327683 SRF327683 SHJ327683 RXN327683 RNR327683 RDV327683 QTZ327683 QKD327683 QAH327683 PQL327683 PGP327683 OWT327683 OMX327683 ODB327683 NTF327683 NJJ327683 MZN327683 MPR327683 MFV327683 LVZ327683 LMD327683 LCH327683 KSL327683 KIP327683 JYT327683 JOX327683 JFB327683 IVF327683 ILJ327683 IBN327683 HRR327683 HHV327683 GXZ327683 GOD327683 GEH327683 FUL327683 FKP327683 FAT327683 EQX327683 EHB327683 DXF327683 DNJ327683 DDN327683 CTR327683 CJV327683 BZZ327683 BQD327683 BGH327683 AWL327683 AMP327683 ACT327683 SX327683 JB327683 F327683 WVN262147 WLR262147 WBV262147 VRZ262147 VID262147 UYH262147 UOL262147 UEP262147 TUT262147 TKX262147 TBB262147 SRF262147 SHJ262147 RXN262147 RNR262147 RDV262147 QTZ262147 QKD262147 QAH262147 PQL262147 PGP262147 OWT262147 OMX262147 ODB262147 NTF262147 NJJ262147 MZN262147 MPR262147 MFV262147 LVZ262147 LMD262147 LCH262147 KSL262147 KIP262147 JYT262147 JOX262147 JFB262147 IVF262147 ILJ262147 IBN262147 HRR262147 HHV262147 GXZ262147 GOD262147 GEH262147 FUL262147 FKP262147 FAT262147 EQX262147 EHB262147 DXF262147 DNJ262147 DDN262147 CTR262147 CJV262147 BZZ262147 BQD262147 BGH262147 AWL262147 AMP262147 ACT262147 SX262147 JB262147 F262147 WVN196611 WLR196611 WBV196611 VRZ196611 VID196611 UYH196611 UOL196611 UEP196611 TUT196611 TKX196611 TBB196611 SRF196611 SHJ196611 RXN196611 RNR196611 RDV196611 QTZ196611 QKD196611 QAH196611 PQL196611 PGP196611 OWT196611 OMX196611 ODB196611 NTF196611 NJJ196611 MZN196611 MPR196611 MFV196611 LVZ196611 LMD196611 LCH196611 KSL196611 KIP196611 JYT196611 JOX196611 JFB196611 IVF196611 ILJ196611 IBN196611 HRR196611 HHV196611 GXZ196611 GOD196611 GEH196611 FUL196611 FKP196611 FAT196611 EQX196611 EHB196611 DXF196611 DNJ196611 DDN196611 CTR196611 CJV196611 BZZ196611 BQD196611 BGH196611 AWL196611 AMP196611 ACT196611 SX196611 JB196611 F196611 WVN131075 WLR131075 WBV131075 VRZ131075 VID131075 UYH131075 UOL131075 UEP131075 TUT131075 TKX131075 TBB131075 SRF131075 SHJ131075 RXN131075 RNR131075 RDV131075 QTZ131075 QKD131075 QAH131075 PQL131075 PGP131075 OWT131075 OMX131075 ODB131075 NTF131075 NJJ131075 MZN131075 MPR131075 MFV131075 LVZ131075 LMD131075 LCH131075 KSL131075 KIP131075 JYT131075 JOX131075 JFB131075 IVF131075 ILJ131075 IBN131075 HRR131075 HHV131075 GXZ131075 GOD131075 GEH131075 FUL131075 FKP131075 FAT131075 EQX131075 EHB131075 DXF131075 DNJ131075 DDN131075 CTR131075 CJV131075 BZZ131075 BQD131075 BGH131075 AWL131075 AMP131075 ACT131075 SX131075 JB131075 F131075 WVN65539 WLR65539 WBV65539 VRZ65539 VID65539 UYH65539 UOL65539 UEP65539 TUT65539 TKX65539 TBB65539 SRF65539 SHJ65539 RXN65539 RNR65539 RDV65539 QTZ65539 QKD65539 QAH65539 PQL65539 PGP65539 OWT65539 OMX65539 ODB65539 NTF65539 NJJ65539 MZN65539 MPR65539 MFV65539 LVZ65539 LMD65539 LCH65539 KSL65539 KIP65539 JYT65539 JOX65539 JFB65539 IVF65539 ILJ65539 IBN65539 HRR65539 HHV65539 GXZ65539 GOD65539 GEH65539 FUL65539 FKP65539 FAT65539 EQX65539 EHB65539 DXF65539 DNJ65539 DDN65539 CTR65539 CJV65539 BZZ65539 BQD65539 BGH65539 AWL65539 AMP65539 ACT65539 SX65539 JB65539 F65539 WVN2 WLR2 WBV2 VRZ2 VID2 UYH2 UOL2 UEP2 TUT2 TKX2 TBB2 SRF2 SHJ2 RXN2 RNR2 RDV2 QTZ2 QKD2 QAH2 PQL2 PGP2 OWT2 OMX2 ODB2 NTF2 NJJ2 MZN2 MPR2 MFV2 LVZ2 LMD2 LCH2 KSL2 KIP2 JYT2 JOX2 JFB2 IVF2 ILJ2 IBN2 HRR2 HHV2 GXZ2 GOD2 GEH2 FUL2 FKP2 FAT2 EQX2 EHB2 DXF2 DNJ2 DDN2 CTR2 CJV2 BZZ2 BQD2 BGH2 AWL2 AMP2 ACT2 SX2 JB2" xr:uid="{00000000-0002-0000-0300-000005000000}">
      <formula1>0</formula1>
      <formula2>0</formula2>
    </dataValidation>
    <dataValidation type="list" allowBlank="1" showErrorMessage="1" sqref="N13:Q13 WVT983054:WVW983054 WLX983054:WMA983054 WCB983054:WCE983054 VSF983054:VSI983054 VIJ983054:VIM983054 UYN983054:UYQ983054 UOR983054:UOU983054 UEV983054:UEY983054 TUZ983054:TVC983054 TLD983054:TLG983054 TBH983054:TBK983054 SRL983054:SRO983054 SHP983054:SHS983054 RXT983054:RXW983054 RNX983054:ROA983054 REB983054:REE983054 QUF983054:QUI983054 QKJ983054:QKM983054 QAN983054:QAQ983054 PQR983054:PQU983054 PGV983054:PGY983054 OWZ983054:OXC983054 OND983054:ONG983054 ODH983054:ODK983054 NTL983054:NTO983054 NJP983054:NJS983054 MZT983054:MZW983054 MPX983054:MQA983054 MGB983054:MGE983054 LWF983054:LWI983054 LMJ983054:LMM983054 LCN983054:LCQ983054 KSR983054:KSU983054 KIV983054:KIY983054 JYZ983054:JZC983054 JPD983054:JPG983054 JFH983054:JFK983054 IVL983054:IVO983054 ILP983054:ILS983054 IBT983054:IBW983054 HRX983054:HSA983054 HIB983054:HIE983054 GYF983054:GYI983054 GOJ983054:GOM983054 GEN983054:GEQ983054 FUR983054:FUU983054 FKV983054:FKY983054 FAZ983054:FBC983054 ERD983054:ERG983054 EHH983054:EHK983054 DXL983054:DXO983054 DNP983054:DNS983054 DDT983054:DDW983054 CTX983054:CUA983054 CKB983054:CKE983054 CAF983054:CAI983054 BQJ983054:BQM983054 BGN983054:BGQ983054 AWR983054:AWU983054 AMV983054:AMY983054 ACZ983054:ADC983054 TD983054:TG983054 JH983054:JK983054 L983054:O983054 WVT917518:WVW917518 WLX917518:WMA917518 WCB917518:WCE917518 VSF917518:VSI917518 VIJ917518:VIM917518 UYN917518:UYQ917518 UOR917518:UOU917518 UEV917518:UEY917518 TUZ917518:TVC917518 TLD917518:TLG917518 TBH917518:TBK917518 SRL917518:SRO917518 SHP917518:SHS917518 RXT917518:RXW917518 RNX917518:ROA917518 REB917518:REE917518 QUF917518:QUI917518 QKJ917518:QKM917518 QAN917518:QAQ917518 PQR917518:PQU917518 PGV917518:PGY917518 OWZ917518:OXC917518 OND917518:ONG917518 ODH917518:ODK917518 NTL917518:NTO917518 NJP917518:NJS917518 MZT917518:MZW917518 MPX917518:MQA917518 MGB917518:MGE917518 LWF917518:LWI917518 LMJ917518:LMM917518 LCN917518:LCQ917518 KSR917518:KSU917518 KIV917518:KIY917518 JYZ917518:JZC917518 JPD917518:JPG917518 JFH917518:JFK917518 IVL917518:IVO917518 ILP917518:ILS917518 IBT917518:IBW917518 HRX917518:HSA917518 HIB917518:HIE917518 GYF917518:GYI917518 GOJ917518:GOM917518 GEN917518:GEQ917518 FUR917518:FUU917518 FKV917518:FKY917518 FAZ917518:FBC917518 ERD917518:ERG917518 EHH917518:EHK917518 DXL917518:DXO917518 DNP917518:DNS917518 DDT917518:DDW917518 CTX917518:CUA917518 CKB917518:CKE917518 CAF917518:CAI917518 BQJ917518:BQM917518 BGN917518:BGQ917518 AWR917518:AWU917518 AMV917518:AMY917518 ACZ917518:ADC917518 TD917518:TG917518 JH917518:JK917518 L917518:O917518 WVT851982:WVW851982 WLX851982:WMA851982 WCB851982:WCE851982 VSF851982:VSI851982 VIJ851982:VIM851982 UYN851982:UYQ851982 UOR851982:UOU851982 UEV851982:UEY851982 TUZ851982:TVC851982 TLD851982:TLG851982 TBH851982:TBK851982 SRL851982:SRO851982 SHP851982:SHS851982 RXT851982:RXW851982 RNX851982:ROA851982 REB851982:REE851982 QUF851982:QUI851982 QKJ851982:QKM851982 QAN851982:QAQ851982 PQR851982:PQU851982 PGV851982:PGY851982 OWZ851982:OXC851982 OND851982:ONG851982 ODH851982:ODK851982 NTL851982:NTO851982 NJP851982:NJS851982 MZT851982:MZW851982 MPX851982:MQA851982 MGB851982:MGE851982 LWF851982:LWI851982 LMJ851982:LMM851982 LCN851982:LCQ851982 KSR851982:KSU851982 KIV851982:KIY851982 JYZ851982:JZC851982 JPD851982:JPG851982 JFH851982:JFK851982 IVL851982:IVO851982 ILP851982:ILS851982 IBT851982:IBW851982 HRX851982:HSA851982 HIB851982:HIE851982 GYF851982:GYI851982 GOJ851982:GOM851982 GEN851982:GEQ851982 FUR851982:FUU851982 FKV851982:FKY851982 FAZ851982:FBC851982 ERD851982:ERG851982 EHH851982:EHK851982 DXL851982:DXO851982 DNP851982:DNS851982 DDT851982:DDW851982 CTX851982:CUA851982 CKB851982:CKE851982 CAF851982:CAI851982 BQJ851982:BQM851982 BGN851982:BGQ851982 AWR851982:AWU851982 AMV851982:AMY851982 ACZ851982:ADC851982 TD851982:TG851982 JH851982:JK851982 L851982:O851982 WVT786446:WVW786446 WLX786446:WMA786446 WCB786446:WCE786446 VSF786446:VSI786446 VIJ786446:VIM786446 UYN786446:UYQ786446 UOR786446:UOU786446 UEV786446:UEY786446 TUZ786446:TVC786446 TLD786446:TLG786446 TBH786446:TBK786446 SRL786446:SRO786446 SHP786446:SHS786446 RXT786446:RXW786446 RNX786446:ROA786446 REB786446:REE786446 QUF786446:QUI786446 QKJ786446:QKM786446 QAN786446:QAQ786446 PQR786446:PQU786446 PGV786446:PGY786446 OWZ786446:OXC786446 OND786446:ONG786446 ODH786446:ODK786446 NTL786446:NTO786446 NJP786446:NJS786446 MZT786446:MZW786446 MPX786446:MQA786446 MGB786446:MGE786446 LWF786446:LWI786446 LMJ786446:LMM786446 LCN786446:LCQ786446 KSR786446:KSU786446 KIV786446:KIY786446 JYZ786446:JZC786446 JPD786446:JPG786446 JFH786446:JFK786446 IVL786446:IVO786446 ILP786446:ILS786446 IBT786446:IBW786446 HRX786446:HSA786446 HIB786446:HIE786446 GYF786446:GYI786446 GOJ786446:GOM786446 GEN786446:GEQ786446 FUR786446:FUU786446 FKV786446:FKY786446 FAZ786446:FBC786446 ERD786446:ERG786446 EHH786446:EHK786446 DXL786446:DXO786446 DNP786446:DNS786446 DDT786446:DDW786446 CTX786446:CUA786446 CKB786446:CKE786446 CAF786446:CAI786446 BQJ786446:BQM786446 BGN786446:BGQ786446 AWR786446:AWU786446 AMV786446:AMY786446 ACZ786446:ADC786446 TD786446:TG786446 JH786446:JK786446 L786446:O786446 WVT720910:WVW720910 WLX720910:WMA720910 WCB720910:WCE720910 VSF720910:VSI720910 VIJ720910:VIM720910 UYN720910:UYQ720910 UOR720910:UOU720910 UEV720910:UEY720910 TUZ720910:TVC720910 TLD720910:TLG720910 TBH720910:TBK720910 SRL720910:SRO720910 SHP720910:SHS720910 RXT720910:RXW720910 RNX720910:ROA720910 REB720910:REE720910 QUF720910:QUI720910 QKJ720910:QKM720910 QAN720910:QAQ720910 PQR720910:PQU720910 PGV720910:PGY720910 OWZ720910:OXC720910 OND720910:ONG720910 ODH720910:ODK720910 NTL720910:NTO720910 NJP720910:NJS720910 MZT720910:MZW720910 MPX720910:MQA720910 MGB720910:MGE720910 LWF720910:LWI720910 LMJ720910:LMM720910 LCN720910:LCQ720910 KSR720910:KSU720910 KIV720910:KIY720910 JYZ720910:JZC720910 JPD720910:JPG720910 JFH720910:JFK720910 IVL720910:IVO720910 ILP720910:ILS720910 IBT720910:IBW720910 HRX720910:HSA720910 HIB720910:HIE720910 GYF720910:GYI720910 GOJ720910:GOM720910 GEN720910:GEQ720910 FUR720910:FUU720910 FKV720910:FKY720910 FAZ720910:FBC720910 ERD720910:ERG720910 EHH720910:EHK720910 DXL720910:DXO720910 DNP720910:DNS720910 DDT720910:DDW720910 CTX720910:CUA720910 CKB720910:CKE720910 CAF720910:CAI720910 BQJ720910:BQM720910 BGN720910:BGQ720910 AWR720910:AWU720910 AMV720910:AMY720910 ACZ720910:ADC720910 TD720910:TG720910 JH720910:JK720910 L720910:O720910 WVT655374:WVW655374 WLX655374:WMA655374 WCB655374:WCE655374 VSF655374:VSI655374 VIJ655374:VIM655374 UYN655374:UYQ655374 UOR655374:UOU655374 UEV655374:UEY655374 TUZ655374:TVC655374 TLD655374:TLG655374 TBH655374:TBK655374 SRL655374:SRO655374 SHP655374:SHS655374 RXT655374:RXW655374 RNX655374:ROA655374 REB655374:REE655374 QUF655374:QUI655374 QKJ655374:QKM655374 QAN655374:QAQ655374 PQR655374:PQU655374 PGV655374:PGY655374 OWZ655374:OXC655374 OND655374:ONG655374 ODH655374:ODK655374 NTL655374:NTO655374 NJP655374:NJS655374 MZT655374:MZW655374 MPX655374:MQA655374 MGB655374:MGE655374 LWF655374:LWI655374 LMJ655374:LMM655374 LCN655374:LCQ655374 KSR655374:KSU655374 KIV655374:KIY655374 JYZ655374:JZC655374 JPD655374:JPG655374 JFH655374:JFK655374 IVL655374:IVO655374 ILP655374:ILS655374 IBT655374:IBW655374 HRX655374:HSA655374 HIB655374:HIE655374 GYF655374:GYI655374 GOJ655374:GOM655374 GEN655374:GEQ655374 FUR655374:FUU655374 FKV655374:FKY655374 FAZ655374:FBC655374 ERD655374:ERG655374 EHH655374:EHK655374 DXL655374:DXO655374 DNP655374:DNS655374 DDT655374:DDW655374 CTX655374:CUA655374 CKB655374:CKE655374 CAF655374:CAI655374 BQJ655374:BQM655374 BGN655374:BGQ655374 AWR655374:AWU655374 AMV655374:AMY655374 ACZ655374:ADC655374 TD655374:TG655374 JH655374:JK655374 L655374:O655374 WVT589838:WVW589838 WLX589838:WMA589838 WCB589838:WCE589838 VSF589838:VSI589838 VIJ589838:VIM589838 UYN589838:UYQ589838 UOR589838:UOU589838 UEV589838:UEY589838 TUZ589838:TVC589838 TLD589838:TLG589838 TBH589838:TBK589838 SRL589838:SRO589838 SHP589838:SHS589838 RXT589838:RXW589838 RNX589838:ROA589838 REB589838:REE589838 QUF589838:QUI589838 QKJ589838:QKM589838 QAN589838:QAQ589838 PQR589838:PQU589838 PGV589838:PGY589838 OWZ589838:OXC589838 OND589838:ONG589838 ODH589838:ODK589838 NTL589838:NTO589838 NJP589838:NJS589838 MZT589838:MZW589838 MPX589838:MQA589838 MGB589838:MGE589838 LWF589838:LWI589838 LMJ589838:LMM589838 LCN589838:LCQ589838 KSR589838:KSU589838 KIV589838:KIY589838 JYZ589838:JZC589838 JPD589838:JPG589838 JFH589838:JFK589838 IVL589838:IVO589838 ILP589838:ILS589838 IBT589838:IBW589838 HRX589838:HSA589838 HIB589838:HIE589838 GYF589838:GYI589838 GOJ589838:GOM589838 GEN589838:GEQ589838 FUR589838:FUU589838 FKV589838:FKY589838 FAZ589838:FBC589838 ERD589838:ERG589838 EHH589838:EHK589838 DXL589838:DXO589838 DNP589838:DNS589838 DDT589838:DDW589838 CTX589838:CUA589838 CKB589838:CKE589838 CAF589838:CAI589838 BQJ589838:BQM589838 BGN589838:BGQ589838 AWR589838:AWU589838 AMV589838:AMY589838 ACZ589838:ADC589838 TD589838:TG589838 JH589838:JK589838 L589838:O589838 WVT524302:WVW524302 WLX524302:WMA524302 WCB524302:WCE524302 VSF524302:VSI524302 VIJ524302:VIM524302 UYN524302:UYQ524302 UOR524302:UOU524302 UEV524302:UEY524302 TUZ524302:TVC524302 TLD524302:TLG524302 TBH524302:TBK524302 SRL524302:SRO524302 SHP524302:SHS524302 RXT524302:RXW524302 RNX524302:ROA524302 REB524302:REE524302 QUF524302:QUI524302 QKJ524302:QKM524302 QAN524302:QAQ524302 PQR524302:PQU524302 PGV524302:PGY524302 OWZ524302:OXC524302 OND524302:ONG524302 ODH524302:ODK524302 NTL524302:NTO524302 NJP524302:NJS524302 MZT524302:MZW524302 MPX524302:MQA524302 MGB524302:MGE524302 LWF524302:LWI524302 LMJ524302:LMM524302 LCN524302:LCQ524302 KSR524302:KSU524302 KIV524302:KIY524302 JYZ524302:JZC524302 JPD524302:JPG524302 JFH524302:JFK524302 IVL524302:IVO524302 ILP524302:ILS524302 IBT524302:IBW524302 HRX524302:HSA524302 HIB524302:HIE524302 GYF524302:GYI524302 GOJ524302:GOM524302 GEN524302:GEQ524302 FUR524302:FUU524302 FKV524302:FKY524302 FAZ524302:FBC524302 ERD524302:ERG524302 EHH524302:EHK524302 DXL524302:DXO524302 DNP524302:DNS524302 DDT524302:DDW524302 CTX524302:CUA524302 CKB524302:CKE524302 CAF524302:CAI524302 BQJ524302:BQM524302 BGN524302:BGQ524302 AWR524302:AWU524302 AMV524302:AMY524302 ACZ524302:ADC524302 TD524302:TG524302 JH524302:JK524302 L524302:O524302 WVT458766:WVW458766 WLX458766:WMA458766 WCB458766:WCE458766 VSF458766:VSI458766 VIJ458766:VIM458766 UYN458766:UYQ458766 UOR458766:UOU458766 UEV458766:UEY458766 TUZ458766:TVC458766 TLD458766:TLG458766 TBH458766:TBK458766 SRL458766:SRO458766 SHP458766:SHS458766 RXT458766:RXW458766 RNX458766:ROA458766 REB458766:REE458766 QUF458766:QUI458766 QKJ458766:QKM458766 QAN458766:QAQ458766 PQR458766:PQU458766 PGV458766:PGY458766 OWZ458766:OXC458766 OND458766:ONG458766 ODH458766:ODK458766 NTL458766:NTO458766 NJP458766:NJS458766 MZT458766:MZW458766 MPX458766:MQA458766 MGB458766:MGE458766 LWF458766:LWI458766 LMJ458766:LMM458766 LCN458766:LCQ458766 KSR458766:KSU458766 KIV458766:KIY458766 JYZ458766:JZC458766 JPD458766:JPG458766 JFH458766:JFK458766 IVL458766:IVO458766 ILP458766:ILS458766 IBT458766:IBW458766 HRX458766:HSA458766 HIB458766:HIE458766 GYF458766:GYI458766 GOJ458766:GOM458766 GEN458766:GEQ458766 FUR458766:FUU458766 FKV458766:FKY458766 FAZ458766:FBC458766 ERD458766:ERG458766 EHH458766:EHK458766 DXL458766:DXO458766 DNP458766:DNS458766 DDT458766:DDW458766 CTX458766:CUA458766 CKB458766:CKE458766 CAF458766:CAI458766 BQJ458766:BQM458766 BGN458766:BGQ458766 AWR458766:AWU458766 AMV458766:AMY458766 ACZ458766:ADC458766 TD458766:TG458766 JH458766:JK458766 L458766:O458766 WVT393230:WVW393230 WLX393230:WMA393230 WCB393230:WCE393230 VSF393230:VSI393230 VIJ393230:VIM393230 UYN393230:UYQ393230 UOR393230:UOU393230 UEV393230:UEY393230 TUZ393230:TVC393230 TLD393230:TLG393230 TBH393230:TBK393230 SRL393230:SRO393230 SHP393230:SHS393230 RXT393230:RXW393230 RNX393230:ROA393230 REB393230:REE393230 QUF393230:QUI393230 QKJ393230:QKM393230 QAN393230:QAQ393230 PQR393230:PQU393230 PGV393230:PGY393230 OWZ393230:OXC393230 OND393230:ONG393230 ODH393230:ODK393230 NTL393230:NTO393230 NJP393230:NJS393230 MZT393230:MZW393230 MPX393230:MQA393230 MGB393230:MGE393230 LWF393230:LWI393230 LMJ393230:LMM393230 LCN393230:LCQ393230 KSR393230:KSU393230 KIV393230:KIY393230 JYZ393230:JZC393230 JPD393230:JPG393230 JFH393230:JFK393230 IVL393230:IVO393230 ILP393230:ILS393230 IBT393230:IBW393230 HRX393230:HSA393230 HIB393230:HIE393230 GYF393230:GYI393230 GOJ393230:GOM393230 GEN393230:GEQ393230 FUR393230:FUU393230 FKV393230:FKY393230 FAZ393230:FBC393230 ERD393230:ERG393230 EHH393230:EHK393230 DXL393230:DXO393230 DNP393230:DNS393230 DDT393230:DDW393230 CTX393230:CUA393230 CKB393230:CKE393230 CAF393230:CAI393230 BQJ393230:BQM393230 BGN393230:BGQ393230 AWR393230:AWU393230 AMV393230:AMY393230 ACZ393230:ADC393230 TD393230:TG393230 JH393230:JK393230 L393230:O393230 WVT327694:WVW327694 WLX327694:WMA327694 WCB327694:WCE327694 VSF327694:VSI327694 VIJ327694:VIM327694 UYN327694:UYQ327694 UOR327694:UOU327694 UEV327694:UEY327694 TUZ327694:TVC327694 TLD327694:TLG327694 TBH327694:TBK327694 SRL327694:SRO327694 SHP327694:SHS327694 RXT327694:RXW327694 RNX327694:ROA327694 REB327694:REE327694 QUF327694:QUI327694 QKJ327694:QKM327694 QAN327694:QAQ327694 PQR327694:PQU327694 PGV327694:PGY327694 OWZ327694:OXC327694 OND327694:ONG327694 ODH327694:ODK327694 NTL327694:NTO327694 NJP327694:NJS327694 MZT327694:MZW327694 MPX327694:MQA327694 MGB327694:MGE327694 LWF327694:LWI327694 LMJ327694:LMM327694 LCN327694:LCQ327694 KSR327694:KSU327694 KIV327694:KIY327694 JYZ327694:JZC327694 JPD327694:JPG327694 JFH327694:JFK327694 IVL327694:IVO327694 ILP327694:ILS327694 IBT327694:IBW327694 HRX327694:HSA327694 HIB327694:HIE327694 GYF327694:GYI327694 GOJ327694:GOM327694 GEN327694:GEQ327694 FUR327694:FUU327694 FKV327694:FKY327694 FAZ327694:FBC327694 ERD327694:ERG327694 EHH327694:EHK327694 DXL327694:DXO327694 DNP327694:DNS327694 DDT327694:DDW327694 CTX327694:CUA327694 CKB327694:CKE327694 CAF327694:CAI327694 BQJ327694:BQM327694 BGN327694:BGQ327694 AWR327694:AWU327694 AMV327694:AMY327694 ACZ327694:ADC327694 TD327694:TG327694 JH327694:JK327694 L327694:O327694 WVT262158:WVW262158 WLX262158:WMA262158 WCB262158:WCE262158 VSF262158:VSI262158 VIJ262158:VIM262158 UYN262158:UYQ262158 UOR262158:UOU262158 UEV262158:UEY262158 TUZ262158:TVC262158 TLD262158:TLG262158 TBH262158:TBK262158 SRL262158:SRO262158 SHP262158:SHS262158 RXT262158:RXW262158 RNX262158:ROA262158 REB262158:REE262158 QUF262158:QUI262158 QKJ262158:QKM262158 QAN262158:QAQ262158 PQR262158:PQU262158 PGV262158:PGY262158 OWZ262158:OXC262158 OND262158:ONG262158 ODH262158:ODK262158 NTL262158:NTO262158 NJP262158:NJS262158 MZT262158:MZW262158 MPX262158:MQA262158 MGB262158:MGE262158 LWF262158:LWI262158 LMJ262158:LMM262158 LCN262158:LCQ262158 KSR262158:KSU262158 KIV262158:KIY262158 JYZ262158:JZC262158 JPD262158:JPG262158 JFH262158:JFK262158 IVL262158:IVO262158 ILP262158:ILS262158 IBT262158:IBW262158 HRX262158:HSA262158 HIB262158:HIE262158 GYF262158:GYI262158 GOJ262158:GOM262158 GEN262158:GEQ262158 FUR262158:FUU262158 FKV262158:FKY262158 FAZ262158:FBC262158 ERD262158:ERG262158 EHH262158:EHK262158 DXL262158:DXO262158 DNP262158:DNS262158 DDT262158:DDW262158 CTX262158:CUA262158 CKB262158:CKE262158 CAF262158:CAI262158 BQJ262158:BQM262158 BGN262158:BGQ262158 AWR262158:AWU262158 AMV262158:AMY262158 ACZ262158:ADC262158 TD262158:TG262158 JH262158:JK262158 L262158:O262158 WVT196622:WVW196622 WLX196622:WMA196622 WCB196622:WCE196622 VSF196622:VSI196622 VIJ196622:VIM196622 UYN196622:UYQ196622 UOR196622:UOU196622 UEV196622:UEY196622 TUZ196622:TVC196622 TLD196622:TLG196622 TBH196622:TBK196622 SRL196622:SRO196622 SHP196622:SHS196622 RXT196622:RXW196622 RNX196622:ROA196622 REB196622:REE196622 QUF196622:QUI196622 QKJ196622:QKM196622 QAN196622:QAQ196622 PQR196622:PQU196622 PGV196622:PGY196622 OWZ196622:OXC196622 OND196622:ONG196622 ODH196622:ODK196622 NTL196622:NTO196622 NJP196622:NJS196622 MZT196622:MZW196622 MPX196622:MQA196622 MGB196622:MGE196622 LWF196622:LWI196622 LMJ196622:LMM196622 LCN196622:LCQ196622 KSR196622:KSU196622 KIV196622:KIY196622 JYZ196622:JZC196622 JPD196622:JPG196622 JFH196622:JFK196622 IVL196622:IVO196622 ILP196622:ILS196622 IBT196622:IBW196622 HRX196622:HSA196622 HIB196622:HIE196622 GYF196622:GYI196622 GOJ196622:GOM196622 GEN196622:GEQ196622 FUR196622:FUU196622 FKV196622:FKY196622 FAZ196622:FBC196622 ERD196622:ERG196622 EHH196622:EHK196622 DXL196622:DXO196622 DNP196622:DNS196622 DDT196622:DDW196622 CTX196622:CUA196622 CKB196622:CKE196622 CAF196622:CAI196622 BQJ196622:BQM196622 BGN196622:BGQ196622 AWR196622:AWU196622 AMV196622:AMY196622 ACZ196622:ADC196622 TD196622:TG196622 JH196622:JK196622 L196622:O196622 WVT131086:WVW131086 WLX131086:WMA131086 WCB131086:WCE131086 VSF131086:VSI131086 VIJ131086:VIM131086 UYN131086:UYQ131086 UOR131086:UOU131086 UEV131086:UEY131086 TUZ131086:TVC131086 TLD131086:TLG131086 TBH131086:TBK131086 SRL131086:SRO131086 SHP131086:SHS131086 RXT131086:RXW131086 RNX131086:ROA131086 REB131086:REE131086 QUF131086:QUI131086 QKJ131086:QKM131086 QAN131086:QAQ131086 PQR131086:PQU131086 PGV131086:PGY131086 OWZ131086:OXC131086 OND131086:ONG131086 ODH131086:ODK131086 NTL131086:NTO131086 NJP131086:NJS131086 MZT131086:MZW131086 MPX131086:MQA131086 MGB131086:MGE131086 LWF131086:LWI131086 LMJ131086:LMM131086 LCN131086:LCQ131086 KSR131086:KSU131086 KIV131086:KIY131086 JYZ131086:JZC131086 JPD131086:JPG131086 JFH131086:JFK131086 IVL131086:IVO131086 ILP131086:ILS131086 IBT131086:IBW131086 HRX131086:HSA131086 HIB131086:HIE131086 GYF131086:GYI131086 GOJ131086:GOM131086 GEN131086:GEQ131086 FUR131086:FUU131086 FKV131086:FKY131086 FAZ131086:FBC131086 ERD131086:ERG131086 EHH131086:EHK131086 DXL131086:DXO131086 DNP131086:DNS131086 DDT131086:DDW131086 CTX131086:CUA131086 CKB131086:CKE131086 CAF131086:CAI131086 BQJ131086:BQM131086 BGN131086:BGQ131086 AWR131086:AWU131086 AMV131086:AMY131086 ACZ131086:ADC131086 TD131086:TG131086 JH131086:JK131086 L131086:O131086 WVT65550:WVW65550 WLX65550:WMA65550 WCB65550:WCE65550 VSF65550:VSI65550 VIJ65550:VIM65550 UYN65550:UYQ65550 UOR65550:UOU65550 UEV65550:UEY65550 TUZ65550:TVC65550 TLD65550:TLG65550 TBH65550:TBK65550 SRL65550:SRO65550 SHP65550:SHS65550 RXT65550:RXW65550 RNX65550:ROA65550 REB65550:REE65550 QUF65550:QUI65550 QKJ65550:QKM65550 QAN65550:QAQ65550 PQR65550:PQU65550 PGV65550:PGY65550 OWZ65550:OXC65550 OND65550:ONG65550 ODH65550:ODK65550 NTL65550:NTO65550 NJP65550:NJS65550 MZT65550:MZW65550 MPX65550:MQA65550 MGB65550:MGE65550 LWF65550:LWI65550 LMJ65550:LMM65550 LCN65550:LCQ65550 KSR65550:KSU65550 KIV65550:KIY65550 JYZ65550:JZC65550 JPD65550:JPG65550 JFH65550:JFK65550 IVL65550:IVO65550 ILP65550:ILS65550 IBT65550:IBW65550 HRX65550:HSA65550 HIB65550:HIE65550 GYF65550:GYI65550 GOJ65550:GOM65550 GEN65550:GEQ65550 FUR65550:FUU65550 FKV65550:FKY65550 FAZ65550:FBC65550 ERD65550:ERG65550 EHH65550:EHK65550 DXL65550:DXO65550 DNP65550:DNS65550 DDT65550:DDW65550 CTX65550:CUA65550 CKB65550:CKE65550 CAF65550:CAI65550 BQJ65550:BQM65550 BGN65550:BGQ65550 AWR65550:AWU65550 AMV65550:AMY65550 ACZ65550:ADC65550 TD65550:TG65550 JH65550:JK65550 L65550:O65550 WVT13:WVW13 WLX13:WMA13 WCB13:WCE13 VSF13:VSI13 VIJ13:VIM13 UYN13:UYQ13 UOR13:UOU13 UEV13:UEY13 TUZ13:TVC13 TLD13:TLG13 TBH13:TBK13 SRL13:SRO13 SHP13:SHS13 RXT13:RXW13 RNX13:ROA13 REB13:REE13 QUF13:QUI13 QKJ13:QKM13 QAN13:QAQ13 PQR13:PQU13 PGV13:PGY13 OWZ13:OXC13 OND13:ONG13 ODH13:ODK13 NTL13:NTO13 NJP13:NJS13 MZT13:MZW13 MPX13:MQA13 MGB13:MGE13 LWF13:LWI13 LMJ13:LMM13 LCN13:LCQ13 KSR13:KSU13 KIV13:KIY13 JYZ13:JZC13 JPD13:JPG13 JFH13:JFK13 IVL13:IVO13 ILP13:ILS13 IBT13:IBW13 HRX13:HSA13 HIB13:HIE13 GYF13:GYI13 GOJ13:GOM13 GEN13:GEQ13 FUR13:FUU13 FKV13:FKY13 FAZ13:FBC13 ERD13:ERG13 EHH13:EHK13 DXL13:DXO13 DNP13:DNS13 DDT13:DDW13 CTX13:CUA13 CKB13:CKE13 CAF13:CAI13 BQJ13:BQM13 BGN13:BGQ13 AWR13:AWU13 AMV13:AMY13 ACZ13:ADC13 TD13:TG13 JH13:JK13" xr:uid="{00000000-0002-0000-0300-000006000000}">
      <formula1>$Y$1:$Y$4</formula1>
      <formula2>0</formula2>
    </dataValidation>
    <dataValidation type="list" allowBlank="1" showErrorMessage="1" sqref="B9 WVJ983050 WLN983050 WBR983050 VRV983050 VHZ983050 UYD983050 UOH983050 UEL983050 TUP983050 TKT983050 TAX983050 SRB983050 SHF983050 RXJ983050 RNN983050 RDR983050 QTV983050 QJZ983050 QAD983050 PQH983050 PGL983050 OWP983050 OMT983050 OCX983050 NTB983050 NJF983050 MZJ983050 MPN983050 MFR983050 LVV983050 LLZ983050 LCD983050 KSH983050 KIL983050 JYP983050 JOT983050 JEX983050 IVB983050 ILF983050 IBJ983050 HRN983050 HHR983050 GXV983050 GNZ983050 GED983050 FUH983050 FKL983050 FAP983050 EQT983050 EGX983050 DXB983050 DNF983050 DDJ983050 CTN983050 CJR983050 BZV983050 BPZ983050 BGD983050 AWH983050 AML983050 ACP983050 ST983050 IX983050 B983050 WVJ917514 WLN917514 WBR917514 VRV917514 VHZ917514 UYD917514 UOH917514 UEL917514 TUP917514 TKT917514 TAX917514 SRB917514 SHF917514 RXJ917514 RNN917514 RDR917514 QTV917514 QJZ917514 QAD917514 PQH917514 PGL917514 OWP917514 OMT917514 OCX917514 NTB917514 NJF917514 MZJ917514 MPN917514 MFR917514 LVV917514 LLZ917514 LCD917514 KSH917514 KIL917514 JYP917514 JOT917514 JEX917514 IVB917514 ILF917514 IBJ917514 HRN917514 HHR917514 GXV917514 GNZ917514 GED917514 FUH917514 FKL917514 FAP917514 EQT917514 EGX917514 DXB917514 DNF917514 DDJ917514 CTN917514 CJR917514 BZV917514 BPZ917514 BGD917514 AWH917514 AML917514 ACP917514 ST917514 IX917514 B917514 WVJ851978 WLN851978 WBR851978 VRV851978 VHZ851978 UYD851978 UOH851978 UEL851978 TUP851978 TKT851978 TAX851978 SRB851978 SHF851978 RXJ851978 RNN851978 RDR851978 QTV851978 QJZ851978 QAD851978 PQH851978 PGL851978 OWP851978 OMT851978 OCX851978 NTB851978 NJF851978 MZJ851978 MPN851978 MFR851978 LVV851978 LLZ851978 LCD851978 KSH851978 KIL851978 JYP851978 JOT851978 JEX851978 IVB851978 ILF851978 IBJ851978 HRN851978 HHR851978 GXV851978 GNZ851978 GED851978 FUH851978 FKL851978 FAP851978 EQT851978 EGX851978 DXB851978 DNF851978 DDJ851978 CTN851978 CJR851978 BZV851978 BPZ851978 BGD851978 AWH851978 AML851978 ACP851978 ST851978 IX851978 B851978 WVJ786442 WLN786442 WBR786442 VRV786442 VHZ786442 UYD786442 UOH786442 UEL786442 TUP786442 TKT786442 TAX786442 SRB786442 SHF786442 RXJ786442 RNN786442 RDR786442 QTV786442 QJZ786442 QAD786442 PQH786442 PGL786442 OWP786442 OMT786442 OCX786442 NTB786442 NJF786442 MZJ786442 MPN786442 MFR786442 LVV786442 LLZ786442 LCD786442 KSH786442 KIL786442 JYP786442 JOT786442 JEX786442 IVB786442 ILF786442 IBJ786442 HRN786442 HHR786442 GXV786442 GNZ786442 GED786442 FUH786442 FKL786442 FAP786442 EQT786442 EGX786442 DXB786442 DNF786442 DDJ786442 CTN786442 CJR786442 BZV786442 BPZ786442 BGD786442 AWH786442 AML786442 ACP786442 ST786442 IX786442 B786442 WVJ720906 WLN720906 WBR720906 VRV720906 VHZ720906 UYD720906 UOH720906 UEL720906 TUP720906 TKT720906 TAX720906 SRB720906 SHF720906 RXJ720906 RNN720906 RDR720906 QTV720906 QJZ720906 QAD720906 PQH720906 PGL720906 OWP720906 OMT720906 OCX720906 NTB720906 NJF720906 MZJ720906 MPN720906 MFR720906 LVV720906 LLZ720906 LCD720906 KSH720906 KIL720906 JYP720906 JOT720906 JEX720906 IVB720906 ILF720906 IBJ720906 HRN720906 HHR720906 GXV720906 GNZ720906 GED720906 FUH720906 FKL720906 FAP720906 EQT720906 EGX720906 DXB720906 DNF720906 DDJ720906 CTN720906 CJR720906 BZV720906 BPZ720906 BGD720906 AWH720906 AML720906 ACP720906 ST720906 IX720906 B720906 WVJ655370 WLN655370 WBR655370 VRV655370 VHZ655370 UYD655370 UOH655370 UEL655370 TUP655370 TKT655370 TAX655370 SRB655370 SHF655370 RXJ655370 RNN655370 RDR655370 QTV655370 QJZ655370 QAD655370 PQH655370 PGL655370 OWP655370 OMT655370 OCX655370 NTB655370 NJF655370 MZJ655370 MPN655370 MFR655370 LVV655370 LLZ655370 LCD655370 KSH655370 KIL655370 JYP655370 JOT655370 JEX655370 IVB655370 ILF655370 IBJ655370 HRN655370 HHR655370 GXV655370 GNZ655370 GED655370 FUH655370 FKL655370 FAP655370 EQT655370 EGX655370 DXB655370 DNF655370 DDJ655370 CTN655370 CJR655370 BZV655370 BPZ655370 BGD655370 AWH655370 AML655370 ACP655370 ST655370 IX655370 B655370 WVJ589834 WLN589834 WBR589834 VRV589834 VHZ589834 UYD589834 UOH589834 UEL589834 TUP589834 TKT589834 TAX589834 SRB589834 SHF589834 RXJ589834 RNN589834 RDR589834 QTV589834 QJZ589834 QAD589834 PQH589834 PGL589834 OWP589834 OMT589834 OCX589834 NTB589834 NJF589834 MZJ589834 MPN589834 MFR589834 LVV589834 LLZ589834 LCD589834 KSH589834 KIL589834 JYP589834 JOT589834 JEX589834 IVB589834 ILF589834 IBJ589834 HRN589834 HHR589834 GXV589834 GNZ589834 GED589834 FUH589834 FKL589834 FAP589834 EQT589834 EGX589834 DXB589834 DNF589834 DDJ589834 CTN589834 CJR589834 BZV589834 BPZ589834 BGD589834 AWH589834 AML589834 ACP589834 ST589834 IX589834 B589834 WVJ524298 WLN524298 WBR524298 VRV524298 VHZ524298 UYD524298 UOH524298 UEL524298 TUP524298 TKT524298 TAX524298 SRB524298 SHF524298 RXJ524298 RNN524298 RDR524298 QTV524298 QJZ524298 QAD524298 PQH524298 PGL524298 OWP524298 OMT524298 OCX524298 NTB524298 NJF524298 MZJ524298 MPN524298 MFR524298 LVV524298 LLZ524298 LCD524298 KSH524298 KIL524298 JYP524298 JOT524298 JEX524298 IVB524298 ILF524298 IBJ524298 HRN524298 HHR524298 GXV524298 GNZ524298 GED524298 FUH524298 FKL524298 FAP524298 EQT524298 EGX524298 DXB524298 DNF524298 DDJ524298 CTN524298 CJR524298 BZV524298 BPZ524298 BGD524298 AWH524298 AML524298 ACP524298 ST524298 IX524298 B524298 WVJ458762 WLN458762 WBR458762 VRV458762 VHZ458762 UYD458762 UOH458762 UEL458762 TUP458762 TKT458762 TAX458762 SRB458762 SHF458762 RXJ458762 RNN458762 RDR458762 QTV458762 QJZ458762 QAD458762 PQH458762 PGL458762 OWP458762 OMT458762 OCX458762 NTB458762 NJF458762 MZJ458762 MPN458762 MFR458762 LVV458762 LLZ458762 LCD458762 KSH458762 KIL458762 JYP458762 JOT458762 JEX458762 IVB458762 ILF458762 IBJ458762 HRN458762 HHR458762 GXV458762 GNZ458762 GED458762 FUH458762 FKL458762 FAP458762 EQT458762 EGX458762 DXB458762 DNF458762 DDJ458762 CTN458762 CJR458762 BZV458762 BPZ458762 BGD458762 AWH458762 AML458762 ACP458762 ST458762 IX458762 B458762 WVJ393226 WLN393226 WBR393226 VRV393226 VHZ393226 UYD393226 UOH393226 UEL393226 TUP393226 TKT393226 TAX393226 SRB393226 SHF393226 RXJ393226 RNN393226 RDR393226 QTV393226 QJZ393226 QAD393226 PQH393226 PGL393226 OWP393226 OMT393226 OCX393226 NTB393226 NJF393226 MZJ393226 MPN393226 MFR393226 LVV393226 LLZ393226 LCD393226 KSH393226 KIL393226 JYP393226 JOT393226 JEX393226 IVB393226 ILF393226 IBJ393226 HRN393226 HHR393226 GXV393226 GNZ393226 GED393226 FUH393226 FKL393226 FAP393226 EQT393226 EGX393226 DXB393226 DNF393226 DDJ393226 CTN393226 CJR393226 BZV393226 BPZ393226 BGD393226 AWH393226 AML393226 ACP393226 ST393226 IX393226 B393226 WVJ327690 WLN327690 WBR327690 VRV327690 VHZ327690 UYD327690 UOH327690 UEL327690 TUP327690 TKT327690 TAX327690 SRB327690 SHF327690 RXJ327690 RNN327690 RDR327690 QTV327690 QJZ327690 QAD327690 PQH327690 PGL327690 OWP327690 OMT327690 OCX327690 NTB327690 NJF327690 MZJ327690 MPN327690 MFR327690 LVV327690 LLZ327690 LCD327690 KSH327690 KIL327690 JYP327690 JOT327690 JEX327690 IVB327690 ILF327690 IBJ327690 HRN327690 HHR327690 GXV327690 GNZ327690 GED327690 FUH327690 FKL327690 FAP327690 EQT327690 EGX327690 DXB327690 DNF327690 DDJ327690 CTN327690 CJR327690 BZV327690 BPZ327690 BGD327690 AWH327690 AML327690 ACP327690 ST327690 IX327690 B327690 WVJ262154 WLN262154 WBR262154 VRV262154 VHZ262154 UYD262154 UOH262154 UEL262154 TUP262154 TKT262154 TAX262154 SRB262154 SHF262154 RXJ262154 RNN262154 RDR262154 QTV262154 QJZ262154 QAD262154 PQH262154 PGL262154 OWP262154 OMT262154 OCX262154 NTB262154 NJF262154 MZJ262154 MPN262154 MFR262154 LVV262154 LLZ262154 LCD262154 KSH262154 KIL262154 JYP262154 JOT262154 JEX262154 IVB262154 ILF262154 IBJ262154 HRN262154 HHR262154 GXV262154 GNZ262154 GED262154 FUH262154 FKL262154 FAP262154 EQT262154 EGX262154 DXB262154 DNF262154 DDJ262154 CTN262154 CJR262154 BZV262154 BPZ262154 BGD262154 AWH262154 AML262154 ACP262154 ST262154 IX262154 B262154 WVJ196618 WLN196618 WBR196618 VRV196618 VHZ196618 UYD196618 UOH196618 UEL196618 TUP196618 TKT196618 TAX196618 SRB196618 SHF196618 RXJ196618 RNN196618 RDR196618 QTV196618 QJZ196618 QAD196618 PQH196618 PGL196618 OWP196618 OMT196618 OCX196618 NTB196618 NJF196618 MZJ196618 MPN196618 MFR196618 LVV196618 LLZ196618 LCD196618 KSH196618 KIL196618 JYP196618 JOT196618 JEX196618 IVB196618 ILF196618 IBJ196618 HRN196618 HHR196618 GXV196618 GNZ196618 GED196618 FUH196618 FKL196618 FAP196618 EQT196618 EGX196618 DXB196618 DNF196618 DDJ196618 CTN196618 CJR196618 BZV196618 BPZ196618 BGD196618 AWH196618 AML196618 ACP196618 ST196618 IX196618 B196618 WVJ131082 WLN131082 WBR131082 VRV131082 VHZ131082 UYD131082 UOH131082 UEL131082 TUP131082 TKT131082 TAX131082 SRB131082 SHF131082 RXJ131082 RNN131082 RDR131082 QTV131082 QJZ131082 QAD131082 PQH131082 PGL131082 OWP131082 OMT131082 OCX131082 NTB131082 NJF131082 MZJ131082 MPN131082 MFR131082 LVV131082 LLZ131082 LCD131082 KSH131082 KIL131082 JYP131082 JOT131082 JEX131082 IVB131082 ILF131082 IBJ131082 HRN131082 HHR131082 GXV131082 GNZ131082 GED131082 FUH131082 FKL131082 FAP131082 EQT131082 EGX131082 DXB131082 DNF131082 DDJ131082 CTN131082 CJR131082 BZV131082 BPZ131082 BGD131082 AWH131082 AML131082 ACP131082 ST131082 IX131082 B131082 WVJ65546 WLN65546 WBR65546 VRV65546 VHZ65546 UYD65546 UOH65546 UEL65546 TUP65546 TKT65546 TAX65546 SRB65546 SHF65546 RXJ65546 RNN65546 RDR65546 QTV65546 QJZ65546 QAD65546 PQH65546 PGL65546 OWP65546 OMT65546 OCX65546 NTB65546 NJF65546 MZJ65546 MPN65546 MFR65546 LVV65546 LLZ65546 LCD65546 KSH65546 KIL65546 JYP65546 JOT65546 JEX65546 IVB65546 ILF65546 IBJ65546 HRN65546 HHR65546 GXV65546 GNZ65546 GED65546 FUH65546 FKL65546 FAP65546 EQT65546 EGX65546 DXB65546 DNF65546 DDJ65546 CTN65546 CJR65546 BZV65546 BPZ65546 BGD65546 AWH65546 AML65546 ACP65546 ST65546 IX65546 B65546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xr:uid="{00000000-0002-0000-0300-000008000000}">
      <formula1>$X$1:$X$6</formula1>
      <formula2>0</formula2>
    </dataValidation>
    <dataValidation type="list" allowBlank="1" showErrorMessage="1" sqref="B4 WVJ983047 WLN983047 WBR983047 VRV983047 VHZ983047 UYD983047 UOH983047 UEL983047 TUP983047 TKT983047 TAX983047 SRB983047 SHF983047 RXJ983047 RNN983047 RDR983047 QTV983047 QJZ983047 QAD983047 PQH983047 PGL983047 OWP983047 OMT983047 OCX983047 NTB983047 NJF983047 MZJ983047 MPN983047 MFR983047 LVV983047 LLZ983047 LCD983047 KSH983047 KIL983047 JYP983047 JOT983047 JEX983047 IVB983047 ILF983047 IBJ983047 HRN983047 HHR983047 GXV983047 GNZ983047 GED983047 FUH983047 FKL983047 FAP983047 EQT983047 EGX983047 DXB983047 DNF983047 DDJ983047 CTN983047 CJR983047 BZV983047 BPZ983047 BGD983047 AWH983047 AML983047 ACP983047 ST983047 IX983047 B983047 WVJ917511 WLN917511 WBR917511 VRV917511 VHZ917511 UYD917511 UOH917511 UEL917511 TUP917511 TKT917511 TAX917511 SRB917511 SHF917511 RXJ917511 RNN917511 RDR917511 QTV917511 QJZ917511 QAD917511 PQH917511 PGL917511 OWP917511 OMT917511 OCX917511 NTB917511 NJF917511 MZJ917511 MPN917511 MFR917511 LVV917511 LLZ917511 LCD917511 KSH917511 KIL917511 JYP917511 JOT917511 JEX917511 IVB917511 ILF917511 IBJ917511 HRN917511 HHR917511 GXV917511 GNZ917511 GED917511 FUH917511 FKL917511 FAP917511 EQT917511 EGX917511 DXB917511 DNF917511 DDJ917511 CTN917511 CJR917511 BZV917511 BPZ917511 BGD917511 AWH917511 AML917511 ACP917511 ST917511 IX917511 B917511 WVJ851975 WLN851975 WBR851975 VRV851975 VHZ851975 UYD851975 UOH851975 UEL851975 TUP851975 TKT851975 TAX851975 SRB851975 SHF851975 RXJ851975 RNN851975 RDR851975 QTV851975 QJZ851975 QAD851975 PQH851975 PGL851975 OWP851975 OMT851975 OCX851975 NTB851975 NJF851975 MZJ851975 MPN851975 MFR851975 LVV851975 LLZ851975 LCD851975 KSH851975 KIL851975 JYP851975 JOT851975 JEX851975 IVB851975 ILF851975 IBJ851975 HRN851975 HHR851975 GXV851975 GNZ851975 GED851975 FUH851975 FKL851975 FAP851975 EQT851975 EGX851975 DXB851975 DNF851975 DDJ851975 CTN851975 CJR851975 BZV851975 BPZ851975 BGD851975 AWH851975 AML851975 ACP851975 ST851975 IX851975 B851975 WVJ786439 WLN786439 WBR786439 VRV786439 VHZ786439 UYD786439 UOH786439 UEL786439 TUP786439 TKT786439 TAX786439 SRB786439 SHF786439 RXJ786439 RNN786439 RDR786439 QTV786439 QJZ786439 QAD786439 PQH786439 PGL786439 OWP786439 OMT786439 OCX786439 NTB786439 NJF786439 MZJ786439 MPN786439 MFR786439 LVV786439 LLZ786439 LCD786439 KSH786439 KIL786439 JYP786439 JOT786439 JEX786439 IVB786439 ILF786439 IBJ786439 HRN786439 HHR786439 GXV786439 GNZ786439 GED786439 FUH786439 FKL786439 FAP786439 EQT786439 EGX786439 DXB786439 DNF786439 DDJ786439 CTN786439 CJR786439 BZV786439 BPZ786439 BGD786439 AWH786439 AML786439 ACP786439 ST786439 IX786439 B786439 WVJ720903 WLN720903 WBR720903 VRV720903 VHZ720903 UYD720903 UOH720903 UEL720903 TUP720903 TKT720903 TAX720903 SRB720903 SHF720903 RXJ720903 RNN720903 RDR720903 QTV720903 QJZ720903 QAD720903 PQH720903 PGL720903 OWP720903 OMT720903 OCX720903 NTB720903 NJF720903 MZJ720903 MPN720903 MFR720903 LVV720903 LLZ720903 LCD720903 KSH720903 KIL720903 JYP720903 JOT720903 JEX720903 IVB720903 ILF720903 IBJ720903 HRN720903 HHR720903 GXV720903 GNZ720903 GED720903 FUH720903 FKL720903 FAP720903 EQT720903 EGX720903 DXB720903 DNF720903 DDJ720903 CTN720903 CJR720903 BZV720903 BPZ720903 BGD720903 AWH720903 AML720903 ACP720903 ST720903 IX720903 B720903 WVJ655367 WLN655367 WBR655367 VRV655367 VHZ655367 UYD655367 UOH655367 UEL655367 TUP655367 TKT655367 TAX655367 SRB655367 SHF655367 RXJ655367 RNN655367 RDR655367 QTV655367 QJZ655367 QAD655367 PQH655367 PGL655367 OWP655367 OMT655367 OCX655367 NTB655367 NJF655367 MZJ655367 MPN655367 MFR655367 LVV655367 LLZ655367 LCD655367 KSH655367 KIL655367 JYP655367 JOT655367 JEX655367 IVB655367 ILF655367 IBJ655367 HRN655367 HHR655367 GXV655367 GNZ655367 GED655367 FUH655367 FKL655367 FAP655367 EQT655367 EGX655367 DXB655367 DNF655367 DDJ655367 CTN655367 CJR655367 BZV655367 BPZ655367 BGD655367 AWH655367 AML655367 ACP655367 ST655367 IX655367 B655367 WVJ589831 WLN589831 WBR589831 VRV589831 VHZ589831 UYD589831 UOH589831 UEL589831 TUP589831 TKT589831 TAX589831 SRB589831 SHF589831 RXJ589831 RNN589831 RDR589831 QTV589831 QJZ589831 QAD589831 PQH589831 PGL589831 OWP589831 OMT589831 OCX589831 NTB589831 NJF589831 MZJ589831 MPN589831 MFR589831 LVV589831 LLZ589831 LCD589831 KSH589831 KIL589831 JYP589831 JOT589831 JEX589831 IVB589831 ILF589831 IBJ589831 HRN589831 HHR589831 GXV589831 GNZ589831 GED589831 FUH589831 FKL589831 FAP589831 EQT589831 EGX589831 DXB589831 DNF589831 DDJ589831 CTN589831 CJR589831 BZV589831 BPZ589831 BGD589831 AWH589831 AML589831 ACP589831 ST589831 IX589831 B589831 WVJ524295 WLN524295 WBR524295 VRV524295 VHZ524295 UYD524295 UOH524295 UEL524295 TUP524295 TKT524295 TAX524295 SRB524295 SHF524295 RXJ524295 RNN524295 RDR524295 QTV524295 QJZ524295 QAD524295 PQH524295 PGL524295 OWP524295 OMT524295 OCX524295 NTB524295 NJF524295 MZJ524295 MPN524295 MFR524295 LVV524295 LLZ524295 LCD524295 KSH524295 KIL524295 JYP524295 JOT524295 JEX524295 IVB524295 ILF524295 IBJ524295 HRN524295 HHR524295 GXV524295 GNZ524295 GED524295 FUH524295 FKL524295 FAP524295 EQT524295 EGX524295 DXB524295 DNF524295 DDJ524295 CTN524295 CJR524295 BZV524295 BPZ524295 BGD524295 AWH524295 AML524295 ACP524295 ST524295 IX524295 B524295 WVJ458759 WLN458759 WBR458759 VRV458759 VHZ458759 UYD458759 UOH458759 UEL458759 TUP458759 TKT458759 TAX458759 SRB458759 SHF458759 RXJ458759 RNN458759 RDR458759 QTV458759 QJZ458759 QAD458759 PQH458759 PGL458759 OWP458759 OMT458759 OCX458759 NTB458759 NJF458759 MZJ458759 MPN458759 MFR458759 LVV458759 LLZ458759 LCD458759 KSH458759 KIL458759 JYP458759 JOT458759 JEX458759 IVB458759 ILF458759 IBJ458759 HRN458759 HHR458759 GXV458759 GNZ458759 GED458759 FUH458759 FKL458759 FAP458759 EQT458759 EGX458759 DXB458759 DNF458759 DDJ458759 CTN458759 CJR458759 BZV458759 BPZ458759 BGD458759 AWH458759 AML458759 ACP458759 ST458759 IX458759 B458759 WVJ393223 WLN393223 WBR393223 VRV393223 VHZ393223 UYD393223 UOH393223 UEL393223 TUP393223 TKT393223 TAX393223 SRB393223 SHF393223 RXJ393223 RNN393223 RDR393223 QTV393223 QJZ393223 QAD393223 PQH393223 PGL393223 OWP393223 OMT393223 OCX393223 NTB393223 NJF393223 MZJ393223 MPN393223 MFR393223 LVV393223 LLZ393223 LCD393223 KSH393223 KIL393223 JYP393223 JOT393223 JEX393223 IVB393223 ILF393223 IBJ393223 HRN393223 HHR393223 GXV393223 GNZ393223 GED393223 FUH393223 FKL393223 FAP393223 EQT393223 EGX393223 DXB393223 DNF393223 DDJ393223 CTN393223 CJR393223 BZV393223 BPZ393223 BGD393223 AWH393223 AML393223 ACP393223 ST393223 IX393223 B393223 WVJ327687 WLN327687 WBR327687 VRV327687 VHZ327687 UYD327687 UOH327687 UEL327687 TUP327687 TKT327687 TAX327687 SRB327687 SHF327687 RXJ327687 RNN327687 RDR327687 QTV327687 QJZ327687 QAD327687 PQH327687 PGL327687 OWP327687 OMT327687 OCX327687 NTB327687 NJF327687 MZJ327687 MPN327687 MFR327687 LVV327687 LLZ327687 LCD327687 KSH327687 KIL327687 JYP327687 JOT327687 JEX327687 IVB327687 ILF327687 IBJ327687 HRN327687 HHR327687 GXV327687 GNZ327687 GED327687 FUH327687 FKL327687 FAP327687 EQT327687 EGX327687 DXB327687 DNF327687 DDJ327687 CTN327687 CJR327687 BZV327687 BPZ327687 BGD327687 AWH327687 AML327687 ACP327687 ST327687 IX327687 B327687 WVJ262151 WLN262151 WBR262151 VRV262151 VHZ262151 UYD262151 UOH262151 UEL262151 TUP262151 TKT262151 TAX262151 SRB262151 SHF262151 RXJ262151 RNN262151 RDR262151 QTV262151 QJZ262151 QAD262151 PQH262151 PGL262151 OWP262151 OMT262151 OCX262151 NTB262151 NJF262151 MZJ262151 MPN262151 MFR262151 LVV262151 LLZ262151 LCD262151 KSH262151 KIL262151 JYP262151 JOT262151 JEX262151 IVB262151 ILF262151 IBJ262151 HRN262151 HHR262151 GXV262151 GNZ262151 GED262151 FUH262151 FKL262151 FAP262151 EQT262151 EGX262151 DXB262151 DNF262151 DDJ262151 CTN262151 CJR262151 BZV262151 BPZ262151 BGD262151 AWH262151 AML262151 ACP262151 ST262151 IX262151 B262151 WVJ196615 WLN196615 WBR196615 VRV196615 VHZ196615 UYD196615 UOH196615 UEL196615 TUP196615 TKT196615 TAX196615 SRB196615 SHF196615 RXJ196615 RNN196615 RDR196615 QTV196615 QJZ196615 QAD196615 PQH196615 PGL196615 OWP196615 OMT196615 OCX196615 NTB196615 NJF196615 MZJ196615 MPN196615 MFR196615 LVV196615 LLZ196615 LCD196615 KSH196615 KIL196615 JYP196615 JOT196615 JEX196615 IVB196615 ILF196615 IBJ196615 HRN196615 HHR196615 GXV196615 GNZ196615 GED196615 FUH196615 FKL196615 FAP196615 EQT196615 EGX196615 DXB196615 DNF196615 DDJ196615 CTN196615 CJR196615 BZV196615 BPZ196615 BGD196615 AWH196615 AML196615 ACP196615 ST196615 IX196615 B196615 WVJ131079 WLN131079 WBR131079 VRV131079 VHZ131079 UYD131079 UOH131079 UEL131079 TUP131079 TKT131079 TAX131079 SRB131079 SHF131079 RXJ131079 RNN131079 RDR131079 QTV131079 QJZ131079 QAD131079 PQH131079 PGL131079 OWP131079 OMT131079 OCX131079 NTB131079 NJF131079 MZJ131079 MPN131079 MFR131079 LVV131079 LLZ131079 LCD131079 KSH131079 KIL131079 JYP131079 JOT131079 JEX131079 IVB131079 ILF131079 IBJ131079 HRN131079 HHR131079 GXV131079 GNZ131079 GED131079 FUH131079 FKL131079 FAP131079 EQT131079 EGX131079 DXB131079 DNF131079 DDJ131079 CTN131079 CJR131079 BZV131079 BPZ131079 BGD131079 AWH131079 AML131079 ACP131079 ST131079 IX131079 B131079 WVJ65543 WLN65543 WBR65543 VRV65543 VHZ65543 UYD65543 UOH65543 UEL65543 TUP65543 TKT65543 TAX65543 SRB65543 SHF65543 RXJ65543 RNN65543 RDR65543 QTV65543 QJZ65543 QAD65543 PQH65543 PGL65543 OWP65543 OMT65543 OCX65543 NTB65543 NJF65543 MZJ65543 MPN65543 MFR65543 LVV65543 LLZ65543 LCD65543 KSH65543 KIL65543 JYP65543 JOT65543 JEX65543 IVB65543 ILF65543 IBJ65543 HRN65543 HHR65543 GXV65543 GNZ65543 GED65543 FUH65543 FKL65543 FAP65543 EQT65543 EGX65543 DXB65543 DNF65543 DDJ65543 CTN65543 CJR65543 BZV65543 BPZ65543 BGD65543 AWH65543 AML65543 ACP65543 ST65543 IX65543 B65543 WVJ6 WLN6 WBR6 VRV6 VHZ6 UYD6 UOH6 UEL6 TUP6 TKT6 TAX6 SRB6 SHF6 RXJ6 RNN6 RDR6 QTV6 QJZ6 QAD6 PQH6 PGL6 OWP6 OMT6 OCX6 NTB6 NJF6 MZJ6 MPN6 MFR6 LVV6 LLZ6 LCD6 KSH6 KIL6 JYP6 JOT6 JEX6 IVB6 ILF6 IBJ6 HRN6 HHR6 GXV6 GNZ6 GED6 FUH6 FKL6 FAP6 EQT6 EGX6 DXB6 DNF6 DDJ6 CTN6 CJR6 BZV6 BPZ6 BGD6 AWH6 AML6 ACP6 ST6 IX6 B6 WVJ983043 WLN983043 WBR983043 VRV983043 VHZ983043 UYD983043 UOH983043 UEL983043 TUP983043 TKT983043 TAX983043 SRB983043 SHF983043 RXJ983043 RNN983043 RDR983043 QTV983043 QJZ983043 QAD983043 PQH983043 PGL983043 OWP983043 OMT983043 OCX983043 NTB983043 NJF983043 MZJ983043 MPN983043 MFR983043 LVV983043 LLZ983043 LCD983043 KSH983043 KIL983043 JYP983043 JOT983043 JEX983043 IVB983043 ILF983043 IBJ983043 HRN983043 HHR983043 GXV983043 GNZ983043 GED983043 FUH983043 FKL983043 FAP983043 EQT983043 EGX983043 DXB983043 DNF983043 DDJ983043 CTN983043 CJR983043 BZV983043 BPZ983043 BGD983043 AWH983043 AML983043 ACP983043 ST983043 IX983043 B983043 WVJ917507 WLN917507 WBR917507 VRV917507 VHZ917507 UYD917507 UOH917507 UEL917507 TUP917507 TKT917507 TAX917507 SRB917507 SHF917507 RXJ917507 RNN917507 RDR917507 QTV917507 QJZ917507 QAD917507 PQH917507 PGL917507 OWP917507 OMT917507 OCX917507 NTB917507 NJF917507 MZJ917507 MPN917507 MFR917507 LVV917507 LLZ917507 LCD917507 KSH917507 KIL917507 JYP917507 JOT917507 JEX917507 IVB917507 ILF917507 IBJ917507 HRN917507 HHR917507 GXV917507 GNZ917507 GED917507 FUH917507 FKL917507 FAP917507 EQT917507 EGX917507 DXB917507 DNF917507 DDJ917507 CTN917507 CJR917507 BZV917507 BPZ917507 BGD917507 AWH917507 AML917507 ACP917507 ST917507 IX917507 B917507 WVJ851971 WLN851971 WBR851971 VRV851971 VHZ851971 UYD851971 UOH851971 UEL851971 TUP851971 TKT851971 TAX851971 SRB851971 SHF851971 RXJ851971 RNN851971 RDR851971 QTV851971 QJZ851971 QAD851971 PQH851971 PGL851971 OWP851971 OMT851971 OCX851971 NTB851971 NJF851971 MZJ851971 MPN851971 MFR851971 LVV851971 LLZ851971 LCD851971 KSH851971 KIL851971 JYP851971 JOT851971 JEX851971 IVB851971 ILF851971 IBJ851971 HRN851971 HHR851971 GXV851971 GNZ851971 GED851971 FUH851971 FKL851971 FAP851971 EQT851971 EGX851971 DXB851971 DNF851971 DDJ851971 CTN851971 CJR851971 BZV851971 BPZ851971 BGD851971 AWH851971 AML851971 ACP851971 ST851971 IX851971 B851971 WVJ786435 WLN786435 WBR786435 VRV786435 VHZ786435 UYD786435 UOH786435 UEL786435 TUP786435 TKT786435 TAX786435 SRB786435 SHF786435 RXJ786435 RNN786435 RDR786435 QTV786435 QJZ786435 QAD786435 PQH786435 PGL786435 OWP786435 OMT786435 OCX786435 NTB786435 NJF786435 MZJ786435 MPN786435 MFR786435 LVV786435 LLZ786435 LCD786435 KSH786435 KIL786435 JYP786435 JOT786435 JEX786435 IVB786435 ILF786435 IBJ786435 HRN786435 HHR786435 GXV786435 GNZ786435 GED786435 FUH786435 FKL786435 FAP786435 EQT786435 EGX786435 DXB786435 DNF786435 DDJ786435 CTN786435 CJR786435 BZV786435 BPZ786435 BGD786435 AWH786435 AML786435 ACP786435 ST786435 IX786435 B786435 WVJ720899 WLN720899 WBR720899 VRV720899 VHZ720899 UYD720899 UOH720899 UEL720899 TUP720899 TKT720899 TAX720899 SRB720899 SHF720899 RXJ720899 RNN720899 RDR720899 QTV720899 QJZ720899 QAD720899 PQH720899 PGL720899 OWP720899 OMT720899 OCX720899 NTB720899 NJF720899 MZJ720899 MPN720899 MFR720899 LVV720899 LLZ720899 LCD720899 KSH720899 KIL720899 JYP720899 JOT720899 JEX720899 IVB720899 ILF720899 IBJ720899 HRN720899 HHR720899 GXV720899 GNZ720899 GED720899 FUH720899 FKL720899 FAP720899 EQT720899 EGX720899 DXB720899 DNF720899 DDJ720899 CTN720899 CJR720899 BZV720899 BPZ720899 BGD720899 AWH720899 AML720899 ACP720899 ST720899 IX720899 B720899 WVJ655363 WLN655363 WBR655363 VRV655363 VHZ655363 UYD655363 UOH655363 UEL655363 TUP655363 TKT655363 TAX655363 SRB655363 SHF655363 RXJ655363 RNN655363 RDR655363 QTV655363 QJZ655363 QAD655363 PQH655363 PGL655363 OWP655363 OMT655363 OCX655363 NTB655363 NJF655363 MZJ655363 MPN655363 MFR655363 LVV655363 LLZ655363 LCD655363 KSH655363 KIL655363 JYP655363 JOT655363 JEX655363 IVB655363 ILF655363 IBJ655363 HRN655363 HHR655363 GXV655363 GNZ655363 GED655363 FUH655363 FKL655363 FAP655363 EQT655363 EGX655363 DXB655363 DNF655363 DDJ655363 CTN655363 CJR655363 BZV655363 BPZ655363 BGD655363 AWH655363 AML655363 ACP655363 ST655363 IX655363 B655363 WVJ589827 WLN589827 WBR589827 VRV589827 VHZ589827 UYD589827 UOH589827 UEL589827 TUP589827 TKT589827 TAX589827 SRB589827 SHF589827 RXJ589827 RNN589827 RDR589827 QTV589827 QJZ589827 QAD589827 PQH589827 PGL589827 OWP589827 OMT589827 OCX589827 NTB589827 NJF589827 MZJ589827 MPN589827 MFR589827 LVV589827 LLZ589827 LCD589827 KSH589827 KIL589827 JYP589827 JOT589827 JEX589827 IVB589827 ILF589827 IBJ589827 HRN589827 HHR589827 GXV589827 GNZ589827 GED589827 FUH589827 FKL589827 FAP589827 EQT589827 EGX589827 DXB589827 DNF589827 DDJ589827 CTN589827 CJR589827 BZV589827 BPZ589827 BGD589827 AWH589827 AML589827 ACP589827 ST589827 IX589827 B589827 WVJ524291 WLN524291 WBR524291 VRV524291 VHZ524291 UYD524291 UOH524291 UEL524291 TUP524291 TKT524291 TAX524291 SRB524291 SHF524291 RXJ524291 RNN524291 RDR524291 QTV524291 QJZ524291 QAD524291 PQH524291 PGL524291 OWP524291 OMT524291 OCX524291 NTB524291 NJF524291 MZJ524291 MPN524291 MFR524291 LVV524291 LLZ524291 LCD524291 KSH524291 KIL524291 JYP524291 JOT524291 JEX524291 IVB524291 ILF524291 IBJ524291 HRN524291 HHR524291 GXV524291 GNZ524291 GED524291 FUH524291 FKL524291 FAP524291 EQT524291 EGX524291 DXB524291 DNF524291 DDJ524291 CTN524291 CJR524291 BZV524291 BPZ524291 BGD524291 AWH524291 AML524291 ACP524291 ST524291 IX524291 B524291 WVJ458755 WLN458755 WBR458755 VRV458755 VHZ458755 UYD458755 UOH458755 UEL458755 TUP458755 TKT458755 TAX458755 SRB458755 SHF458755 RXJ458755 RNN458755 RDR458755 QTV458755 QJZ458755 QAD458755 PQH458755 PGL458755 OWP458755 OMT458755 OCX458755 NTB458755 NJF458755 MZJ458755 MPN458755 MFR458755 LVV458755 LLZ458755 LCD458755 KSH458755 KIL458755 JYP458755 JOT458755 JEX458755 IVB458755 ILF458755 IBJ458755 HRN458755 HHR458755 GXV458755 GNZ458755 GED458755 FUH458755 FKL458755 FAP458755 EQT458755 EGX458755 DXB458755 DNF458755 DDJ458755 CTN458755 CJR458755 BZV458755 BPZ458755 BGD458755 AWH458755 AML458755 ACP458755 ST458755 IX458755 B458755 WVJ393219 WLN393219 WBR393219 VRV393219 VHZ393219 UYD393219 UOH393219 UEL393219 TUP393219 TKT393219 TAX393219 SRB393219 SHF393219 RXJ393219 RNN393219 RDR393219 QTV393219 QJZ393219 QAD393219 PQH393219 PGL393219 OWP393219 OMT393219 OCX393219 NTB393219 NJF393219 MZJ393219 MPN393219 MFR393219 LVV393219 LLZ393219 LCD393219 KSH393219 KIL393219 JYP393219 JOT393219 JEX393219 IVB393219 ILF393219 IBJ393219 HRN393219 HHR393219 GXV393219 GNZ393219 GED393219 FUH393219 FKL393219 FAP393219 EQT393219 EGX393219 DXB393219 DNF393219 DDJ393219 CTN393219 CJR393219 BZV393219 BPZ393219 BGD393219 AWH393219 AML393219 ACP393219 ST393219 IX393219 B393219 WVJ327683 WLN327683 WBR327683 VRV327683 VHZ327683 UYD327683 UOH327683 UEL327683 TUP327683 TKT327683 TAX327683 SRB327683 SHF327683 RXJ327683 RNN327683 RDR327683 QTV327683 QJZ327683 QAD327683 PQH327683 PGL327683 OWP327683 OMT327683 OCX327683 NTB327683 NJF327683 MZJ327683 MPN327683 MFR327683 LVV327683 LLZ327683 LCD327683 KSH327683 KIL327683 JYP327683 JOT327683 JEX327683 IVB327683 ILF327683 IBJ327683 HRN327683 HHR327683 GXV327683 GNZ327683 GED327683 FUH327683 FKL327683 FAP327683 EQT327683 EGX327683 DXB327683 DNF327683 DDJ327683 CTN327683 CJR327683 BZV327683 BPZ327683 BGD327683 AWH327683 AML327683 ACP327683 ST327683 IX327683 B327683 WVJ262147 WLN262147 WBR262147 VRV262147 VHZ262147 UYD262147 UOH262147 UEL262147 TUP262147 TKT262147 TAX262147 SRB262147 SHF262147 RXJ262147 RNN262147 RDR262147 QTV262147 QJZ262147 QAD262147 PQH262147 PGL262147 OWP262147 OMT262147 OCX262147 NTB262147 NJF262147 MZJ262147 MPN262147 MFR262147 LVV262147 LLZ262147 LCD262147 KSH262147 KIL262147 JYP262147 JOT262147 JEX262147 IVB262147 ILF262147 IBJ262147 HRN262147 HHR262147 GXV262147 GNZ262147 GED262147 FUH262147 FKL262147 FAP262147 EQT262147 EGX262147 DXB262147 DNF262147 DDJ262147 CTN262147 CJR262147 BZV262147 BPZ262147 BGD262147 AWH262147 AML262147 ACP262147 ST262147 IX262147 B262147 WVJ196611 WLN196611 WBR196611 VRV196611 VHZ196611 UYD196611 UOH196611 UEL196611 TUP196611 TKT196611 TAX196611 SRB196611 SHF196611 RXJ196611 RNN196611 RDR196611 QTV196611 QJZ196611 QAD196611 PQH196611 PGL196611 OWP196611 OMT196611 OCX196611 NTB196611 NJF196611 MZJ196611 MPN196611 MFR196611 LVV196611 LLZ196611 LCD196611 KSH196611 KIL196611 JYP196611 JOT196611 JEX196611 IVB196611 ILF196611 IBJ196611 HRN196611 HHR196611 GXV196611 GNZ196611 GED196611 FUH196611 FKL196611 FAP196611 EQT196611 EGX196611 DXB196611 DNF196611 DDJ196611 CTN196611 CJR196611 BZV196611 BPZ196611 BGD196611 AWH196611 AML196611 ACP196611 ST196611 IX196611 B196611 WVJ131075 WLN131075 WBR131075 VRV131075 VHZ131075 UYD131075 UOH131075 UEL131075 TUP131075 TKT131075 TAX131075 SRB131075 SHF131075 RXJ131075 RNN131075 RDR131075 QTV131075 QJZ131075 QAD131075 PQH131075 PGL131075 OWP131075 OMT131075 OCX131075 NTB131075 NJF131075 MZJ131075 MPN131075 MFR131075 LVV131075 LLZ131075 LCD131075 KSH131075 KIL131075 JYP131075 JOT131075 JEX131075 IVB131075 ILF131075 IBJ131075 HRN131075 HHR131075 GXV131075 GNZ131075 GED131075 FUH131075 FKL131075 FAP131075 EQT131075 EGX131075 DXB131075 DNF131075 DDJ131075 CTN131075 CJR131075 BZV131075 BPZ131075 BGD131075 AWH131075 AML131075 ACP131075 ST131075 IX131075 B131075 WVJ65539 WLN65539 WBR65539 VRV65539 VHZ65539 UYD65539 UOH65539 UEL65539 TUP65539 TKT65539 TAX65539 SRB65539 SHF65539 RXJ65539 RNN65539 RDR65539 QTV65539 QJZ65539 QAD65539 PQH65539 PGL65539 OWP65539 OMT65539 OCX65539 NTB65539 NJF65539 MZJ65539 MPN65539 MFR65539 LVV65539 LLZ65539 LCD65539 KSH65539 KIL65539 JYP65539 JOT65539 JEX65539 IVB65539 ILF65539 IBJ65539 HRN65539 HHR65539 GXV65539 GNZ65539 GED65539 FUH65539 FKL65539 FAP65539 EQT65539 EGX65539 DXB65539 DNF65539 DDJ65539 CTN65539 CJR65539 BZV65539 BPZ65539 BGD65539 AWH65539 AML65539 ACP65539 ST65539 IX65539 B65539 WVJ2 WLN2 WBR2 VRV2 VHZ2 UYD2 UOH2 UEL2 TUP2 TKT2 TAX2 SRB2 SHF2 RXJ2 RNN2 RDR2 QTV2 QJZ2 QAD2 PQH2 PGL2 OWP2 OMT2 OCX2 NTB2 NJF2 MZJ2 MPN2 MFR2 LVV2 LLZ2 LCD2 KSH2 KIL2 JYP2 JOT2 JEX2 IVB2 ILF2 IBJ2 HRN2 HHR2 GXV2 GNZ2 GED2 FUH2 FKL2 FAP2 EQT2 EGX2 DXB2 DNF2 DDJ2 CTN2 CJR2 BZV2 BPZ2 BGD2 AWH2 AML2 ACP2 ST2 IX2 B2 WVJ983045 WLN983045 WBR983045 VRV983045 VHZ983045 UYD983045 UOH983045 UEL983045 TUP983045 TKT983045 TAX983045 SRB983045 SHF983045 RXJ983045 RNN983045 RDR983045 QTV983045 QJZ983045 QAD983045 PQH983045 PGL983045 OWP983045 OMT983045 OCX983045 NTB983045 NJF983045 MZJ983045 MPN983045 MFR983045 LVV983045 LLZ983045 LCD983045 KSH983045 KIL983045 JYP983045 JOT983045 JEX983045 IVB983045 ILF983045 IBJ983045 HRN983045 HHR983045 GXV983045 GNZ983045 GED983045 FUH983045 FKL983045 FAP983045 EQT983045 EGX983045 DXB983045 DNF983045 DDJ983045 CTN983045 CJR983045 BZV983045 BPZ983045 BGD983045 AWH983045 AML983045 ACP983045 ST983045 IX983045 B983045 WVJ917509 WLN917509 WBR917509 VRV917509 VHZ917509 UYD917509 UOH917509 UEL917509 TUP917509 TKT917509 TAX917509 SRB917509 SHF917509 RXJ917509 RNN917509 RDR917509 QTV917509 QJZ917509 QAD917509 PQH917509 PGL917509 OWP917509 OMT917509 OCX917509 NTB917509 NJF917509 MZJ917509 MPN917509 MFR917509 LVV917509 LLZ917509 LCD917509 KSH917509 KIL917509 JYP917509 JOT917509 JEX917509 IVB917509 ILF917509 IBJ917509 HRN917509 HHR917509 GXV917509 GNZ917509 GED917509 FUH917509 FKL917509 FAP917509 EQT917509 EGX917509 DXB917509 DNF917509 DDJ917509 CTN917509 CJR917509 BZV917509 BPZ917509 BGD917509 AWH917509 AML917509 ACP917509 ST917509 IX917509 B917509 WVJ851973 WLN851973 WBR851973 VRV851973 VHZ851973 UYD851973 UOH851973 UEL851973 TUP851973 TKT851973 TAX851973 SRB851973 SHF851973 RXJ851973 RNN851973 RDR851973 QTV851973 QJZ851973 QAD851973 PQH851973 PGL851973 OWP851973 OMT851973 OCX851973 NTB851973 NJF851973 MZJ851973 MPN851973 MFR851973 LVV851973 LLZ851973 LCD851973 KSH851973 KIL851973 JYP851973 JOT851973 JEX851973 IVB851973 ILF851973 IBJ851973 HRN851973 HHR851973 GXV851973 GNZ851973 GED851973 FUH851973 FKL851973 FAP851973 EQT851973 EGX851973 DXB851973 DNF851973 DDJ851973 CTN851973 CJR851973 BZV851973 BPZ851973 BGD851973 AWH851973 AML851973 ACP851973 ST851973 IX851973 B851973 WVJ786437 WLN786437 WBR786437 VRV786437 VHZ786437 UYD786437 UOH786437 UEL786437 TUP786437 TKT786437 TAX786437 SRB786437 SHF786437 RXJ786437 RNN786437 RDR786437 QTV786437 QJZ786437 QAD786437 PQH786437 PGL786437 OWP786437 OMT786437 OCX786437 NTB786437 NJF786437 MZJ786437 MPN786437 MFR786437 LVV786437 LLZ786437 LCD786437 KSH786437 KIL786437 JYP786437 JOT786437 JEX786437 IVB786437 ILF786437 IBJ786437 HRN786437 HHR786437 GXV786437 GNZ786437 GED786437 FUH786437 FKL786437 FAP786437 EQT786437 EGX786437 DXB786437 DNF786437 DDJ786437 CTN786437 CJR786437 BZV786437 BPZ786437 BGD786437 AWH786437 AML786437 ACP786437 ST786437 IX786437 B786437 WVJ720901 WLN720901 WBR720901 VRV720901 VHZ720901 UYD720901 UOH720901 UEL720901 TUP720901 TKT720901 TAX720901 SRB720901 SHF720901 RXJ720901 RNN720901 RDR720901 QTV720901 QJZ720901 QAD720901 PQH720901 PGL720901 OWP720901 OMT720901 OCX720901 NTB720901 NJF720901 MZJ720901 MPN720901 MFR720901 LVV720901 LLZ720901 LCD720901 KSH720901 KIL720901 JYP720901 JOT720901 JEX720901 IVB720901 ILF720901 IBJ720901 HRN720901 HHR720901 GXV720901 GNZ720901 GED720901 FUH720901 FKL720901 FAP720901 EQT720901 EGX720901 DXB720901 DNF720901 DDJ720901 CTN720901 CJR720901 BZV720901 BPZ720901 BGD720901 AWH720901 AML720901 ACP720901 ST720901 IX720901 B720901 WVJ655365 WLN655365 WBR655365 VRV655365 VHZ655365 UYD655365 UOH655365 UEL655365 TUP655365 TKT655365 TAX655365 SRB655365 SHF655365 RXJ655365 RNN655365 RDR655365 QTV655365 QJZ655365 QAD655365 PQH655365 PGL655365 OWP655365 OMT655365 OCX655365 NTB655365 NJF655365 MZJ655365 MPN655365 MFR655365 LVV655365 LLZ655365 LCD655365 KSH655365 KIL655365 JYP655365 JOT655365 JEX655365 IVB655365 ILF655365 IBJ655365 HRN655365 HHR655365 GXV655365 GNZ655365 GED655365 FUH655365 FKL655365 FAP655365 EQT655365 EGX655365 DXB655365 DNF655365 DDJ655365 CTN655365 CJR655365 BZV655365 BPZ655365 BGD655365 AWH655365 AML655365 ACP655365 ST655365 IX655365 B655365 WVJ589829 WLN589829 WBR589829 VRV589829 VHZ589829 UYD589829 UOH589829 UEL589829 TUP589829 TKT589829 TAX589829 SRB589829 SHF589829 RXJ589829 RNN589829 RDR589829 QTV589829 QJZ589829 QAD589829 PQH589829 PGL589829 OWP589829 OMT589829 OCX589829 NTB589829 NJF589829 MZJ589829 MPN589829 MFR589829 LVV589829 LLZ589829 LCD589829 KSH589829 KIL589829 JYP589829 JOT589829 JEX589829 IVB589829 ILF589829 IBJ589829 HRN589829 HHR589829 GXV589829 GNZ589829 GED589829 FUH589829 FKL589829 FAP589829 EQT589829 EGX589829 DXB589829 DNF589829 DDJ589829 CTN589829 CJR589829 BZV589829 BPZ589829 BGD589829 AWH589829 AML589829 ACP589829 ST589829 IX589829 B589829 WVJ524293 WLN524293 WBR524293 VRV524293 VHZ524293 UYD524293 UOH524293 UEL524293 TUP524293 TKT524293 TAX524293 SRB524293 SHF524293 RXJ524293 RNN524293 RDR524293 QTV524293 QJZ524293 QAD524293 PQH524293 PGL524293 OWP524293 OMT524293 OCX524293 NTB524293 NJF524293 MZJ524293 MPN524293 MFR524293 LVV524293 LLZ524293 LCD524293 KSH524293 KIL524293 JYP524293 JOT524293 JEX524293 IVB524293 ILF524293 IBJ524293 HRN524293 HHR524293 GXV524293 GNZ524293 GED524293 FUH524293 FKL524293 FAP524293 EQT524293 EGX524293 DXB524293 DNF524293 DDJ524293 CTN524293 CJR524293 BZV524293 BPZ524293 BGD524293 AWH524293 AML524293 ACP524293 ST524293 IX524293 B524293 WVJ458757 WLN458757 WBR458757 VRV458757 VHZ458757 UYD458757 UOH458757 UEL458757 TUP458757 TKT458757 TAX458757 SRB458757 SHF458757 RXJ458757 RNN458757 RDR458757 QTV458757 QJZ458757 QAD458757 PQH458757 PGL458757 OWP458757 OMT458757 OCX458757 NTB458757 NJF458757 MZJ458757 MPN458757 MFR458757 LVV458757 LLZ458757 LCD458757 KSH458757 KIL458757 JYP458757 JOT458757 JEX458757 IVB458757 ILF458757 IBJ458757 HRN458757 HHR458757 GXV458757 GNZ458757 GED458757 FUH458757 FKL458757 FAP458757 EQT458757 EGX458757 DXB458757 DNF458757 DDJ458757 CTN458757 CJR458757 BZV458757 BPZ458757 BGD458757 AWH458757 AML458757 ACP458757 ST458757 IX458757 B458757 WVJ393221 WLN393221 WBR393221 VRV393221 VHZ393221 UYD393221 UOH393221 UEL393221 TUP393221 TKT393221 TAX393221 SRB393221 SHF393221 RXJ393221 RNN393221 RDR393221 QTV393221 QJZ393221 QAD393221 PQH393221 PGL393221 OWP393221 OMT393221 OCX393221 NTB393221 NJF393221 MZJ393221 MPN393221 MFR393221 LVV393221 LLZ393221 LCD393221 KSH393221 KIL393221 JYP393221 JOT393221 JEX393221 IVB393221 ILF393221 IBJ393221 HRN393221 HHR393221 GXV393221 GNZ393221 GED393221 FUH393221 FKL393221 FAP393221 EQT393221 EGX393221 DXB393221 DNF393221 DDJ393221 CTN393221 CJR393221 BZV393221 BPZ393221 BGD393221 AWH393221 AML393221 ACP393221 ST393221 IX393221 B393221 WVJ327685 WLN327685 WBR327685 VRV327685 VHZ327685 UYD327685 UOH327685 UEL327685 TUP327685 TKT327685 TAX327685 SRB327685 SHF327685 RXJ327685 RNN327685 RDR327685 QTV327685 QJZ327685 QAD327685 PQH327685 PGL327685 OWP327685 OMT327685 OCX327685 NTB327685 NJF327685 MZJ327685 MPN327685 MFR327685 LVV327685 LLZ327685 LCD327685 KSH327685 KIL327685 JYP327685 JOT327685 JEX327685 IVB327685 ILF327685 IBJ327685 HRN327685 HHR327685 GXV327685 GNZ327685 GED327685 FUH327685 FKL327685 FAP327685 EQT327685 EGX327685 DXB327685 DNF327685 DDJ327685 CTN327685 CJR327685 BZV327685 BPZ327685 BGD327685 AWH327685 AML327685 ACP327685 ST327685 IX327685 B327685 WVJ262149 WLN262149 WBR262149 VRV262149 VHZ262149 UYD262149 UOH262149 UEL262149 TUP262149 TKT262149 TAX262149 SRB262149 SHF262149 RXJ262149 RNN262149 RDR262149 QTV262149 QJZ262149 QAD262149 PQH262149 PGL262149 OWP262149 OMT262149 OCX262149 NTB262149 NJF262149 MZJ262149 MPN262149 MFR262149 LVV262149 LLZ262149 LCD262149 KSH262149 KIL262149 JYP262149 JOT262149 JEX262149 IVB262149 ILF262149 IBJ262149 HRN262149 HHR262149 GXV262149 GNZ262149 GED262149 FUH262149 FKL262149 FAP262149 EQT262149 EGX262149 DXB262149 DNF262149 DDJ262149 CTN262149 CJR262149 BZV262149 BPZ262149 BGD262149 AWH262149 AML262149 ACP262149 ST262149 IX262149 B262149 WVJ196613 WLN196613 WBR196613 VRV196613 VHZ196613 UYD196613 UOH196613 UEL196613 TUP196613 TKT196613 TAX196613 SRB196613 SHF196613 RXJ196613 RNN196613 RDR196613 QTV196613 QJZ196613 QAD196613 PQH196613 PGL196613 OWP196613 OMT196613 OCX196613 NTB196613 NJF196613 MZJ196613 MPN196613 MFR196613 LVV196613 LLZ196613 LCD196613 KSH196613 KIL196613 JYP196613 JOT196613 JEX196613 IVB196613 ILF196613 IBJ196613 HRN196613 HHR196613 GXV196613 GNZ196613 GED196613 FUH196613 FKL196613 FAP196613 EQT196613 EGX196613 DXB196613 DNF196613 DDJ196613 CTN196613 CJR196613 BZV196613 BPZ196613 BGD196613 AWH196613 AML196613 ACP196613 ST196613 IX196613 B196613 WVJ131077 WLN131077 WBR131077 VRV131077 VHZ131077 UYD131077 UOH131077 UEL131077 TUP131077 TKT131077 TAX131077 SRB131077 SHF131077 RXJ131077 RNN131077 RDR131077 QTV131077 QJZ131077 QAD131077 PQH131077 PGL131077 OWP131077 OMT131077 OCX131077 NTB131077 NJF131077 MZJ131077 MPN131077 MFR131077 LVV131077 LLZ131077 LCD131077 KSH131077 KIL131077 JYP131077 JOT131077 JEX131077 IVB131077 ILF131077 IBJ131077 HRN131077 HHR131077 GXV131077 GNZ131077 GED131077 FUH131077 FKL131077 FAP131077 EQT131077 EGX131077 DXB131077 DNF131077 DDJ131077 CTN131077 CJR131077 BZV131077 BPZ131077 BGD131077 AWH131077 AML131077 ACP131077 ST131077 IX131077 B131077 WVJ65541 WLN65541 WBR65541 VRV65541 VHZ65541 UYD65541 UOH65541 UEL65541 TUP65541 TKT65541 TAX65541 SRB65541 SHF65541 RXJ65541 RNN65541 RDR65541 QTV65541 QJZ65541 QAD65541 PQH65541 PGL65541 OWP65541 OMT65541 OCX65541 NTB65541 NJF65541 MZJ65541 MPN65541 MFR65541 LVV65541 LLZ65541 LCD65541 KSH65541 KIL65541 JYP65541 JOT65541 JEX65541 IVB65541 ILF65541 IBJ65541 HRN65541 HHR65541 GXV65541 GNZ65541 GED65541 FUH65541 FKL65541 FAP65541 EQT65541 EGX65541 DXB65541 DNF65541 DDJ65541 CTN65541 CJR65541 BZV65541 BPZ65541 BGD65541 AWH65541 AML65541 ACP65541 ST65541 IX65541 B65541 WVJ4 WLN4 WBR4 VRV4 VHZ4 UYD4 UOH4 UEL4 TUP4 TKT4 TAX4 SRB4 SHF4 RXJ4 RNN4 RDR4 QTV4 QJZ4 QAD4 PQH4 PGL4 OWP4 OMT4 OCX4 NTB4 NJF4 MZJ4 MPN4 MFR4 LVV4 LLZ4 LCD4 KSH4 KIL4 JYP4 JOT4 JEX4 IVB4 ILF4 IBJ4 HRN4 HHR4 GXV4 GNZ4 GED4 FUH4 FKL4 FAP4 EQT4 EGX4 DXB4 DNF4 DDJ4 CTN4 CJR4 BZV4 BPZ4 BGD4 AWH4 AML4 ACP4 ST4 IX4" xr:uid="{00000000-0002-0000-0300-000009000000}">
      <formula1>$W$1:$W$2</formula1>
      <formula2>0</formula2>
    </dataValidation>
    <dataValidation allowBlank="1" showInputMessage="1" showErrorMessage="1" prompt="Determines how much to add or subtract._x000a_ 64, 48, 32 or 16 are recommended. _x000a_Whichever is about half of your Satisfaction Range is suggested" sqref="D1 WVL983042 WLP983042 WBT983042 VRX983042 VIB983042 UYF983042 UOJ983042 UEN983042 TUR983042 TKV983042 TAZ983042 SRD983042 SHH983042 RXL983042 RNP983042 RDT983042 QTX983042 QKB983042 QAF983042 PQJ983042 PGN983042 OWR983042 OMV983042 OCZ983042 NTD983042 NJH983042 MZL983042 MPP983042 MFT983042 LVX983042 LMB983042 LCF983042 KSJ983042 KIN983042 JYR983042 JOV983042 JEZ983042 IVD983042 ILH983042 IBL983042 HRP983042 HHT983042 GXX983042 GOB983042 GEF983042 FUJ983042 FKN983042 FAR983042 EQV983042 EGZ983042 DXD983042 DNH983042 DDL983042 CTP983042 CJT983042 BZX983042 BQB983042 BGF983042 AWJ983042 AMN983042 ACR983042 SV983042 IZ983042 D983042 WVL917506 WLP917506 WBT917506 VRX917506 VIB917506 UYF917506 UOJ917506 UEN917506 TUR917506 TKV917506 TAZ917506 SRD917506 SHH917506 RXL917506 RNP917506 RDT917506 QTX917506 QKB917506 QAF917506 PQJ917506 PGN917506 OWR917506 OMV917506 OCZ917506 NTD917506 NJH917506 MZL917506 MPP917506 MFT917506 LVX917506 LMB917506 LCF917506 KSJ917506 KIN917506 JYR917506 JOV917506 JEZ917506 IVD917506 ILH917506 IBL917506 HRP917506 HHT917506 GXX917506 GOB917506 GEF917506 FUJ917506 FKN917506 FAR917506 EQV917506 EGZ917506 DXD917506 DNH917506 DDL917506 CTP917506 CJT917506 BZX917506 BQB917506 BGF917506 AWJ917506 AMN917506 ACR917506 SV917506 IZ917506 D917506 WVL851970 WLP851970 WBT851970 VRX851970 VIB851970 UYF851970 UOJ851970 UEN851970 TUR851970 TKV851970 TAZ851970 SRD851970 SHH851970 RXL851970 RNP851970 RDT851970 QTX851970 QKB851970 QAF851970 PQJ851970 PGN851970 OWR851970 OMV851970 OCZ851970 NTD851970 NJH851970 MZL851970 MPP851970 MFT851970 LVX851970 LMB851970 LCF851970 KSJ851970 KIN851970 JYR851970 JOV851970 JEZ851970 IVD851970 ILH851970 IBL851970 HRP851970 HHT851970 GXX851970 GOB851970 GEF851970 FUJ851970 FKN851970 FAR851970 EQV851970 EGZ851970 DXD851970 DNH851970 DDL851970 CTP851970 CJT851970 BZX851970 BQB851970 BGF851970 AWJ851970 AMN851970 ACR851970 SV851970 IZ851970 D851970 WVL786434 WLP786434 WBT786434 VRX786434 VIB786434 UYF786434 UOJ786434 UEN786434 TUR786434 TKV786434 TAZ786434 SRD786434 SHH786434 RXL786434 RNP786434 RDT786434 QTX786434 QKB786434 QAF786434 PQJ786434 PGN786434 OWR786434 OMV786434 OCZ786434 NTD786434 NJH786434 MZL786434 MPP786434 MFT786434 LVX786434 LMB786434 LCF786434 KSJ786434 KIN786434 JYR786434 JOV786434 JEZ786434 IVD786434 ILH786434 IBL786434 HRP786434 HHT786434 GXX786434 GOB786434 GEF786434 FUJ786434 FKN786434 FAR786434 EQV786434 EGZ786434 DXD786434 DNH786434 DDL786434 CTP786434 CJT786434 BZX786434 BQB786434 BGF786434 AWJ786434 AMN786434 ACR786434 SV786434 IZ786434 D786434 WVL720898 WLP720898 WBT720898 VRX720898 VIB720898 UYF720898 UOJ720898 UEN720898 TUR720898 TKV720898 TAZ720898 SRD720898 SHH720898 RXL720898 RNP720898 RDT720898 QTX720898 QKB720898 QAF720898 PQJ720898 PGN720898 OWR720898 OMV720898 OCZ720898 NTD720898 NJH720898 MZL720898 MPP720898 MFT720898 LVX720898 LMB720898 LCF720898 KSJ720898 KIN720898 JYR720898 JOV720898 JEZ720898 IVD720898 ILH720898 IBL720898 HRP720898 HHT720898 GXX720898 GOB720898 GEF720898 FUJ720898 FKN720898 FAR720898 EQV720898 EGZ720898 DXD720898 DNH720898 DDL720898 CTP720898 CJT720898 BZX720898 BQB720898 BGF720898 AWJ720898 AMN720898 ACR720898 SV720898 IZ720898 D720898 WVL655362 WLP655362 WBT655362 VRX655362 VIB655362 UYF655362 UOJ655362 UEN655362 TUR655362 TKV655362 TAZ655362 SRD655362 SHH655362 RXL655362 RNP655362 RDT655362 QTX655362 QKB655362 QAF655362 PQJ655362 PGN655362 OWR655362 OMV655362 OCZ655362 NTD655362 NJH655362 MZL655362 MPP655362 MFT655362 LVX655362 LMB655362 LCF655362 KSJ655362 KIN655362 JYR655362 JOV655362 JEZ655362 IVD655362 ILH655362 IBL655362 HRP655362 HHT655362 GXX655362 GOB655362 GEF655362 FUJ655362 FKN655362 FAR655362 EQV655362 EGZ655362 DXD655362 DNH655362 DDL655362 CTP655362 CJT655362 BZX655362 BQB655362 BGF655362 AWJ655362 AMN655362 ACR655362 SV655362 IZ655362 D655362 WVL589826 WLP589826 WBT589826 VRX589826 VIB589826 UYF589826 UOJ589826 UEN589826 TUR589826 TKV589826 TAZ589826 SRD589826 SHH589826 RXL589826 RNP589826 RDT589826 QTX589826 QKB589826 QAF589826 PQJ589826 PGN589826 OWR589826 OMV589826 OCZ589826 NTD589826 NJH589826 MZL589826 MPP589826 MFT589826 LVX589826 LMB589826 LCF589826 KSJ589826 KIN589826 JYR589826 JOV589826 JEZ589826 IVD589826 ILH589826 IBL589826 HRP589826 HHT589826 GXX589826 GOB589826 GEF589826 FUJ589826 FKN589826 FAR589826 EQV589826 EGZ589826 DXD589826 DNH589826 DDL589826 CTP589826 CJT589826 BZX589826 BQB589826 BGF589826 AWJ589826 AMN589826 ACR589826 SV589826 IZ589826 D589826 WVL524290 WLP524290 WBT524290 VRX524290 VIB524290 UYF524290 UOJ524290 UEN524290 TUR524290 TKV524290 TAZ524290 SRD524290 SHH524290 RXL524290 RNP524290 RDT524290 QTX524290 QKB524290 QAF524290 PQJ524290 PGN524290 OWR524290 OMV524290 OCZ524290 NTD524290 NJH524290 MZL524290 MPP524290 MFT524290 LVX524290 LMB524290 LCF524290 KSJ524290 KIN524290 JYR524290 JOV524290 JEZ524290 IVD524290 ILH524290 IBL524290 HRP524290 HHT524290 GXX524290 GOB524290 GEF524290 FUJ524290 FKN524290 FAR524290 EQV524290 EGZ524290 DXD524290 DNH524290 DDL524290 CTP524290 CJT524290 BZX524290 BQB524290 BGF524290 AWJ524290 AMN524290 ACR524290 SV524290 IZ524290 D524290 WVL458754 WLP458754 WBT458754 VRX458754 VIB458754 UYF458754 UOJ458754 UEN458754 TUR458754 TKV458754 TAZ458754 SRD458754 SHH458754 RXL458754 RNP458754 RDT458754 QTX458754 QKB458754 QAF458754 PQJ458754 PGN458754 OWR458754 OMV458754 OCZ458754 NTD458754 NJH458754 MZL458754 MPP458754 MFT458754 LVX458754 LMB458754 LCF458754 KSJ458754 KIN458754 JYR458754 JOV458754 JEZ458754 IVD458754 ILH458754 IBL458754 HRP458754 HHT458754 GXX458754 GOB458754 GEF458754 FUJ458754 FKN458754 FAR458754 EQV458754 EGZ458754 DXD458754 DNH458754 DDL458754 CTP458754 CJT458754 BZX458754 BQB458754 BGF458754 AWJ458754 AMN458754 ACR458754 SV458754 IZ458754 D458754 WVL393218 WLP393218 WBT393218 VRX393218 VIB393218 UYF393218 UOJ393218 UEN393218 TUR393218 TKV393218 TAZ393218 SRD393218 SHH393218 RXL393218 RNP393218 RDT393218 QTX393218 QKB393218 QAF393218 PQJ393218 PGN393218 OWR393218 OMV393218 OCZ393218 NTD393218 NJH393218 MZL393218 MPP393218 MFT393218 LVX393218 LMB393218 LCF393218 KSJ393218 KIN393218 JYR393218 JOV393218 JEZ393218 IVD393218 ILH393218 IBL393218 HRP393218 HHT393218 GXX393218 GOB393218 GEF393218 FUJ393218 FKN393218 FAR393218 EQV393218 EGZ393218 DXD393218 DNH393218 DDL393218 CTP393218 CJT393218 BZX393218 BQB393218 BGF393218 AWJ393218 AMN393218 ACR393218 SV393218 IZ393218 D393218 WVL327682 WLP327682 WBT327682 VRX327682 VIB327682 UYF327682 UOJ327682 UEN327682 TUR327682 TKV327682 TAZ327682 SRD327682 SHH327682 RXL327682 RNP327682 RDT327682 QTX327682 QKB327682 QAF327682 PQJ327682 PGN327682 OWR327682 OMV327682 OCZ327682 NTD327682 NJH327682 MZL327682 MPP327682 MFT327682 LVX327682 LMB327682 LCF327682 KSJ327682 KIN327682 JYR327682 JOV327682 JEZ327682 IVD327682 ILH327682 IBL327682 HRP327682 HHT327682 GXX327682 GOB327682 GEF327682 FUJ327682 FKN327682 FAR327682 EQV327682 EGZ327682 DXD327682 DNH327682 DDL327682 CTP327682 CJT327682 BZX327682 BQB327682 BGF327682 AWJ327682 AMN327682 ACR327682 SV327682 IZ327682 D327682 WVL262146 WLP262146 WBT262146 VRX262146 VIB262146 UYF262146 UOJ262146 UEN262146 TUR262146 TKV262146 TAZ262146 SRD262146 SHH262146 RXL262146 RNP262146 RDT262146 QTX262146 QKB262146 QAF262146 PQJ262146 PGN262146 OWR262146 OMV262146 OCZ262146 NTD262146 NJH262146 MZL262146 MPP262146 MFT262146 LVX262146 LMB262146 LCF262146 KSJ262146 KIN262146 JYR262146 JOV262146 JEZ262146 IVD262146 ILH262146 IBL262146 HRP262146 HHT262146 GXX262146 GOB262146 GEF262146 FUJ262146 FKN262146 FAR262146 EQV262146 EGZ262146 DXD262146 DNH262146 DDL262146 CTP262146 CJT262146 BZX262146 BQB262146 BGF262146 AWJ262146 AMN262146 ACR262146 SV262146 IZ262146 D262146 WVL196610 WLP196610 WBT196610 VRX196610 VIB196610 UYF196610 UOJ196610 UEN196610 TUR196610 TKV196610 TAZ196610 SRD196610 SHH196610 RXL196610 RNP196610 RDT196610 QTX196610 QKB196610 QAF196610 PQJ196610 PGN196610 OWR196610 OMV196610 OCZ196610 NTD196610 NJH196610 MZL196610 MPP196610 MFT196610 LVX196610 LMB196610 LCF196610 KSJ196610 KIN196610 JYR196610 JOV196610 JEZ196610 IVD196610 ILH196610 IBL196610 HRP196610 HHT196610 GXX196610 GOB196610 GEF196610 FUJ196610 FKN196610 FAR196610 EQV196610 EGZ196610 DXD196610 DNH196610 DDL196610 CTP196610 CJT196610 BZX196610 BQB196610 BGF196610 AWJ196610 AMN196610 ACR196610 SV196610 IZ196610 D196610 WVL131074 WLP131074 WBT131074 VRX131074 VIB131074 UYF131074 UOJ131074 UEN131074 TUR131074 TKV131074 TAZ131074 SRD131074 SHH131074 RXL131074 RNP131074 RDT131074 QTX131074 QKB131074 QAF131074 PQJ131074 PGN131074 OWR131074 OMV131074 OCZ131074 NTD131074 NJH131074 MZL131074 MPP131074 MFT131074 LVX131074 LMB131074 LCF131074 KSJ131074 KIN131074 JYR131074 JOV131074 JEZ131074 IVD131074 ILH131074 IBL131074 HRP131074 HHT131074 GXX131074 GOB131074 GEF131074 FUJ131074 FKN131074 FAR131074 EQV131074 EGZ131074 DXD131074 DNH131074 DDL131074 CTP131074 CJT131074 BZX131074 BQB131074 BGF131074 AWJ131074 AMN131074 ACR131074 SV131074 IZ131074 D131074 WVL65538 WLP65538 WBT65538 VRX65538 VIB65538 UYF65538 UOJ65538 UEN65538 TUR65538 TKV65538 TAZ65538 SRD65538 SHH65538 RXL65538 RNP65538 RDT65538 QTX65538 QKB65538 QAF65538 PQJ65538 PGN65538 OWR65538 OMV65538 OCZ65538 NTD65538 NJH65538 MZL65538 MPP65538 MFT65538 LVX65538 LMB65538 LCF65538 KSJ65538 KIN65538 JYR65538 JOV65538 JEZ65538 IVD65538 ILH65538 IBL65538 HRP65538 HHT65538 GXX65538 GOB65538 GEF65538 FUJ65538 FKN65538 FAR65538 EQV65538 EGZ65538 DXD65538 DNH65538 DDL65538 CTP65538 CJT65538 BZX65538 BQB65538 BGF65538 AWJ65538 AMN65538 ACR65538 SV65538 IZ65538 D65538 WVL1 WLP1 WBT1 VRX1 VIB1 UYF1 UOJ1 UEN1 TUR1 TKV1 TAZ1 SRD1 SHH1 RXL1 RNP1 RDT1 QTX1 QKB1 QAF1 PQJ1 PGN1 OWR1 OMV1 OCZ1 NTD1 NJH1 MZL1 MPP1 MFT1 LVX1 LMB1 LCF1 KSJ1 KIN1 JYR1 JOV1 JEZ1 IVD1 ILH1 IBL1 HRP1 HHT1 GXX1 GOB1 GEF1 FUJ1 FKN1 FAR1 EQV1 EGZ1 DXD1 DNH1 DDL1 CTP1 CJT1 BZX1 BQB1 BGF1 AWJ1 AMN1 ACR1 SV1 IZ1" xr:uid="{00000000-0002-0000-0300-00000A000000}">
      <formula1>0</formula1>
      <formula2>0</formula2>
    </dataValidation>
    <dataValidation type="list" allowBlank="1" showErrorMessage="1" sqref="WVJ983042 WLN983042 WBR983042 VRV983042 VHZ983042 UYD983042 UOH983042 UEL983042 TUP983042 TKT983042 TAX983042 SRB983042 SHF983042 RXJ983042 RNN983042 RDR983042 QTV983042 QJZ983042 QAD983042 PQH983042 PGL983042 OWP983042 OMT983042 OCX983042 NTB983042 NJF983042 MZJ983042 MPN983042 MFR983042 LVV983042 LLZ983042 LCD983042 KSH983042 KIL983042 JYP983042 JOT983042 JEX983042 IVB983042 ILF983042 IBJ983042 HRN983042 HHR983042 GXV983042 GNZ983042 GED983042 FUH983042 FKL983042 FAP983042 EQT983042 EGX983042 DXB983042 DNF983042 DDJ983042 CTN983042 CJR983042 BZV983042 BPZ983042 BGD983042 AWH983042 AML983042 ACP983042 ST983042 IX983042 B983042 WVJ917506 WLN917506 WBR917506 VRV917506 VHZ917506 UYD917506 UOH917506 UEL917506 TUP917506 TKT917506 TAX917506 SRB917506 SHF917506 RXJ917506 RNN917506 RDR917506 QTV917506 QJZ917506 QAD917506 PQH917506 PGL917506 OWP917506 OMT917506 OCX917506 NTB917506 NJF917506 MZJ917506 MPN917506 MFR917506 LVV917506 LLZ917506 LCD917506 KSH917506 KIL917506 JYP917506 JOT917506 JEX917506 IVB917506 ILF917506 IBJ917506 HRN917506 HHR917506 GXV917506 GNZ917506 GED917506 FUH917506 FKL917506 FAP917506 EQT917506 EGX917506 DXB917506 DNF917506 DDJ917506 CTN917506 CJR917506 BZV917506 BPZ917506 BGD917506 AWH917506 AML917506 ACP917506 ST917506 IX917506 B917506 WVJ851970 WLN851970 WBR851970 VRV851970 VHZ851970 UYD851970 UOH851970 UEL851970 TUP851970 TKT851970 TAX851970 SRB851970 SHF851970 RXJ851970 RNN851970 RDR851970 QTV851970 QJZ851970 QAD851970 PQH851970 PGL851970 OWP851970 OMT851970 OCX851970 NTB851970 NJF851970 MZJ851970 MPN851970 MFR851970 LVV851970 LLZ851970 LCD851970 KSH851970 KIL851970 JYP851970 JOT851970 JEX851970 IVB851970 ILF851970 IBJ851970 HRN851970 HHR851970 GXV851970 GNZ851970 GED851970 FUH851970 FKL851970 FAP851970 EQT851970 EGX851970 DXB851970 DNF851970 DDJ851970 CTN851970 CJR851970 BZV851970 BPZ851970 BGD851970 AWH851970 AML851970 ACP851970 ST851970 IX851970 B851970 WVJ786434 WLN786434 WBR786434 VRV786434 VHZ786434 UYD786434 UOH786434 UEL786434 TUP786434 TKT786434 TAX786434 SRB786434 SHF786434 RXJ786434 RNN786434 RDR786434 QTV786434 QJZ786434 QAD786434 PQH786434 PGL786434 OWP786434 OMT786434 OCX786434 NTB786434 NJF786434 MZJ786434 MPN786434 MFR786434 LVV786434 LLZ786434 LCD786434 KSH786434 KIL786434 JYP786434 JOT786434 JEX786434 IVB786434 ILF786434 IBJ786434 HRN786434 HHR786434 GXV786434 GNZ786434 GED786434 FUH786434 FKL786434 FAP786434 EQT786434 EGX786434 DXB786434 DNF786434 DDJ786434 CTN786434 CJR786434 BZV786434 BPZ786434 BGD786434 AWH786434 AML786434 ACP786434 ST786434 IX786434 B786434 WVJ720898 WLN720898 WBR720898 VRV720898 VHZ720898 UYD720898 UOH720898 UEL720898 TUP720898 TKT720898 TAX720898 SRB720898 SHF720898 RXJ720898 RNN720898 RDR720898 QTV720898 QJZ720898 QAD720898 PQH720898 PGL720898 OWP720898 OMT720898 OCX720898 NTB720898 NJF720898 MZJ720898 MPN720898 MFR720898 LVV720898 LLZ720898 LCD720898 KSH720898 KIL720898 JYP720898 JOT720898 JEX720898 IVB720898 ILF720898 IBJ720898 HRN720898 HHR720898 GXV720898 GNZ720898 GED720898 FUH720898 FKL720898 FAP720898 EQT720898 EGX720898 DXB720898 DNF720898 DDJ720898 CTN720898 CJR720898 BZV720898 BPZ720898 BGD720898 AWH720898 AML720898 ACP720898 ST720898 IX720898 B720898 WVJ655362 WLN655362 WBR655362 VRV655362 VHZ655362 UYD655362 UOH655362 UEL655362 TUP655362 TKT655362 TAX655362 SRB655362 SHF655362 RXJ655362 RNN655362 RDR655362 QTV655362 QJZ655362 QAD655362 PQH655362 PGL655362 OWP655362 OMT655362 OCX655362 NTB655362 NJF655362 MZJ655362 MPN655362 MFR655362 LVV655362 LLZ655362 LCD655362 KSH655362 KIL655362 JYP655362 JOT655362 JEX655362 IVB655362 ILF655362 IBJ655362 HRN655362 HHR655362 GXV655362 GNZ655362 GED655362 FUH655362 FKL655362 FAP655362 EQT655362 EGX655362 DXB655362 DNF655362 DDJ655362 CTN655362 CJR655362 BZV655362 BPZ655362 BGD655362 AWH655362 AML655362 ACP655362 ST655362 IX655362 B655362 WVJ589826 WLN589826 WBR589826 VRV589826 VHZ589826 UYD589826 UOH589826 UEL589826 TUP589826 TKT589826 TAX589826 SRB589826 SHF589826 RXJ589826 RNN589826 RDR589826 QTV589826 QJZ589826 QAD589826 PQH589826 PGL589826 OWP589826 OMT589826 OCX589826 NTB589826 NJF589826 MZJ589826 MPN589826 MFR589826 LVV589826 LLZ589826 LCD589826 KSH589826 KIL589826 JYP589826 JOT589826 JEX589826 IVB589826 ILF589826 IBJ589826 HRN589826 HHR589826 GXV589826 GNZ589826 GED589826 FUH589826 FKL589826 FAP589826 EQT589826 EGX589826 DXB589826 DNF589826 DDJ589826 CTN589826 CJR589826 BZV589826 BPZ589826 BGD589826 AWH589826 AML589826 ACP589826 ST589826 IX589826 B589826 WVJ524290 WLN524290 WBR524290 VRV524290 VHZ524290 UYD524290 UOH524290 UEL524290 TUP524290 TKT524290 TAX524290 SRB524290 SHF524290 RXJ524290 RNN524290 RDR524290 QTV524290 QJZ524290 QAD524290 PQH524290 PGL524290 OWP524290 OMT524290 OCX524290 NTB524290 NJF524290 MZJ524290 MPN524290 MFR524290 LVV524290 LLZ524290 LCD524290 KSH524290 KIL524290 JYP524290 JOT524290 JEX524290 IVB524290 ILF524290 IBJ524290 HRN524290 HHR524290 GXV524290 GNZ524290 GED524290 FUH524290 FKL524290 FAP524290 EQT524290 EGX524290 DXB524290 DNF524290 DDJ524290 CTN524290 CJR524290 BZV524290 BPZ524290 BGD524290 AWH524290 AML524290 ACP524290 ST524290 IX524290 B524290 WVJ458754 WLN458754 WBR458754 VRV458754 VHZ458754 UYD458754 UOH458754 UEL458754 TUP458754 TKT458754 TAX458754 SRB458754 SHF458754 RXJ458754 RNN458754 RDR458754 QTV458754 QJZ458754 QAD458754 PQH458754 PGL458754 OWP458754 OMT458754 OCX458754 NTB458754 NJF458754 MZJ458754 MPN458754 MFR458754 LVV458754 LLZ458754 LCD458754 KSH458754 KIL458754 JYP458754 JOT458754 JEX458754 IVB458754 ILF458754 IBJ458754 HRN458754 HHR458754 GXV458754 GNZ458754 GED458754 FUH458754 FKL458754 FAP458754 EQT458754 EGX458754 DXB458754 DNF458754 DDJ458754 CTN458754 CJR458754 BZV458754 BPZ458754 BGD458754 AWH458754 AML458754 ACP458754 ST458754 IX458754 B458754 WVJ393218 WLN393218 WBR393218 VRV393218 VHZ393218 UYD393218 UOH393218 UEL393218 TUP393218 TKT393218 TAX393218 SRB393218 SHF393218 RXJ393218 RNN393218 RDR393218 QTV393218 QJZ393218 QAD393218 PQH393218 PGL393218 OWP393218 OMT393218 OCX393218 NTB393218 NJF393218 MZJ393218 MPN393218 MFR393218 LVV393218 LLZ393218 LCD393218 KSH393218 KIL393218 JYP393218 JOT393218 JEX393218 IVB393218 ILF393218 IBJ393218 HRN393218 HHR393218 GXV393218 GNZ393218 GED393218 FUH393218 FKL393218 FAP393218 EQT393218 EGX393218 DXB393218 DNF393218 DDJ393218 CTN393218 CJR393218 BZV393218 BPZ393218 BGD393218 AWH393218 AML393218 ACP393218 ST393218 IX393218 B393218 WVJ327682 WLN327682 WBR327682 VRV327682 VHZ327682 UYD327682 UOH327682 UEL327682 TUP327682 TKT327682 TAX327682 SRB327682 SHF327682 RXJ327682 RNN327682 RDR327682 QTV327682 QJZ327682 QAD327682 PQH327682 PGL327682 OWP327682 OMT327682 OCX327682 NTB327682 NJF327682 MZJ327682 MPN327682 MFR327682 LVV327682 LLZ327682 LCD327682 KSH327682 KIL327682 JYP327682 JOT327682 JEX327682 IVB327682 ILF327682 IBJ327682 HRN327682 HHR327682 GXV327682 GNZ327682 GED327682 FUH327682 FKL327682 FAP327682 EQT327682 EGX327682 DXB327682 DNF327682 DDJ327682 CTN327682 CJR327682 BZV327682 BPZ327682 BGD327682 AWH327682 AML327682 ACP327682 ST327682 IX327682 B327682 WVJ262146 WLN262146 WBR262146 VRV262146 VHZ262146 UYD262146 UOH262146 UEL262146 TUP262146 TKT262146 TAX262146 SRB262146 SHF262146 RXJ262146 RNN262146 RDR262146 QTV262146 QJZ262146 QAD262146 PQH262146 PGL262146 OWP262146 OMT262146 OCX262146 NTB262146 NJF262146 MZJ262146 MPN262146 MFR262146 LVV262146 LLZ262146 LCD262146 KSH262146 KIL262146 JYP262146 JOT262146 JEX262146 IVB262146 ILF262146 IBJ262146 HRN262146 HHR262146 GXV262146 GNZ262146 GED262146 FUH262146 FKL262146 FAP262146 EQT262146 EGX262146 DXB262146 DNF262146 DDJ262146 CTN262146 CJR262146 BZV262146 BPZ262146 BGD262146 AWH262146 AML262146 ACP262146 ST262146 IX262146 B262146 WVJ196610 WLN196610 WBR196610 VRV196610 VHZ196610 UYD196610 UOH196610 UEL196610 TUP196610 TKT196610 TAX196610 SRB196610 SHF196610 RXJ196610 RNN196610 RDR196610 QTV196610 QJZ196610 QAD196610 PQH196610 PGL196610 OWP196610 OMT196610 OCX196610 NTB196610 NJF196610 MZJ196610 MPN196610 MFR196610 LVV196610 LLZ196610 LCD196610 KSH196610 KIL196610 JYP196610 JOT196610 JEX196610 IVB196610 ILF196610 IBJ196610 HRN196610 HHR196610 GXV196610 GNZ196610 GED196610 FUH196610 FKL196610 FAP196610 EQT196610 EGX196610 DXB196610 DNF196610 DDJ196610 CTN196610 CJR196610 BZV196610 BPZ196610 BGD196610 AWH196610 AML196610 ACP196610 ST196610 IX196610 B196610 WVJ131074 WLN131074 WBR131074 VRV131074 VHZ131074 UYD131074 UOH131074 UEL131074 TUP131074 TKT131074 TAX131074 SRB131074 SHF131074 RXJ131074 RNN131074 RDR131074 QTV131074 QJZ131074 QAD131074 PQH131074 PGL131074 OWP131074 OMT131074 OCX131074 NTB131074 NJF131074 MZJ131074 MPN131074 MFR131074 LVV131074 LLZ131074 LCD131074 KSH131074 KIL131074 JYP131074 JOT131074 JEX131074 IVB131074 ILF131074 IBJ131074 HRN131074 HHR131074 GXV131074 GNZ131074 GED131074 FUH131074 FKL131074 FAP131074 EQT131074 EGX131074 DXB131074 DNF131074 DDJ131074 CTN131074 CJR131074 BZV131074 BPZ131074 BGD131074 AWH131074 AML131074 ACP131074 ST131074 IX131074 B131074 WVJ65538 WLN65538 WBR65538 VRV65538 VHZ65538 UYD65538 UOH65538 UEL65538 TUP65538 TKT65538 TAX65538 SRB65538 SHF65538 RXJ65538 RNN65538 RDR65538 QTV65538 QJZ65538 QAD65538 PQH65538 PGL65538 OWP65538 OMT65538 OCX65538 NTB65538 NJF65538 MZJ65538 MPN65538 MFR65538 LVV65538 LLZ65538 LCD65538 KSH65538 KIL65538 JYP65538 JOT65538 JEX65538 IVB65538 ILF65538 IBJ65538 HRN65538 HHR65538 GXV65538 GNZ65538 GED65538 FUH65538 FKL65538 FAP65538 EQT65538 EGX65538 DXB65538 DNF65538 DDJ65538 CTN65538 CJR65538 BZV65538 BPZ65538 BGD65538 AWH65538 AML65538 ACP65538 ST65538 IX65538 B65538 WVJ1 WLN1 WBR1 VRV1 VHZ1 UYD1 UOH1 UEL1 TUP1 TKT1 TAX1 SRB1 SHF1 RXJ1 RNN1 RDR1 QTV1 QJZ1 QAD1 PQH1 PGL1 OWP1 OMT1 OCX1 NTB1 NJF1 MZJ1 MPN1 MFR1 LVV1 LLZ1 LCD1 KSH1 KIL1 JYP1 JOT1 JEX1 IVB1 ILF1 IBJ1 HRN1 HHR1 GXV1 GNZ1 GED1 FUH1 FKL1 FAP1 EQT1 EGX1 DXB1 DNF1 DDJ1 CTN1 CJR1 BZV1 BPZ1 BGD1 AWH1 AML1 ACP1 ST1 IX1" xr:uid="{00000000-0002-0000-0300-000007000000}">
      <formula1>$V$1:$V$63</formula1>
      <formula2>0</formula2>
    </dataValidation>
    <dataValidation type="list" allowBlank="1" showErrorMessage="1" sqref="B1" xr:uid="{00000000-0002-0000-0300-00000B000000}">
      <formula1>$V$1:$V$82</formula1>
    </dataValidation>
  </dataValidations>
  <pageMargins left="0.7" right="0.7" top="0.75" bottom="0.75" header="0.3" footer="0.3"/>
  <pageSetup paperSize="9"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U96"/>
  <sheetViews>
    <sheetView workbookViewId="0">
      <pane ySplit="1" topLeftCell="A68" activePane="bottomLeft" state="frozen"/>
      <selection pane="bottomLeft" activeCell="B89" sqref="B89"/>
    </sheetView>
  </sheetViews>
  <sheetFormatPr defaultRowHeight="15" x14ac:dyDescent="0.25"/>
  <cols>
    <col min="1" max="1" width="16.5703125" customWidth="1"/>
    <col min="2" max="2" width="14" customWidth="1"/>
    <col min="3" max="3" width="12.7109375" customWidth="1"/>
    <col min="4" max="4" width="10.7109375" customWidth="1"/>
    <col min="5" max="5" width="14.28515625" customWidth="1"/>
    <col min="6" max="6" width="13.140625" customWidth="1"/>
    <col min="7" max="7" width="8.7109375" customWidth="1"/>
    <col min="8" max="8" width="11.140625" customWidth="1"/>
    <col min="9" max="9" width="11.85546875" customWidth="1"/>
    <col min="10" max="10" width="14.5703125" customWidth="1"/>
    <col min="11" max="11" width="19.42578125" customWidth="1"/>
    <col min="12" max="12" width="13.7109375" customWidth="1"/>
    <col min="13" max="13" width="15.140625" customWidth="1"/>
    <col min="14" max="14" width="15.85546875" customWidth="1"/>
    <col min="15" max="15" width="16.42578125" customWidth="1"/>
    <col min="16" max="16" width="14.140625" customWidth="1"/>
    <col min="17" max="17" width="22" customWidth="1"/>
    <col min="18" max="18" width="19.85546875" customWidth="1"/>
    <col min="19" max="19" width="14.42578125" customWidth="1"/>
    <col min="20" max="20" width="22" customWidth="1"/>
  </cols>
  <sheetData>
    <row r="1" spans="1:19" x14ac:dyDescent="0.25">
      <c r="A1" t="s">
        <v>168</v>
      </c>
      <c r="B1" t="s">
        <v>498</v>
      </c>
      <c r="C1" t="s">
        <v>497</v>
      </c>
      <c r="D1" t="s">
        <v>496</v>
      </c>
      <c r="E1" t="s">
        <v>266</v>
      </c>
      <c r="F1" t="s">
        <v>495</v>
      </c>
      <c r="G1" t="s">
        <v>328</v>
      </c>
      <c r="H1" t="s">
        <v>330</v>
      </c>
      <c r="I1" t="s">
        <v>2</v>
      </c>
      <c r="J1" t="s">
        <v>494</v>
      </c>
      <c r="K1" t="s">
        <v>493</v>
      </c>
      <c r="L1" t="s">
        <v>258</v>
      </c>
      <c r="M1" t="s">
        <v>11</v>
      </c>
      <c r="N1" t="s">
        <v>2</v>
      </c>
      <c r="O1" t="s">
        <v>3</v>
      </c>
      <c r="P1" t="s">
        <v>295</v>
      </c>
      <c r="Q1" t="s">
        <v>5</v>
      </c>
      <c r="R1" t="s">
        <v>492</v>
      </c>
      <c r="S1" t="s">
        <v>491</v>
      </c>
    </row>
    <row r="2" spans="1:19" x14ac:dyDescent="0.25">
      <c r="A2" t="s">
        <v>48</v>
      </c>
      <c r="B2">
        <v>7.3699999999999998E-3</v>
      </c>
      <c r="C2">
        <v>71</v>
      </c>
      <c r="D2">
        <v>21</v>
      </c>
      <c r="E2">
        <v>203</v>
      </c>
      <c r="F2">
        <v>20</v>
      </c>
      <c r="G2">
        <v>83</v>
      </c>
      <c r="H2">
        <v>95</v>
      </c>
      <c r="I2">
        <v>7</v>
      </c>
      <c r="J2">
        <v>7</v>
      </c>
      <c r="K2">
        <v>14.07</v>
      </c>
      <c r="L2">
        <v>216.6</v>
      </c>
      <c r="M2">
        <v>332</v>
      </c>
      <c r="N2">
        <v>773</v>
      </c>
      <c r="O2">
        <v>675</v>
      </c>
      <c r="P2">
        <v>802</v>
      </c>
      <c r="Q2">
        <v>553</v>
      </c>
      <c r="R2">
        <v>4.3250000000000002</v>
      </c>
      <c r="S2" t="s">
        <v>143</v>
      </c>
    </row>
    <row r="3" spans="1:19" x14ac:dyDescent="0.25">
      <c r="A3" t="s">
        <v>49</v>
      </c>
      <c r="B3">
        <v>8.0300000000000007E-3</v>
      </c>
      <c r="C3">
        <v>79</v>
      </c>
      <c r="D3">
        <v>19.5</v>
      </c>
      <c r="E3">
        <v>156</v>
      </c>
      <c r="F3">
        <v>7</v>
      </c>
      <c r="G3">
        <v>21</v>
      </c>
      <c r="H3">
        <v>32</v>
      </c>
      <c r="I3">
        <v>6</v>
      </c>
      <c r="J3">
        <v>6</v>
      </c>
      <c r="K3">
        <v>54.42</v>
      </c>
      <c r="L3">
        <v>198</v>
      </c>
      <c r="M3">
        <v>624</v>
      </c>
      <c r="N3">
        <v>528</v>
      </c>
      <c r="O3">
        <v>369</v>
      </c>
      <c r="P3">
        <v>560</v>
      </c>
      <c r="Q3">
        <v>719</v>
      </c>
      <c r="R3">
        <v>3.78</v>
      </c>
      <c r="S3" t="s">
        <v>143</v>
      </c>
    </row>
    <row r="4" spans="1:19" x14ac:dyDescent="0.25">
      <c r="A4" t="s">
        <v>50</v>
      </c>
      <c r="B4">
        <v>7.4609999999999998E-3</v>
      </c>
      <c r="C4">
        <v>70</v>
      </c>
      <c r="D4">
        <v>13.5</v>
      </c>
      <c r="E4">
        <v>179</v>
      </c>
      <c r="F4">
        <v>28</v>
      </c>
      <c r="G4">
        <v>54</v>
      </c>
      <c r="H4">
        <v>64</v>
      </c>
      <c r="I4">
        <v>5</v>
      </c>
      <c r="J4">
        <v>6</v>
      </c>
      <c r="K4">
        <v>94</v>
      </c>
      <c r="L4">
        <v>212.4</v>
      </c>
      <c r="M4">
        <v>367</v>
      </c>
      <c r="N4">
        <v>725</v>
      </c>
      <c r="O4">
        <v>778</v>
      </c>
      <c r="P4">
        <v>622</v>
      </c>
      <c r="Q4">
        <v>199</v>
      </c>
      <c r="R4">
        <v>4.0259999999999998</v>
      </c>
      <c r="S4" t="s">
        <v>143</v>
      </c>
    </row>
    <row r="5" spans="1:19" x14ac:dyDescent="0.25">
      <c r="A5" t="s">
        <v>785</v>
      </c>
      <c r="B5">
        <v>2.0615379999999999E-2</v>
      </c>
      <c r="C5">
        <v>56</v>
      </c>
      <c r="D5">
        <v>17.5</v>
      </c>
      <c r="R5">
        <v>5.516</v>
      </c>
      <c r="S5" t="s">
        <v>143</v>
      </c>
    </row>
    <row r="6" spans="1:19" x14ac:dyDescent="0.25">
      <c r="A6" t="s">
        <v>871</v>
      </c>
      <c r="B6">
        <v>2.6153845999999999E-3</v>
      </c>
      <c r="C6">
        <v>64</v>
      </c>
      <c r="D6">
        <v>13</v>
      </c>
      <c r="E6">
        <v>183</v>
      </c>
      <c r="F6">
        <v>2</v>
      </c>
      <c r="G6">
        <v>94</v>
      </c>
      <c r="H6">
        <v>59</v>
      </c>
      <c r="I6">
        <v>5</v>
      </c>
      <c r="J6">
        <v>5</v>
      </c>
      <c r="K6">
        <v>51</v>
      </c>
      <c r="M6">
        <v>451</v>
      </c>
      <c r="N6">
        <v>681</v>
      </c>
      <c r="O6">
        <v>435</v>
      </c>
      <c r="P6">
        <v>243</v>
      </c>
      <c r="Q6">
        <v>873</v>
      </c>
      <c r="R6">
        <v>4.88</v>
      </c>
      <c r="S6" t="s">
        <v>147</v>
      </c>
    </row>
    <row r="7" spans="1:19" x14ac:dyDescent="0.25">
      <c r="A7" t="s">
        <v>841</v>
      </c>
      <c r="B7">
        <v>2.7275859999999999E-2</v>
      </c>
      <c r="C7">
        <v>51</v>
      </c>
      <c r="D7">
        <v>17</v>
      </c>
      <c r="L7">
        <v>253.2</v>
      </c>
      <c r="M7">
        <v>533</v>
      </c>
      <c r="N7">
        <v>649</v>
      </c>
      <c r="O7">
        <v>747</v>
      </c>
      <c r="P7">
        <v>680</v>
      </c>
      <c r="Q7">
        <v>933</v>
      </c>
      <c r="R7">
        <v>6.0060000000000002</v>
      </c>
      <c r="S7" t="s">
        <v>139</v>
      </c>
    </row>
    <row r="8" spans="1:19" x14ac:dyDescent="0.25">
      <c r="A8" s="445" t="s">
        <v>51</v>
      </c>
      <c r="B8">
        <v>1.286E-2</v>
      </c>
      <c r="C8">
        <v>65</v>
      </c>
      <c r="D8">
        <v>21</v>
      </c>
      <c r="E8">
        <v>209</v>
      </c>
      <c r="F8">
        <v>44</v>
      </c>
      <c r="G8">
        <v>97</v>
      </c>
      <c r="H8">
        <v>107</v>
      </c>
      <c r="I8">
        <v>6</v>
      </c>
      <c r="J8">
        <v>7</v>
      </c>
      <c r="K8">
        <v>41.75</v>
      </c>
      <c r="L8">
        <v>214.7</v>
      </c>
      <c r="M8">
        <v>488</v>
      </c>
      <c r="N8">
        <v>721</v>
      </c>
      <c r="O8">
        <v>509</v>
      </c>
      <c r="P8">
        <v>684</v>
      </c>
      <c r="Q8">
        <v>368</v>
      </c>
      <c r="R8">
        <v>4.7279999999999998</v>
      </c>
      <c r="S8" t="s">
        <v>143</v>
      </c>
    </row>
    <row r="9" spans="1:19" x14ac:dyDescent="0.25">
      <c r="A9" t="s">
        <v>52</v>
      </c>
      <c r="B9">
        <v>7.7499999999999999E-3</v>
      </c>
      <c r="C9">
        <v>75</v>
      </c>
      <c r="D9">
        <v>25.5</v>
      </c>
      <c r="E9">
        <v>230</v>
      </c>
      <c r="F9">
        <v>0</v>
      </c>
      <c r="G9">
        <v>162</v>
      </c>
      <c r="H9">
        <v>163</v>
      </c>
      <c r="I9">
        <v>7</v>
      </c>
      <c r="J9">
        <v>6</v>
      </c>
      <c r="K9">
        <v>32.840000000000003</v>
      </c>
      <c r="L9">
        <v>197.4</v>
      </c>
      <c r="M9">
        <v>517</v>
      </c>
      <c r="N9">
        <v>686</v>
      </c>
      <c r="O9">
        <v>390</v>
      </c>
      <c r="P9">
        <v>723</v>
      </c>
      <c r="Q9">
        <v>705</v>
      </c>
      <c r="R9">
        <v>4.2069999999999999</v>
      </c>
      <c r="S9" t="s">
        <v>147</v>
      </c>
    </row>
    <row r="10" spans="1:19" x14ac:dyDescent="0.25">
      <c r="A10" t="s">
        <v>53</v>
      </c>
      <c r="B10">
        <v>1.2E-2</v>
      </c>
      <c r="C10">
        <v>55</v>
      </c>
      <c r="D10">
        <v>13.5</v>
      </c>
      <c r="E10">
        <v>250</v>
      </c>
      <c r="F10">
        <v>0</v>
      </c>
      <c r="G10">
        <v>117</v>
      </c>
      <c r="H10">
        <v>166</v>
      </c>
      <c r="I10">
        <v>6</v>
      </c>
      <c r="J10">
        <v>6</v>
      </c>
      <c r="K10">
        <v>18.07</v>
      </c>
      <c r="L10">
        <v>213</v>
      </c>
      <c r="M10">
        <v>610</v>
      </c>
      <c r="N10">
        <v>594</v>
      </c>
      <c r="O10">
        <v>612</v>
      </c>
      <c r="P10">
        <v>810</v>
      </c>
      <c r="Q10">
        <v>938</v>
      </c>
      <c r="R10">
        <v>5.4749999999999996</v>
      </c>
      <c r="S10" t="s">
        <v>143</v>
      </c>
    </row>
    <row r="11" spans="1:19" x14ac:dyDescent="0.25">
      <c r="A11" t="s">
        <v>829</v>
      </c>
      <c r="B11">
        <v>1.4E-2</v>
      </c>
      <c r="C11">
        <v>42</v>
      </c>
      <c r="D11">
        <v>17</v>
      </c>
      <c r="E11">
        <v>201</v>
      </c>
      <c r="F11">
        <v>140</v>
      </c>
      <c r="G11">
        <v>31</v>
      </c>
      <c r="H11">
        <v>78</v>
      </c>
      <c r="I11">
        <v>1</v>
      </c>
      <c r="J11">
        <v>2</v>
      </c>
      <c r="K11">
        <v>1</v>
      </c>
      <c r="L11">
        <v>249.4</v>
      </c>
      <c r="M11">
        <v>849</v>
      </c>
      <c r="N11">
        <v>561</v>
      </c>
      <c r="O11">
        <v>694</v>
      </c>
      <c r="P11">
        <v>526</v>
      </c>
      <c r="Q11">
        <v>537</v>
      </c>
      <c r="R11">
        <v>7.2809999999999997</v>
      </c>
      <c r="S11" t="s">
        <v>143</v>
      </c>
    </row>
    <row r="12" spans="1:19" x14ac:dyDescent="0.25">
      <c r="A12" t="s">
        <v>159</v>
      </c>
      <c r="B12">
        <v>1.6899999999999998E-2</v>
      </c>
      <c r="C12">
        <v>57</v>
      </c>
      <c r="D12">
        <v>14</v>
      </c>
      <c r="E12">
        <v>208</v>
      </c>
      <c r="F12">
        <v>7</v>
      </c>
      <c r="G12">
        <v>31</v>
      </c>
      <c r="H12">
        <v>43</v>
      </c>
      <c r="I12">
        <v>6</v>
      </c>
      <c r="J12">
        <v>6</v>
      </c>
      <c r="K12">
        <v>46.4</v>
      </c>
      <c r="L12">
        <v>210</v>
      </c>
      <c r="M12">
        <v>530</v>
      </c>
      <c r="N12">
        <v>530</v>
      </c>
      <c r="O12">
        <v>390</v>
      </c>
      <c r="P12">
        <v>577</v>
      </c>
      <c r="Q12">
        <v>550</v>
      </c>
      <c r="R12">
        <v>5.4039999999999999</v>
      </c>
      <c r="S12" t="s">
        <v>151</v>
      </c>
    </row>
    <row r="13" spans="1:19" x14ac:dyDescent="0.25">
      <c r="A13" t="s">
        <v>54</v>
      </c>
      <c r="B13">
        <v>1.4200000000000001E-2</v>
      </c>
      <c r="C13">
        <v>72</v>
      </c>
      <c r="D13">
        <v>19.5</v>
      </c>
      <c r="E13">
        <v>132</v>
      </c>
      <c r="F13">
        <v>14</v>
      </c>
      <c r="G13">
        <v>19</v>
      </c>
      <c r="H13">
        <v>31</v>
      </c>
      <c r="I13">
        <v>6</v>
      </c>
      <c r="J13">
        <v>6</v>
      </c>
      <c r="K13">
        <v>18.7</v>
      </c>
      <c r="L13">
        <v>198</v>
      </c>
      <c r="M13">
        <v>860</v>
      </c>
      <c r="N13">
        <v>543</v>
      </c>
      <c r="O13">
        <v>280</v>
      </c>
      <c r="P13">
        <v>668</v>
      </c>
      <c r="Q13">
        <v>775</v>
      </c>
      <c r="R13">
        <v>4.258</v>
      </c>
      <c r="S13" t="s">
        <v>151</v>
      </c>
    </row>
    <row r="14" spans="1:19" x14ac:dyDescent="0.25">
      <c r="A14" t="s">
        <v>55</v>
      </c>
      <c r="B14">
        <v>1.0125E-2</v>
      </c>
      <c r="C14">
        <v>70</v>
      </c>
      <c r="D14">
        <v>22.5</v>
      </c>
      <c r="E14">
        <v>249</v>
      </c>
      <c r="F14">
        <v>5</v>
      </c>
      <c r="G14">
        <v>143</v>
      </c>
      <c r="H14">
        <v>101</v>
      </c>
      <c r="I14">
        <v>6</v>
      </c>
      <c r="J14">
        <v>7</v>
      </c>
      <c r="K14">
        <v>14.59</v>
      </c>
      <c r="L14">
        <v>199</v>
      </c>
      <c r="M14">
        <v>492</v>
      </c>
      <c r="N14">
        <v>710</v>
      </c>
      <c r="O14">
        <v>310</v>
      </c>
      <c r="P14">
        <v>725</v>
      </c>
      <c r="Q14">
        <v>644</v>
      </c>
      <c r="R14">
        <v>4.3600000000000003</v>
      </c>
      <c r="S14" t="s">
        <v>143</v>
      </c>
    </row>
    <row r="15" spans="1:19" x14ac:dyDescent="0.25">
      <c r="A15" t="s">
        <v>56</v>
      </c>
      <c r="B15">
        <v>8.5900000000000004E-3</v>
      </c>
      <c r="C15">
        <v>79</v>
      </c>
      <c r="D15">
        <v>16.5</v>
      </c>
      <c r="E15">
        <v>250</v>
      </c>
      <c r="F15">
        <v>0</v>
      </c>
      <c r="G15">
        <v>115</v>
      </c>
      <c r="H15">
        <v>163</v>
      </c>
      <c r="I15">
        <v>5</v>
      </c>
      <c r="J15">
        <v>7</v>
      </c>
      <c r="K15">
        <v>15.87</v>
      </c>
      <c r="L15">
        <v>176.8</v>
      </c>
      <c r="M15">
        <v>499</v>
      </c>
      <c r="N15">
        <v>815</v>
      </c>
      <c r="O15">
        <v>259</v>
      </c>
      <c r="P15">
        <v>334</v>
      </c>
      <c r="Q15">
        <v>998</v>
      </c>
      <c r="R15">
        <v>3.02</v>
      </c>
      <c r="S15" t="s">
        <v>151</v>
      </c>
    </row>
    <row r="16" spans="1:19" x14ac:dyDescent="0.25">
      <c r="A16" t="s">
        <v>57</v>
      </c>
      <c r="B16">
        <v>1.3650000000000001E-2</v>
      </c>
      <c r="C16">
        <v>67</v>
      </c>
      <c r="D16">
        <v>18.5</v>
      </c>
      <c r="E16">
        <v>246</v>
      </c>
      <c r="F16">
        <v>3</v>
      </c>
      <c r="G16">
        <v>71</v>
      </c>
      <c r="H16">
        <v>130</v>
      </c>
      <c r="I16">
        <v>5</v>
      </c>
      <c r="J16">
        <v>5</v>
      </c>
      <c r="K16">
        <v>28.25</v>
      </c>
      <c r="L16">
        <v>208.4</v>
      </c>
      <c r="M16">
        <v>360</v>
      </c>
      <c r="N16">
        <v>630</v>
      </c>
      <c r="O16">
        <v>645</v>
      </c>
      <c r="P16">
        <v>706</v>
      </c>
      <c r="Q16">
        <v>571</v>
      </c>
      <c r="R16">
        <v>4.5579999999999998</v>
      </c>
      <c r="S16" t="s">
        <v>143</v>
      </c>
    </row>
    <row r="17" spans="1:19" x14ac:dyDescent="0.25">
      <c r="A17" t="s">
        <v>834</v>
      </c>
      <c r="B17">
        <v>1.4333E-2</v>
      </c>
      <c r="C17">
        <v>74</v>
      </c>
      <c r="D17">
        <v>13</v>
      </c>
      <c r="E17">
        <v>209</v>
      </c>
      <c r="F17">
        <v>0</v>
      </c>
      <c r="G17">
        <v>38</v>
      </c>
      <c r="H17">
        <v>86</v>
      </c>
      <c r="I17">
        <v>1</v>
      </c>
      <c r="J17">
        <v>1</v>
      </c>
      <c r="K17">
        <v>19</v>
      </c>
      <c r="L17">
        <v>235.4</v>
      </c>
      <c r="M17">
        <v>631</v>
      </c>
      <c r="N17">
        <v>331</v>
      </c>
      <c r="O17">
        <v>595</v>
      </c>
      <c r="P17">
        <v>805</v>
      </c>
      <c r="Q17">
        <v>563</v>
      </c>
      <c r="R17">
        <v>4.1680000000000001</v>
      </c>
      <c r="S17" t="s">
        <v>139</v>
      </c>
    </row>
    <row r="18" spans="1:19" x14ac:dyDescent="0.25">
      <c r="A18" t="s">
        <v>58</v>
      </c>
      <c r="B18">
        <v>1.035E-2</v>
      </c>
      <c r="C18">
        <v>67</v>
      </c>
      <c r="D18">
        <v>16.5</v>
      </c>
      <c r="E18">
        <v>192</v>
      </c>
      <c r="F18">
        <v>16</v>
      </c>
      <c r="G18">
        <v>75</v>
      </c>
      <c r="H18">
        <v>89</v>
      </c>
      <c r="I18">
        <v>6</v>
      </c>
      <c r="J18">
        <v>6</v>
      </c>
      <c r="K18">
        <v>17.27</v>
      </c>
      <c r="L18">
        <v>216.4</v>
      </c>
      <c r="M18">
        <v>486</v>
      </c>
      <c r="N18">
        <v>687</v>
      </c>
      <c r="O18">
        <v>331</v>
      </c>
      <c r="P18">
        <v>804</v>
      </c>
      <c r="Q18">
        <v>349</v>
      </c>
      <c r="R18">
        <v>4.5730000000000004</v>
      </c>
      <c r="S18" t="s">
        <v>143</v>
      </c>
    </row>
    <row r="19" spans="1:19" x14ac:dyDescent="0.25">
      <c r="A19" t="s">
        <v>59</v>
      </c>
      <c r="B19">
        <v>7.2700000000000004E-3</v>
      </c>
      <c r="C19">
        <v>77</v>
      </c>
      <c r="D19">
        <v>16.5</v>
      </c>
      <c r="E19">
        <v>236</v>
      </c>
      <c r="F19">
        <v>0</v>
      </c>
      <c r="G19">
        <v>137</v>
      </c>
      <c r="H19">
        <v>149</v>
      </c>
      <c r="I19">
        <v>7</v>
      </c>
      <c r="J19">
        <v>8</v>
      </c>
      <c r="K19">
        <v>27.17</v>
      </c>
      <c r="L19">
        <v>171</v>
      </c>
      <c r="M19">
        <v>830</v>
      </c>
      <c r="N19">
        <v>440</v>
      </c>
      <c r="O19">
        <v>584</v>
      </c>
      <c r="P19">
        <v>448</v>
      </c>
      <c r="Q19">
        <v>480</v>
      </c>
      <c r="R19">
        <v>3.968</v>
      </c>
      <c r="S19" t="s">
        <v>490</v>
      </c>
    </row>
    <row r="20" spans="1:19" x14ac:dyDescent="0.25">
      <c r="A20" t="s">
        <v>60</v>
      </c>
      <c r="B20">
        <v>1.2999999999999999E-2</v>
      </c>
      <c r="C20">
        <v>62</v>
      </c>
      <c r="D20">
        <v>12</v>
      </c>
      <c r="E20">
        <v>242</v>
      </c>
      <c r="F20">
        <v>0</v>
      </c>
      <c r="G20">
        <v>48</v>
      </c>
      <c r="H20">
        <v>76</v>
      </c>
      <c r="I20">
        <v>3</v>
      </c>
      <c r="J20">
        <v>4</v>
      </c>
      <c r="K20">
        <v>0.73</v>
      </c>
      <c r="L20">
        <v>228.8</v>
      </c>
      <c r="M20">
        <v>486</v>
      </c>
      <c r="N20">
        <v>624</v>
      </c>
      <c r="O20">
        <v>675</v>
      </c>
      <c r="P20">
        <v>622</v>
      </c>
      <c r="Q20">
        <v>495</v>
      </c>
      <c r="R20">
        <v>4.9290000000000003</v>
      </c>
      <c r="S20" t="s">
        <v>143</v>
      </c>
    </row>
    <row r="21" spans="1:19" x14ac:dyDescent="0.25">
      <c r="A21" t="s">
        <v>61</v>
      </c>
      <c r="B21">
        <v>9.8099999999999993E-3</v>
      </c>
      <c r="C21">
        <v>73</v>
      </c>
      <c r="D21">
        <v>25.5</v>
      </c>
      <c r="E21">
        <v>236</v>
      </c>
      <c r="F21">
        <v>0</v>
      </c>
      <c r="G21">
        <v>140</v>
      </c>
      <c r="H21">
        <v>150</v>
      </c>
      <c r="I21">
        <v>8</v>
      </c>
      <c r="J21">
        <v>8</v>
      </c>
      <c r="K21">
        <v>81.290000000000006</v>
      </c>
      <c r="L21">
        <v>201.2</v>
      </c>
      <c r="M21">
        <v>314</v>
      </c>
      <c r="N21">
        <v>781</v>
      </c>
      <c r="O21">
        <v>481</v>
      </c>
      <c r="P21">
        <v>658</v>
      </c>
      <c r="Q21">
        <v>585</v>
      </c>
      <c r="R21">
        <v>4.2</v>
      </c>
      <c r="S21" t="s">
        <v>143</v>
      </c>
    </row>
    <row r="22" spans="1:19" x14ac:dyDescent="0.25">
      <c r="A22" t="s">
        <v>62</v>
      </c>
      <c r="B22">
        <v>1.0800000000000001E-2</v>
      </c>
      <c r="C22">
        <v>71</v>
      </c>
      <c r="D22">
        <v>18</v>
      </c>
      <c r="E22">
        <v>227</v>
      </c>
      <c r="F22">
        <v>0</v>
      </c>
      <c r="G22">
        <v>42</v>
      </c>
      <c r="H22">
        <v>60</v>
      </c>
      <c r="I22">
        <v>7</v>
      </c>
      <c r="J22">
        <v>7</v>
      </c>
      <c r="K22">
        <v>11.55</v>
      </c>
      <c r="L22">
        <v>203.4</v>
      </c>
      <c r="M22">
        <v>507</v>
      </c>
      <c r="N22">
        <v>617</v>
      </c>
      <c r="O22">
        <v>565</v>
      </c>
      <c r="P22">
        <v>582</v>
      </c>
      <c r="Q22">
        <v>393</v>
      </c>
      <c r="R22">
        <v>4.3079999999999998</v>
      </c>
      <c r="S22" t="s">
        <v>143</v>
      </c>
    </row>
    <row r="23" spans="1:19" x14ac:dyDescent="0.25">
      <c r="A23" t="s">
        <v>125</v>
      </c>
      <c r="B23">
        <v>9.2999999999999992E-3</v>
      </c>
      <c r="C23">
        <v>79</v>
      </c>
      <c r="D23">
        <v>14</v>
      </c>
      <c r="E23">
        <v>246</v>
      </c>
      <c r="F23">
        <v>2</v>
      </c>
      <c r="G23">
        <v>72</v>
      </c>
      <c r="H23">
        <v>130</v>
      </c>
      <c r="I23">
        <v>5</v>
      </c>
      <c r="J23">
        <v>5</v>
      </c>
      <c r="K23">
        <v>23.42</v>
      </c>
      <c r="L23">
        <v>199.8</v>
      </c>
      <c r="M23">
        <v>647</v>
      </c>
      <c r="N23">
        <v>484</v>
      </c>
      <c r="O23">
        <v>637</v>
      </c>
      <c r="P23">
        <v>633</v>
      </c>
      <c r="Q23">
        <v>595</v>
      </c>
      <c r="R23">
        <v>3.7160000000000002</v>
      </c>
      <c r="S23" t="s">
        <v>151</v>
      </c>
    </row>
    <row r="24" spans="1:19" x14ac:dyDescent="0.25">
      <c r="A24" t="s">
        <v>63</v>
      </c>
      <c r="B24">
        <v>1.2189999999999999E-2</v>
      </c>
      <c r="C24">
        <v>58</v>
      </c>
      <c r="D24">
        <v>16</v>
      </c>
      <c r="E24">
        <v>209</v>
      </c>
      <c r="F24">
        <v>44</v>
      </c>
      <c r="G24">
        <v>93</v>
      </c>
      <c r="H24">
        <v>104</v>
      </c>
      <c r="I24">
        <v>7</v>
      </c>
      <c r="J24">
        <v>7</v>
      </c>
      <c r="K24">
        <v>79.02</v>
      </c>
      <c r="L24">
        <v>208.2</v>
      </c>
      <c r="M24">
        <v>450</v>
      </c>
      <c r="N24">
        <v>570</v>
      </c>
      <c r="O24">
        <v>712</v>
      </c>
      <c r="P24">
        <v>558</v>
      </c>
      <c r="Q24">
        <v>701</v>
      </c>
      <c r="R24">
        <v>5.3339999999999996</v>
      </c>
      <c r="S24" t="s">
        <v>143</v>
      </c>
    </row>
    <row r="25" spans="1:19" x14ac:dyDescent="0.25">
      <c r="A25" t="s">
        <v>870</v>
      </c>
      <c r="B25">
        <v>3.2333000000000001E-2</v>
      </c>
      <c r="C25">
        <v>50</v>
      </c>
      <c r="D25">
        <v>21</v>
      </c>
      <c r="E25">
        <v>197</v>
      </c>
      <c r="F25">
        <v>6</v>
      </c>
      <c r="G25">
        <v>213</v>
      </c>
      <c r="H25">
        <v>217</v>
      </c>
      <c r="I25">
        <v>7</v>
      </c>
      <c r="J25">
        <v>7</v>
      </c>
      <c r="K25">
        <v>22</v>
      </c>
      <c r="R25">
        <v>6.1740000000000004</v>
      </c>
      <c r="S25" t="s">
        <v>151</v>
      </c>
    </row>
    <row r="26" spans="1:19" x14ac:dyDescent="0.25">
      <c r="A26" t="s">
        <v>64</v>
      </c>
      <c r="B26">
        <v>1.41E-2</v>
      </c>
      <c r="C26">
        <v>69</v>
      </c>
      <c r="D26">
        <v>18</v>
      </c>
      <c r="E26">
        <v>168</v>
      </c>
      <c r="F26">
        <v>9</v>
      </c>
      <c r="G26">
        <v>24</v>
      </c>
      <c r="H26">
        <v>36</v>
      </c>
      <c r="I26">
        <v>6</v>
      </c>
      <c r="J26">
        <v>6</v>
      </c>
      <c r="K26">
        <v>4.33</v>
      </c>
      <c r="L26">
        <v>227</v>
      </c>
      <c r="M26">
        <v>690</v>
      </c>
      <c r="N26">
        <v>613</v>
      </c>
      <c r="O26">
        <v>640</v>
      </c>
      <c r="P26">
        <v>712</v>
      </c>
      <c r="Q26">
        <v>401</v>
      </c>
      <c r="R26">
        <v>4.4409999999999998</v>
      </c>
      <c r="S26" t="s">
        <v>489</v>
      </c>
    </row>
    <row r="27" spans="1:19" x14ac:dyDescent="0.25">
      <c r="A27" t="s">
        <v>837</v>
      </c>
      <c r="B27">
        <v>9.0665999999999993E-3</v>
      </c>
      <c r="C27">
        <v>136</v>
      </c>
      <c r="D27">
        <v>19.5</v>
      </c>
      <c r="E27">
        <v>209</v>
      </c>
      <c r="F27">
        <v>0</v>
      </c>
      <c r="G27">
        <v>41</v>
      </c>
      <c r="H27">
        <v>88</v>
      </c>
      <c r="I27">
        <v>2</v>
      </c>
      <c r="J27">
        <v>1</v>
      </c>
      <c r="K27">
        <v>21</v>
      </c>
      <c r="L27">
        <v>236</v>
      </c>
      <c r="M27">
        <v>827</v>
      </c>
      <c r="N27">
        <v>339</v>
      </c>
      <c r="O27">
        <v>650</v>
      </c>
      <c r="P27">
        <v>661</v>
      </c>
      <c r="Q27">
        <v>537</v>
      </c>
      <c r="R27">
        <v>2.2999999999999998</v>
      </c>
      <c r="S27" t="s">
        <v>151</v>
      </c>
    </row>
    <row r="28" spans="1:19" x14ac:dyDescent="0.25">
      <c r="A28" t="s">
        <v>65</v>
      </c>
      <c r="B28">
        <v>1.052E-2</v>
      </c>
      <c r="C28">
        <v>72</v>
      </c>
      <c r="D28">
        <v>15</v>
      </c>
      <c r="E28">
        <v>250</v>
      </c>
      <c r="F28">
        <v>0</v>
      </c>
      <c r="G28">
        <v>105</v>
      </c>
      <c r="H28">
        <v>156</v>
      </c>
      <c r="I28">
        <v>6</v>
      </c>
      <c r="J28">
        <v>6</v>
      </c>
      <c r="K28">
        <v>77.92</v>
      </c>
      <c r="L28">
        <v>188.2</v>
      </c>
      <c r="M28">
        <v>925.5</v>
      </c>
      <c r="N28">
        <v>661</v>
      </c>
      <c r="O28">
        <v>588</v>
      </c>
      <c r="P28">
        <v>321</v>
      </c>
      <c r="Q28">
        <v>838</v>
      </c>
      <c r="R28">
        <v>4.2610000000000001</v>
      </c>
      <c r="S28" t="s">
        <v>143</v>
      </c>
    </row>
    <row r="29" spans="1:19" x14ac:dyDescent="0.25">
      <c r="A29" t="s">
        <v>66</v>
      </c>
      <c r="B29">
        <v>7.7000000000000002E-3</v>
      </c>
      <c r="C29">
        <v>79</v>
      </c>
      <c r="D29">
        <v>16.7</v>
      </c>
      <c r="E29">
        <v>234</v>
      </c>
      <c r="F29">
        <v>5</v>
      </c>
      <c r="G29">
        <v>157</v>
      </c>
      <c r="H29">
        <v>162</v>
      </c>
      <c r="I29">
        <v>7</v>
      </c>
      <c r="J29">
        <v>4</v>
      </c>
      <c r="K29">
        <v>17.420000000000002</v>
      </c>
      <c r="L29">
        <v>202.6</v>
      </c>
      <c r="M29">
        <v>528</v>
      </c>
      <c r="N29">
        <v>390</v>
      </c>
      <c r="O29">
        <v>603</v>
      </c>
      <c r="P29">
        <v>638</v>
      </c>
      <c r="Q29">
        <v>129</v>
      </c>
      <c r="R29">
        <v>3.601</v>
      </c>
      <c r="S29" t="s">
        <v>151</v>
      </c>
    </row>
    <row r="30" spans="1:19" x14ac:dyDescent="0.25">
      <c r="A30" t="s">
        <v>879</v>
      </c>
      <c r="B30">
        <v>2.0500000000000001E-2</v>
      </c>
      <c r="C30">
        <v>50</v>
      </c>
      <c r="D30">
        <v>23</v>
      </c>
      <c r="R30">
        <v>6.1180000000000003</v>
      </c>
      <c r="S30" t="s">
        <v>143</v>
      </c>
    </row>
    <row r="31" spans="1:19" x14ac:dyDescent="0.25">
      <c r="A31" t="s">
        <v>878</v>
      </c>
      <c r="B31">
        <v>1.8780399999999999E-2</v>
      </c>
      <c r="C31">
        <v>57</v>
      </c>
      <c r="D31">
        <v>24</v>
      </c>
      <c r="R31">
        <v>5.3810000000000002</v>
      </c>
      <c r="S31" t="s">
        <v>143</v>
      </c>
    </row>
    <row r="32" spans="1:19" x14ac:dyDescent="0.25">
      <c r="A32" t="s">
        <v>67</v>
      </c>
      <c r="B32">
        <v>1.1440000000000001E-2</v>
      </c>
      <c r="C32">
        <v>72</v>
      </c>
      <c r="D32">
        <v>18</v>
      </c>
      <c r="E32">
        <v>76</v>
      </c>
      <c r="F32">
        <v>61</v>
      </c>
      <c r="G32">
        <v>73</v>
      </c>
      <c r="H32">
        <v>32</v>
      </c>
      <c r="I32">
        <v>2</v>
      </c>
      <c r="J32">
        <v>2</v>
      </c>
      <c r="K32">
        <v>4</v>
      </c>
      <c r="L32">
        <v>245.4</v>
      </c>
      <c r="M32">
        <v>495</v>
      </c>
      <c r="N32">
        <v>599</v>
      </c>
      <c r="O32">
        <v>316</v>
      </c>
      <c r="P32">
        <v>608</v>
      </c>
      <c r="Q32">
        <v>631</v>
      </c>
      <c r="R32">
        <v>4.2469999999999999</v>
      </c>
      <c r="S32" t="s">
        <v>143</v>
      </c>
    </row>
    <row r="33" spans="1:19" x14ac:dyDescent="0.25">
      <c r="A33" t="s">
        <v>68</v>
      </c>
      <c r="B33">
        <v>1.7100000000000001E-2</v>
      </c>
      <c r="C33">
        <v>58</v>
      </c>
      <c r="D33">
        <v>16.5</v>
      </c>
      <c r="E33">
        <v>204</v>
      </c>
      <c r="F33">
        <v>24</v>
      </c>
      <c r="G33">
        <v>58</v>
      </c>
      <c r="H33">
        <v>97</v>
      </c>
      <c r="I33">
        <v>5</v>
      </c>
      <c r="J33">
        <v>7</v>
      </c>
      <c r="K33">
        <v>50.95</v>
      </c>
      <c r="L33">
        <v>214.2</v>
      </c>
      <c r="M33">
        <v>450</v>
      </c>
      <c r="N33">
        <v>674</v>
      </c>
      <c r="O33">
        <v>625</v>
      </c>
      <c r="P33">
        <v>770</v>
      </c>
      <c r="Q33">
        <v>375</v>
      </c>
      <c r="R33">
        <v>5.3029999999999999</v>
      </c>
      <c r="S33" t="s">
        <v>143</v>
      </c>
    </row>
    <row r="34" spans="1:19" x14ac:dyDescent="0.25">
      <c r="A34" t="s">
        <v>69</v>
      </c>
      <c r="B34">
        <v>7.2100000000000003E-3</v>
      </c>
      <c r="C34">
        <v>69</v>
      </c>
      <c r="D34">
        <v>24</v>
      </c>
      <c r="E34">
        <v>236</v>
      </c>
      <c r="F34">
        <v>0</v>
      </c>
      <c r="G34">
        <v>141</v>
      </c>
      <c r="H34">
        <v>151</v>
      </c>
      <c r="I34">
        <v>7</v>
      </c>
      <c r="J34">
        <v>8</v>
      </c>
      <c r="K34">
        <v>12.06</v>
      </c>
      <c r="L34">
        <v>186.2</v>
      </c>
      <c r="M34">
        <v>633</v>
      </c>
      <c r="N34">
        <v>755</v>
      </c>
      <c r="O34">
        <v>476</v>
      </c>
      <c r="P34">
        <v>686</v>
      </c>
      <c r="Q34">
        <v>400</v>
      </c>
      <c r="R34">
        <v>4.42</v>
      </c>
      <c r="S34" t="s">
        <v>143</v>
      </c>
    </row>
    <row r="35" spans="1:19" x14ac:dyDescent="0.25">
      <c r="A35" t="s">
        <v>873</v>
      </c>
      <c r="B35">
        <v>1.47692E-2</v>
      </c>
      <c r="C35">
        <v>57</v>
      </c>
      <c r="D35">
        <v>17</v>
      </c>
      <c r="R35">
        <v>5.4109999999999996</v>
      </c>
      <c r="S35" t="s">
        <v>147</v>
      </c>
    </row>
    <row r="36" spans="1:19" x14ac:dyDescent="0.25">
      <c r="A36" t="s">
        <v>70</v>
      </c>
      <c r="B36">
        <v>1.06E-2</v>
      </c>
      <c r="C36">
        <v>78</v>
      </c>
      <c r="D36">
        <v>18</v>
      </c>
      <c r="E36">
        <v>203</v>
      </c>
      <c r="F36">
        <v>21</v>
      </c>
      <c r="G36">
        <v>84</v>
      </c>
      <c r="H36">
        <v>96</v>
      </c>
      <c r="I36">
        <v>7</v>
      </c>
      <c r="J36">
        <v>7</v>
      </c>
      <c r="K36">
        <v>27.33</v>
      </c>
      <c r="L36">
        <v>165.4</v>
      </c>
      <c r="M36">
        <v>925</v>
      </c>
      <c r="N36">
        <v>355</v>
      </c>
      <c r="O36">
        <v>481</v>
      </c>
      <c r="P36">
        <v>388</v>
      </c>
      <c r="Q36">
        <v>568</v>
      </c>
      <c r="R36">
        <v>3.3690000000000002</v>
      </c>
      <c r="S36" t="s">
        <v>143</v>
      </c>
    </row>
    <row r="37" spans="1:19" x14ac:dyDescent="0.25">
      <c r="A37" t="s">
        <v>71</v>
      </c>
      <c r="B37">
        <v>8.9999999999999993E-3</v>
      </c>
      <c r="C37">
        <v>69</v>
      </c>
      <c r="D37">
        <v>16.5</v>
      </c>
      <c r="E37">
        <v>179</v>
      </c>
      <c r="F37">
        <v>14</v>
      </c>
      <c r="G37">
        <v>62</v>
      </c>
      <c r="H37">
        <v>72</v>
      </c>
      <c r="I37">
        <v>5</v>
      </c>
      <c r="J37">
        <v>6</v>
      </c>
      <c r="K37">
        <v>5.04</v>
      </c>
      <c r="L37">
        <v>215.4</v>
      </c>
      <c r="M37">
        <v>395</v>
      </c>
      <c r="N37">
        <v>738</v>
      </c>
      <c r="O37">
        <v>583</v>
      </c>
      <c r="P37">
        <v>737</v>
      </c>
      <c r="Q37">
        <v>281</v>
      </c>
      <c r="R37">
        <v>4.42</v>
      </c>
      <c r="S37" t="s">
        <v>143</v>
      </c>
    </row>
    <row r="38" spans="1:19" x14ac:dyDescent="0.25">
      <c r="A38" t="s">
        <v>72</v>
      </c>
      <c r="B38">
        <v>1.2959999999999999E-2</v>
      </c>
      <c r="C38">
        <v>53</v>
      </c>
      <c r="D38">
        <v>25.5</v>
      </c>
      <c r="E38">
        <v>208</v>
      </c>
      <c r="F38">
        <v>44</v>
      </c>
      <c r="G38">
        <v>90</v>
      </c>
      <c r="H38">
        <v>101</v>
      </c>
      <c r="I38">
        <v>6</v>
      </c>
      <c r="J38">
        <v>7</v>
      </c>
      <c r="K38">
        <v>16.13</v>
      </c>
      <c r="L38">
        <v>224.4</v>
      </c>
      <c r="M38">
        <v>240</v>
      </c>
      <c r="N38">
        <v>800</v>
      </c>
      <c r="O38">
        <v>505</v>
      </c>
      <c r="P38">
        <v>883</v>
      </c>
      <c r="Q38">
        <v>680</v>
      </c>
      <c r="R38">
        <v>5.7869999999999999</v>
      </c>
      <c r="S38" t="s">
        <v>143</v>
      </c>
    </row>
    <row r="39" spans="1:19" x14ac:dyDescent="0.25">
      <c r="A39" t="s">
        <v>73</v>
      </c>
      <c r="B39">
        <v>1.2999999999999999E-2</v>
      </c>
      <c r="C39">
        <v>58</v>
      </c>
      <c r="D39">
        <v>13.5</v>
      </c>
      <c r="E39">
        <v>179</v>
      </c>
      <c r="F39">
        <v>29</v>
      </c>
      <c r="G39">
        <v>53</v>
      </c>
      <c r="H39">
        <v>63</v>
      </c>
      <c r="I39">
        <v>5</v>
      </c>
      <c r="J39">
        <v>6</v>
      </c>
      <c r="K39">
        <v>76.59</v>
      </c>
      <c r="L39">
        <v>213.2</v>
      </c>
      <c r="M39">
        <v>550</v>
      </c>
      <c r="N39">
        <v>823</v>
      </c>
      <c r="O39">
        <v>886</v>
      </c>
      <c r="P39">
        <v>910</v>
      </c>
      <c r="Q39">
        <v>680</v>
      </c>
      <c r="R39">
        <v>5.2469999999999999</v>
      </c>
      <c r="S39" t="s">
        <v>143</v>
      </c>
    </row>
    <row r="40" spans="1:19" x14ac:dyDescent="0.25">
      <c r="A40" s="445" t="s">
        <v>74</v>
      </c>
      <c r="B40">
        <v>1.2930000000000001E-2</v>
      </c>
      <c r="C40">
        <v>60</v>
      </c>
      <c r="D40">
        <v>15</v>
      </c>
      <c r="E40">
        <v>179</v>
      </c>
      <c r="F40">
        <v>31</v>
      </c>
      <c r="G40">
        <v>52</v>
      </c>
      <c r="H40">
        <v>62</v>
      </c>
      <c r="I40">
        <v>5</v>
      </c>
      <c r="J40">
        <v>6</v>
      </c>
      <c r="K40">
        <v>31.03</v>
      </c>
      <c r="L40">
        <v>200</v>
      </c>
      <c r="M40">
        <v>644</v>
      </c>
      <c r="N40">
        <v>445</v>
      </c>
      <c r="O40">
        <v>641</v>
      </c>
      <c r="P40">
        <v>606</v>
      </c>
      <c r="Q40">
        <v>207</v>
      </c>
      <c r="R40">
        <v>5.1449999999999996</v>
      </c>
      <c r="S40" t="s">
        <v>147</v>
      </c>
    </row>
    <row r="41" spans="1:19" x14ac:dyDescent="0.25">
      <c r="A41" t="s">
        <v>75</v>
      </c>
      <c r="B41">
        <v>1.157E-2</v>
      </c>
      <c r="C41">
        <v>52</v>
      </c>
      <c r="D41">
        <v>21</v>
      </c>
      <c r="E41">
        <v>191</v>
      </c>
      <c r="F41">
        <v>17</v>
      </c>
      <c r="G41">
        <v>72</v>
      </c>
      <c r="H41">
        <v>85</v>
      </c>
      <c r="I41">
        <v>6</v>
      </c>
      <c r="J41">
        <v>6</v>
      </c>
      <c r="K41">
        <v>62.71</v>
      </c>
      <c r="L41">
        <v>222.4</v>
      </c>
      <c r="M41">
        <v>464</v>
      </c>
      <c r="N41">
        <v>707</v>
      </c>
      <c r="O41">
        <v>500</v>
      </c>
      <c r="P41">
        <v>752</v>
      </c>
      <c r="Q41">
        <v>649</v>
      </c>
      <c r="R41">
        <v>5.94</v>
      </c>
      <c r="S41" t="s">
        <v>143</v>
      </c>
    </row>
    <row r="42" spans="1:19" x14ac:dyDescent="0.25">
      <c r="A42" t="s">
        <v>76</v>
      </c>
      <c r="B42">
        <v>9.4400000000000005E-3</v>
      </c>
      <c r="C42">
        <v>79</v>
      </c>
      <c r="D42">
        <v>19.5</v>
      </c>
      <c r="E42">
        <v>250</v>
      </c>
      <c r="F42">
        <v>27</v>
      </c>
      <c r="G42">
        <v>154</v>
      </c>
      <c r="H42">
        <v>143</v>
      </c>
      <c r="I42">
        <v>6</v>
      </c>
      <c r="J42">
        <v>6</v>
      </c>
      <c r="K42">
        <v>17.5</v>
      </c>
      <c r="L42">
        <v>215.2</v>
      </c>
      <c r="M42">
        <v>446</v>
      </c>
      <c r="N42">
        <v>988</v>
      </c>
      <c r="O42">
        <v>157</v>
      </c>
      <c r="P42">
        <v>647</v>
      </c>
      <c r="Q42">
        <v>818</v>
      </c>
      <c r="R42">
        <v>3.8610000000000002</v>
      </c>
      <c r="S42" t="s">
        <v>489</v>
      </c>
    </row>
    <row r="43" spans="1:19" x14ac:dyDescent="0.25">
      <c r="A43" t="s">
        <v>414</v>
      </c>
      <c r="B43">
        <v>9.6249999999999999E-3</v>
      </c>
      <c r="C43">
        <v>75</v>
      </c>
      <c r="D43">
        <v>14</v>
      </c>
      <c r="E43">
        <v>190</v>
      </c>
      <c r="F43">
        <v>21</v>
      </c>
      <c r="G43">
        <v>67</v>
      </c>
      <c r="H43">
        <v>80</v>
      </c>
      <c r="I43">
        <v>6</v>
      </c>
      <c r="J43">
        <v>6</v>
      </c>
      <c r="K43">
        <v>41.1</v>
      </c>
      <c r="L43">
        <v>205</v>
      </c>
      <c r="M43">
        <v>701</v>
      </c>
      <c r="N43">
        <v>557</v>
      </c>
      <c r="O43">
        <v>390</v>
      </c>
      <c r="P43">
        <v>731</v>
      </c>
      <c r="Q43">
        <v>617</v>
      </c>
      <c r="R43">
        <v>4.0830000000000002</v>
      </c>
      <c r="S43" t="s">
        <v>143</v>
      </c>
    </row>
    <row r="44" spans="1:19" x14ac:dyDescent="0.25">
      <c r="A44" t="s">
        <v>848</v>
      </c>
      <c r="B44">
        <v>7.6923069999999998E-3</v>
      </c>
      <c r="C44">
        <v>67</v>
      </c>
      <c r="D44">
        <v>10</v>
      </c>
      <c r="R44">
        <v>4.7359999999999998</v>
      </c>
      <c r="S44" t="s">
        <v>151</v>
      </c>
    </row>
    <row r="45" spans="1:19" x14ac:dyDescent="0.25">
      <c r="A45" s="445" t="s">
        <v>77</v>
      </c>
      <c r="B45">
        <v>1.26E-2</v>
      </c>
      <c r="C45">
        <v>57</v>
      </c>
      <c r="D45">
        <v>25.5</v>
      </c>
      <c r="E45">
        <v>203</v>
      </c>
      <c r="F45">
        <v>20</v>
      </c>
      <c r="G45">
        <v>81</v>
      </c>
      <c r="H45">
        <v>94</v>
      </c>
      <c r="I45">
        <v>7</v>
      </c>
      <c r="J45">
        <v>7</v>
      </c>
      <c r="K45">
        <v>64.05</v>
      </c>
      <c r="L45">
        <v>227.4</v>
      </c>
      <c r="M45">
        <v>211</v>
      </c>
      <c r="N45">
        <v>390</v>
      </c>
      <c r="O45">
        <v>731</v>
      </c>
      <c r="P45">
        <v>623</v>
      </c>
      <c r="Q45">
        <v>302</v>
      </c>
      <c r="R45">
        <v>5.4119999999999999</v>
      </c>
      <c r="S45" t="s">
        <v>143</v>
      </c>
    </row>
    <row r="46" spans="1:19" x14ac:dyDescent="0.25">
      <c r="A46" s="445" t="s">
        <v>78</v>
      </c>
      <c r="B46">
        <v>1.754E-2</v>
      </c>
      <c r="C46">
        <v>55</v>
      </c>
      <c r="D46">
        <v>24</v>
      </c>
      <c r="E46">
        <v>205</v>
      </c>
      <c r="F46">
        <v>28</v>
      </c>
      <c r="G46">
        <v>87</v>
      </c>
      <c r="H46">
        <v>99</v>
      </c>
      <c r="I46">
        <v>6</v>
      </c>
      <c r="J46">
        <v>7</v>
      </c>
      <c r="K46">
        <v>50.15</v>
      </c>
      <c r="L46">
        <v>206.2</v>
      </c>
      <c r="M46">
        <v>582</v>
      </c>
      <c r="N46">
        <v>623</v>
      </c>
      <c r="O46">
        <v>668</v>
      </c>
      <c r="P46">
        <v>761</v>
      </c>
      <c r="Q46">
        <v>505</v>
      </c>
      <c r="R46">
        <v>5.6440000000000001</v>
      </c>
      <c r="S46" t="s">
        <v>143</v>
      </c>
    </row>
    <row r="47" spans="1:19" x14ac:dyDescent="0.25">
      <c r="A47" s="445" t="s">
        <v>844</v>
      </c>
      <c r="B47">
        <v>9.0909000000000007E-3</v>
      </c>
      <c r="C47">
        <v>80</v>
      </c>
      <c r="D47">
        <v>12</v>
      </c>
      <c r="E47">
        <v>183</v>
      </c>
      <c r="F47">
        <v>3</v>
      </c>
      <c r="G47">
        <v>93</v>
      </c>
      <c r="H47">
        <v>59</v>
      </c>
      <c r="I47">
        <v>5</v>
      </c>
      <c r="J47">
        <v>5</v>
      </c>
      <c r="K47">
        <v>52</v>
      </c>
      <c r="L47">
        <v>180.9</v>
      </c>
      <c r="M47">
        <v>878</v>
      </c>
      <c r="N47">
        <v>504</v>
      </c>
      <c r="O47">
        <v>513</v>
      </c>
      <c r="P47">
        <v>297</v>
      </c>
      <c r="Q47">
        <v>663</v>
      </c>
      <c r="R47">
        <v>3.1859999999999999</v>
      </c>
      <c r="S47" t="s">
        <v>143</v>
      </c>
    </row>
    <row r="48" spans="1:19" x14ac:dyDescent="0.25">
      <c r="A48" t="s">
        <v>79</v>
      </c>
      <c r="B48">
        <v>9.7300000000000008E-3</v>
      </c>
      <c r="C48">
        <v>56</v>
      </c>
      <c r="D48">
        <v>24</v>
      </c>
      <c r="E48">
        <v>190</v>
      </c>
      <c r="F48">
        <v>7</v>
      </c>
      <c r="G48">
        <v>127</v>
      </c>
      <c r="H48">
        <v>146</v>
      </c>
      <c r="I48">
        <v>6</v>
      </c>
      <c r="J48">
        <v>8</v>
      </c>
      <c r="K48">
        <v>25.54</v>
      </c>
      <c r="L48">
        <v>218.2</v>
      </c>
      <c r="M48">
        <v>486</v>
      </c>
      <c r="N48">
        <v>556</v>
      </c>
      <c r="O48">
        <v>648</v>
      </c>
      <c r="P48">
        <v>379</v>
      </c>
      <c r="Q48">
        <v>190</v>
      </c>
      <c r="R48">
        <v>5.45</v>
      </c>
      <c r="S48" t="s">
        <v>143</v>
      </c>
    </row>
    <row r="49" spans="1:19" x14ac:dyDescent="0.25">
      <c r="A49" t="s">
        <v>80</v>
      </c>
      <c r="B49">
        <v>1.065E-2</v>
      </c>
      <c r="C49">
        <v>60</v>
      </c>
      <c r="D49">
        <v>22.5</v>
      </c>
      <c r="E49">
        <v>208</v>
      </c>
      <c r="F49">
        <v>43</v>
      </c>
      <c r="G49">
        <v>89</v>
      </c>
      <c r="H49">
        <v>100</v>
      </c>
      <c r="I49">
        <v>5</v>
      </c>
      <c r="J49">
        <v>7</v>
      </c>
      <c r="K49">
        <v>38.880000000000003</v>
      </c>
      <c r="L49">
        <v>217.4</v>
      </c>
      <c r="M49">
        <v>369</v>
      </c>
      <c r="N49">
        <v>756</v>
      </c>
      <c r="O49">
        <v>605</v>
      </c>
      <c r="P49">
        <v>825</v>
      </c>
      <c r="Q49">
        <v>482</v>
      </c>
      <c r="R49">
        <v>5.1379999999999999</v>
      </c>
      <c r="S49" t="s">
        <v>147</v>
      </c>
    </row>
    <row r="50" spans="1:19" x14ac:dyDescent="0.25">
      <c r="A50" t="s">
        <v>81</v>
      </c>
      <c r="B50">
        <v>2.23E-2</v>
      </c>
      <c r="C50">
        <v>61</v>
      </c>
      <c r="D50">
        <v>17</v>
      </c>
      <c r="E50">
        <v>234</v>
      </c>
      <c r="F50">
        <v>3</v>
      </c>
      <c r="G50">
        <v>159</v>
      </c>
      <c r="H50">
        <v>162</v>
      </c>
      <c r="I50">
        <v>7</v>
      </c>
      <c r="J50">
        <v>5</v>
      </c>
      <c r="K50">
        <v>70.569999999999993</v>
      </c>
      <c r="L50">
        <v>202.2</v>
      </c>
      <c r="M50">
        <v>820</v>
      </c>
      <c r="N50">
        <v>440</v>
      </c>
      <c r="O50">
        <v>585</v>
      </c>
      <c r="P50">
        <v>618</v>
      </c>
      <c r="Q50">
        <v>869</v>
      </c>
      <c r="R50">
        <v>5.0670000000000002</v>
      </c>
      <c r="S50" t="s">
        <v>151</v>
      </c>
    </row>
    <row r="51" spans="1:19" x14ac:dyDescent="0.25">
      <c r="A51" t="s">
        <v>847</v>
      </c>
      <c r="B51">
        <v>1.6199999999999999E-2</v>
      </c>
      <c r="C51">
        <v>53</v>
      </c>
      <c r="D51">
        <v>19.5</v>
      </c>
      <c r="R51">
        <v>5.923</v>
      </c>
      <c r="S51" t="s">
        <v>151</v>
      </c>
    </row>
    <row r="52" spans="1:19" x14ac:dyDescent="0.25">
      <c r="A52" t="s">
        <v>839</v>
      </c>
      <c r="B52">
        <v>2.2272726999999999E-2</v>
      </c>
      <c r="C52">
        <v>53</v>
      </c>
      <c r="D52">
        <v>23</v>
      </c>
      <c r="R52">
        <v>5.851</v>
      </c>
      <c r="S52" t="s">
        <v>151</v>
      </c>
    </row>
    <row r="53" spans="1:19" x14ac:dyDescent="0.25">
      <c r="A53" t="s">
        <v>82</v>
      </c>
      <c r="B53">
        <v>2.6929999999999999E-2</v>
      </c>
      <c r="C53">
        <v>44</v>
      </c>
      <c r="D53">
        <v>13.5</v>
      </c>
      <c r="E53">
        <v>191</v>
      </c>
      <c r="F53">
        <v>23</v>
      </c>
      <c r="G53">
        <v>69</v>
      </c>
      <c r="H53">
        <v>82</v>
      </c>
      <c r="I53">
        <v>6</v>
      </c>
      <c r="J53">
        <v>6</v>
      </c>
      <c r="K53">
        <v>18.600000000000001</v>
      </c>
      <c r="L53">
        <v>220.6</v>
      </c>
      <c r="M53">
        <v>601</v>
      </c>
      <c r="N53">
        <v>728</v>
      </c>
      <c r="O53">
        <v>445</v>
      </c>
      <c r="P53">
        <v>612</v>
      </c>
      <c r="Q53">
        <v>461</v>
      </c>
      <c r="R53">
        <v>6.968</v>
      </c>
      <c r="S53" t="s">
        <v>143</v>
      </c>
    </row>
    <row r="54" spans="1:19" x14ac:dyDescent="0.25">
      <c r="A54" s="445" t="s">
        <v>83</v>
      </c>
      <c r="B54">
        <v>1.405E-2</v>
      </c>
      <c r="C54">
        <v>53</v>
      </c>
      <c r="D54">
        <v>15</v>
      </c>
      <c r="E54">
        <v>189</v>
      </c>
      <c r="F54">
        <v>17</v>
      </c>
      <c r="G54">
        <v>66</v>
      </c>
      <c r="H54">
        <v>78</v>
      </c>
      <c r="I54">
        <v>5</v>
      </c>
      <c r="J54">
        <v>6</v>
      </c>
      <c r="K54">
        <v>25.87</v>
      </c>
      <c r="L54">
        <v>219.4</v>
      </c>
      <c r="M54">
        <v>451</v>
      </c>
      <c r="N54">
        <v>681</v>
      </c>
      <c r="O54">
        <v>526</v>
      </c>
      <c r="P54">
        <v>562</v>
      </c>
      <c r="Q54">
        <v>562</v>
      </c>
      <c r="R54">
        <v>5.86</v>
      </c>
      <c r="S54" t="s">
        <v>143</v>
      </c>
    </row>
    <row r="55" spans="1:19" x14ac:dyDescent="0.25">
      <c r="A55" t="s">
        <v>84</v>
      </c>
      <c r="B55">
        <v>2.5999999999999999E-2</v>
      </c>
      <c r="C55">
        <v>57</v>
      </c>
      <c r="D55">
        <v>14.5</v>
      </c>
      <c r="E55">
        <v>192</v>
      </c>
      <c r="F55">
        <v>14</v>
      </c>
      <c r="G55">
        <v>76</v>
      </c>
      <c r="H55">
        <v>89</v>
      </c>
      <c r="I55">
        <v>6</v>
      </c>
      <c r="J55">
        <v>6</v>
      </c>
      <c r="K55">
        <v>15.72</v>
      </c>
      <c r="L55">
        <v>209.4</v>
      </c>
      <c r="M55">
        <v>747</v>
      </c>
      <c r="N55">
        <v>471</v>
      </c>
      <c r="O55">
        <v>663</v>
      </c>
      <c r="P55">
        <v>635</v>
      </c>
      <c r="Q55">
        <v>371</v>
      </c>
      <c r="R55">
        <v>5.44</v>
      </c>
      <c r="S55" t="s">
        <v>143</v>
      </c>
    </row>
    <row r="56" spans="1:19" x14ac:dyDescent="0.25">
      <c r="A56" s="445" t="s">
        <v>88</v>
      </c>
      <c r="B56">
        <v>2.12E-2</v>
      </c>
      <c r="C56">
        <v>55</v>
      </c>
      <c r="D56">
        <v>18.5</v>
      </c>
      <c r="E56">
        <v>219</v>
      </c>
      <c r="F56">
        <v>0</v>
      </c>
      <c r="G56">
        <v>64</v>
      </c>
      <c r="H56">
        <v>71</v>
      </c>
      <c r="I56">
        <v>7</v>
      </c>
      <c r="J56">
        <v>5</v>
      </c>
      <c r="K56">
        <v>2.5099999999999998</v>
      </c>
      <c r="L56">
        <v>199.6</v>
      </c>
      <c r="M56">
        <v>754</v>
      </c>
      <c r="N56">
        <v>465</v>
      </c>
      <c r="O56">
        <v>559</v>
      </c>
      <c r="P56">
        <v>492</v>
      </c>
      <c r="Q56">
        <v>476</v>
      </c>
      <c r="R56">
        <v>5.5549999999999997</v>
      </c>
      <c r="S56" t="s">
        <v>143</v>
      </c>
    </row>
    <row r="57" spans="1:19" x14ac:dyDescent="0.25">
      <c r="A57" s="445" t="s">
        <v>87</v>
      </c>
      <c r="B57">
        <v>2.0233750000000002E-2</v>
      </c>
      <c r="C57">
        <v>55</v>
      </c>
      <c r="D57">
        <v>23.5</v>
      </c>
      <c r="E57">
        <v>188</v>
      </c>
      <c r="F57">
        <v>5</v>
      </c>
      <c r="G57">
        <v>177</v>
      </c>
      <c r="H57">
        <v>147</v>
      </c>
      <c r="I57">
        <v>6</v>
      </c>
      <c r="J57">
        <v>6</v>
      </c>
      <c r="K57">
        <v>50.05</v>
      </c>
      <c r="L57">
        <v>204</v>
      </c>
      <c r="M57">
        <v>772</v>
      </c>
      <c r="N57">
        <v>493</v>
      </c>
      <c r="O57">
        <v>727</v>
      </c>
      <c r="P57">
        <v>702</v>
      </c>
      <c r="Q57">
        <v>472</v>
      </c>
      <c r="R57">
        <v>5.6219999999999999</v>
      </c>
      <c r="S57" t="s">
        <v>151</v>
      </c>
    </row>
    <row r="58" spans="1:19" x14ac:dyDescent="0.25">
      <c r="A58" s="445" t="s">
        <v>85</v>
      </c>
      <c r="B58">
        <v>1.035E-2</v>
      </c>
      <c r="C58">
        <v>71</v>
      </c>
      <c r="D58">
        <v>22.5</v>
      </c>
      <c r="E58">
        <v>248</v>
      </c>
      <c r="F58">
        <v>6</v>
      </c>
      <c r="G58">
        <v>116</v>
      </c>
      <c r="H58">
        <v>81</v>
      </c>
      <c r="I58">
        <v>6</v>
      </c>
      <c r="J58">
        <v>5</v>
      </c>
      <c r="K58">
        <v>22</v>
      </c>
      <c r="L58">
        <v>200</v>
      </c>
      <c r="M58">
        <v>579</v>
      </c>
      <c r="N58">
        <v>706</v>
      </c>
      <c r="O58">
        <v>423</v>
      </c>
      <c r="P58">
        <v>794</v>
      </c>
      <c r="Q58">
        <v>766</v>
      </c>
      <c r="R58">
        <v>4.2510000000000003</v>
      </c>
      <c r="S58" t="s">
        <v>143</v>
      </c>
    </row>
    <row r="59" spans="1:19" x14ac:dyDescent="0.25">
      <c r="A59" t="s">
        <v>86</v>
      </c>
      <c r="B59">
        <v>1.3650000000000001E-2</v>
      </c>
      <c r="C59">
        <v>70</v>
      </c>
      <c r="D59">
        <v>19.5</v>
      </c>
      <c r="E59">
        <v>234</v>
      </c>
      <c r="F59">
        <v>1</v>
      </c>
      <c r="G59">
        <v>147</v>
      </c>
      <c r="H59">
        <v>154</v>
      </c>
      <c r="I59">
        <v>5</v>
      </c>
      <c r="J59">
        <v>7</v>
      </c>
      <c r="K59">
        <v>6.6</v>
      </c>
      <c r="L59">
        <v>192.6</v>
      </c>
      <c r="M59">
        <v>674</v>
      </c>
      <c r="N59">
        <v>653</v>
      </c>
      <c r="O59">
        <v>470</v>
      </c>
      <c r="P59">
        <v>636</v>
      </c>
      <c r="Q59">
        <v>599</v>
      </c>
      <c r="R59">
        <v>4.2610000000000001</v>
      </c>
      <c r="S59" t="s">
        <v>143</v>
      </c>
    </row>
    <row r="60" spans="1:19" x14ac:dyDescent="0.25">
      <c r="A60" s="445" t="s">
        <v>256</v>
      </c>
      <c r="B60">
        <v>2.5000000000000001E-3</v>
      </c>
      <c r="C60">
        <v>200</v>
      </c>
      <c r="D60">
        <v>45</v>
      </c>
      <c r="E60">
        <v>222</v>
      </c>
      <c r="F60">
        <v>0</v>
      </c>
      <c r="G60">
        <v>118</v>
      </c>
      <c r="H60">
        <v>50</v>
      </c>
      <c r="I60">
        <v>2</v>
      </c>
      <c r="J60">
        <v>1</v>
      </c>
      <c r="K60">
        <v>79.150000000000006</v>
      </c>
      <c r="L60">
        <v>267.39999999999998</v>
      </c>
      <c r="M60">
        <v>82</v>
      </c>
      <c r="N60">
        <v>735</v>
      </c>
      <c r="O60">
        <v>38</v>
      </c>
      <c r="P60">
        <v>847</v>
      </c>
      <c r="Q60">
        <v>305</v>
      </c>
      <c r="R60">
        <v>4.0220000000000002</v>
      </c>
      <c r="S60" t="s">
        <v>147</v>
      </c>
    </row>
    <row r="61" spans="1:19" x14ac:dyDescent="0.25">
      <c r="A61" s="565" t="s">
        <v>253</v>
      </c>
      <c r="B61">
        <v>1.8499999999999999E-2</v>
      </c>
      <c r="C61">
        <v>60</v>
      </c>
      <c r="D61">
        <v>19</v>
      </c>
      <c r="E61">
        <v>191</v>
      </c>
      <c r="F61">
        <v>0</v>
      </c>
      <c r="G61">
        <v>38</v>
      </c>
      <c r="H61">
        <v>85</v>
      </c>
      <c r="I61">
        <v>5</v>
      </c>
      <c r="J61">
        <v>4</v>
      </c>
      <c r="K61">
        <v>11.8</v>
      </c>
      <c r="L61">
        <v>218.6</v>
      </c>
      <c r="M61">
        <v>647</v>
      </c>
      <c r="N61">
        <v>580</v>
      </c>
      <c r="O61">
        <v>560</v>
      </c>
      <c r="P61">
        <v>739</v>
      </c>
      <c r="Q61">
        <v>184</v>
      </c>
      <c r="R61">
        <v>5.1369999999999996</v>
      </c>
      <c r="S61" t="s">
        <v>139</v>
      </c>
    </row>
    <row r="62" spans="1:19" x14ac:dyDescent="0.25">
      <c r="A62" s="565" t="s">
        <v>156</v>
      </c>
      <c r="B62">
        <v>6.4545449999999999E-3</v>
      </c>
      <c r="C62">
        <v>80</v>
      </c>
      <c r="D62">
        <v>24</v>
      </c>
      <c r="E62">
        <v>106</v>
      </c>
      <c r="F62">
        <v>0</v>
      </c>
      <c r="G62">
        <v>22</v>
      </c>
      <c r="H62">
        <v>77</v>
      </c>
      <c r="I62">
        <v>1</v>
      </c>
      <c r="J62">
        <v>1</v>
      </c>
      <c r="K62">
        <v>59.112499999999997</v>
      </c>
      <c r="L62">
        <v>213.2</v>
      </c>
      <c r="M62">
        <v>383</v>
      </c>
      <c r="N62">
        <v>686</v>
      </c>
      <c r="O62">
        <v>772</v>
      </c>
      <c r="P62">
        <v>575</v>
      </c>
      <c r="Q62">
        <v>792</v>
      </c>
      <c r="R62">
        <v>3.0710000000000002</v>
      </c>
      <c r="S62" t="s">
        <v>147</v>
      </c>
    </row>
    <row r="63" spans="1:19" x14ac:dyDescent="0.25">
      <c r="A63" s="445" t="s">
        <v>257</v>
      </c>
      <c r="B63">
        <v>6.2500000000000003E-3</v>
      </c>
      <c r="C63">
        <v>80</v>
      </c>
      <c r="D63">
        <v>11.5</v>
      </c>
      <c r="E63">
        <v>226</v>
      </c>
      <c r="F63">
        <v>0</v>
      </c>
      <c r="G63">
        <v>130</v>
      </c>
      <c r="H63">
        <v>60</v>
      </c>
      <c r="I63">
        <v>5</v>
      </c>
      <c r="J63">
        <v>3</v>
      </c>
      <c r="K63">
        <v>21.762499999999999</v>
      </c>
      <c r="L63">
        <v>173.6</v>
      </c>
      <c r="M63">
        <v>946</v>
      </c>
      <c r="N63">
        <v>476</v>
      </c>
      <c r="O63">
        <v>708</v>
      </c>
      <c r="P63">
        <v>777</v>
      </c>
      <c r="Q63">
        <v>286</v>
      </c>
      <c r="R63">
        <v>3.04</v>
      </c>
      <c r="S63" t="s">
        <v>151</v>
      </c>
    </row>
    <row r="64" spans="1:19" x14ac:dyDescent="0.25">
      <c r="A64" s="445" t="s">
        <v>252</v>
      </c>
      <c r="B64">
        <v>1.6449999999999999E-2</v>
      </c>
      <c r="C64">
        <v>66</v>
      </c>
      <c r="D64">
        <v>15.5</v>
      </c>
      <c r="E64">
        <v>218</v>
      </c>
      <c r="F64">
        <v>0</v>
      </c>
      <c r="G64">
        <v>111</v>
      </c>
      <c r="H64">
        <v>43</v>
      </c>
      <c r="I64">
        <v>5</v>
      </c>
      <c r="J64">
        <v>4</v>
      </c>
      <c r="K64" s="566">
        <v>55.878787878799997</v>
      </c>
      <c r="L64">
        <v>217.4</v>
      </c>
      <c r="M64">
        <v>789</v>
      </c>
      <c r="N64">
        <v>388</v>
      </c>
      <c r="O64">
        <v>485</v>
      </c>
      <c r="P64">
        <v>505</v>
      </c>
      <c r="Q64">
        <v>352</v>
      </c>
      <c r="R64">
        <v>4.6920000000000002</v>
      </c>
      <c r="S64" t="s">
        <v>151</v>
      </c>
    </row>
    <row r="65" spans="1:19" x14ac:dyDescent="0.25">
      <c r="A65" s="445" t="s">
        <v>245</v>
      </c>
      <c r="B65">
        <v>6.7428571428571399E-3</v>
      </c>
      <c r="C65">
        <v>80</v>
      </c>
      <c r="D65">
        <v>11</v>
      </c>
      <c r="E65">
        <v>226</v>
      </c>
      <c r="F65">
        <v>2</v>
      </c>
      <c r="G65">
        <v>139</v>
      </c>
      <c r="H65">
        <v>68</v>
      </c>
      <c r="I65">
        <v>4</v>
      </c>
      <c r="J65">
        <v>4</v>
      </c>
      <c r="K65">
        <v>31.837499999999999</v>
      </c>
      <c r="L65">
        <v>192.6</v>
      </c>
      <c r="M65">
        <v>445</v>
      </c>
      <c r="N65">
        <v>681</v>
      </c>
      <c r="O65">
        <v>516</v>
      </c>
      <c r="P65">
        <v>704</v>
      </c>
      <c r="Q65">
        <v>431</v>
      </c>
      <c r="R65">
        <v>3.3010000000000002</v>
      </c>
      <c r="S65" t="s">
        <v>151</v>
      </c>
    </row>
    <row r="66" spans="1:19" x14ac:dyDescent="0.25">
      <c r="A66" t="s">
        <v>687</v>
      </c>
    </row>
    <row r="84" spans="1:21" x14ac:dyDescent="0.25">
      <c r="A84" t="s">
        <v>170</v>
      </c>
      <c r="B84">
        <v>0</v>
      </c>
    </row>
    <row r="85" spans="1:21" x14ac:dyDescent="0.25">
      <c r="A85" t="s">
        <v>169</v>
      </c>
      <c r="B85">
        <v>0.05</v>
      </c>
    </row>
    <row r="86" spans="1:21" x14ac:dyDescent="0.25">
      <c r="A86" t="s">
        <v>172</v>
      </c>
      <c r="B86">
        <v>7.0000000000000007E-2</v>
      </c>
    </row>
    <row r="87" spans="1:21" x14ac:dyDescent="0.25">
      <c r="A87" t="s">
        <v>175</v>
      </c>
    </row>
    <row r="88" spans="1:21" x14ac:dyDescent="0.25">
      <c r="A88" t="s">
        <v>173</v>
      </c>
    </row>
    <row r="89" spans="1:21" x14ac:dyDescent="0.25">
      <c r="A89" t="s">
        <v>171</v>
      </c>
      <c r="B89">
        <v>7.4999999999999997E-2</v>
      </c>
    </row>
    <row r="91" spans="1:21" x14ac:dyDescent="0.25">
      <c r="B91" t="s">
        <v>133</v>
      </c>
      <c r="C91" t="s">
        <v>230</v>
      </c>
      <c r="D91" t="s">
        <v>488</v>
      </c>
      <c r="E91" t="s">
        <v>487</v>
      </c>
      <c r="F91" t="s">
        <v>486</v>
      </c>
      <c r="G91" t="s">
        <v>328</v>
      </c>
      <c r="H91" t="s">
        <v>440</v>
      </c>
      <c r="I91" t="s">
        <v>485</v>
      </c>
      <c r="J91" t="s">
        <v>484</v>
      </c>
      <c r="K91" t="s">
        <v>483</v>
      </c>
      <c r="L91" t="s">
        <v>482</v>
      </c>
      <c r="M91" t="s">
        <v>481</v>
      </c>
      <c r="N91" t="s">
        <v>480</v>
      </c>
      <c r="O91" t="s">
        <v>479</v>
      </c>
      <c r="P91" t="s">
        <v>478</v>
      </c>
      <c r="Q91" t="s">
        <v>477</v>
      </c>
      <c r="R91" t="s">
        <v>476</v>
      </c>
      <c r="S91" t="s">
        <v>475</v>
      </c>
    </row>
    <row r="92" spans="1:21" x14ac:dyDescent="0.25">
      <c r="A92" t="s">
        <v>11</v>
      </c>
      <c r="B92">
        <v>4.5</v>
      </c>
      <c r="C92">
        <v>-0.45</v>
      </c>
      <c r="E92">
        <v>-0.75</v>
      </c>
      <c r="I92">
        <v>35.700000000000003</v>
      </c>
      <c r="N92">
        <v>-9.9</v>
      </c>
      <c r="O92">
        <v>-12.9</v>
      </c>
      <c r="R92">
        <v>-4</v>
      </c>
      <c r="S92">
        <v>207</v>
      </c>
      <c r="T92">
        <v>-4.87</v>
      </c>
      <c r="U92">
        <v>211</v>
      </c>
    </row>
    <row r="93" spans="1:21" x14ac:dyDescent="0.25">
      <c r="A93" t="s">
        <v>2</v>
      </c>
      <c r="B93">
        <v>-3.75</v>
      </c>
      <c r="C93">
        <v>-0.5</v>
      </c>
      <c r="F93">
        <v>0.3</v>
      </c>
      <c r="G93">
        <v>0.77</v>
      </c>
      <c r="J93" s="393">
        <v>16</v>
      </c>
      <c r="P93">
        <v>8.1999999999999993</v>
      </c>
      <c r="R93">
        <v>4.59</v>
      </c>
      <c r="S93">
        <v>-231</v>
      </c>
      <c r="T93">
        <v>4.7300000000000004</v>
      </c>
      <c r="U93">
        <v>-242</v>
      </c>
    </row>
    <row r="94" spans="1:21" x14ac:dyDescent="0.25">
      <c r="A94" t="s">
        <v>3</v>
      </c>
      <c r="B94">
        <v>5.9</v>
      </c>
      <c r="C94">
        <v>0.65</v>
      </c>
      <c r="E94">
        <v>-0.5</v>
      </c>
      <c r="K94" s="393">
        <v>-28.6</v>
      </c>
      <c r="Q94" s="393">
        <v>8</v>
      </c>
      <c r="R94">
        <v>-1.915</v>
      </c>
      <c r="S94">
        <v>102</v>
      </c>
      <c r="T94">
        <v>-2</v>
      </c>
      <c r="U94">
        <v>99.5</v>
      </c>
    </row>
    <row r="95" spans="1:21" x14ac:dyDescent="0.25">
      <c r="A95" t="s">
        <v>295</v>
      </c>
      <c r="B95">
        <v>-4.2</v>
      </c>
      <c r="C95">
        <v>1.05</v>
      </c>
      <c r="D95">
        <v>0.45</v>
      </c>
      <c r="L95" s="393">
        <v>-41.5</v>
      </c>
      <c r="Q95" s="393">
        <v>9</v>
      </c>
      <c r="R95">
        <v>-3.835</v>
      </c>
      <c r="S95">
        <v>-8.6999999999999993</v>
      </c>
      <c r="T95">
        <v>-4.25</v>
      </c>
      <c r="U95">
        <v>-9.6999999999999993</v>
      </c>
    </row>
    <row r="96" spans="1:21" x14ac:dyDescent="0.25">
      <c r="A96" t="s">
        <v>5</v>
      </c>
      <c r="B96">
        <v>-6</v>
      </c>
      <c r="C96">
        <v>-0.5</v>
      </c>
      <c r="G96">
        <v>0.76</v>
      </c>
      <c r="H96">
        <v>1.54</v>
      </c>
      <c r="M96" s="393">
        <v>34.799999999999997</v>
      </c>
      <c r="N96" s="393">
        <v>-17</v>
      </c>
      <c r="O96" s="393">
        <v>-10</v>
      </c>
      <c r="R96">
        <v>5.2</v>
      </c>
      <c r="S96">
        <v>-249</v>
      </c>
      <c r="T96">
        <v>4.9000000000000004</v>
      </c>
      <c r="U96">
        <v>-243</v>
      </c>
    </row>
  </sheetData>
  <sheetProtection selectLockedCells="1"/>
  <autoFilter ref="A1:S66" xr:uid="{00000000-0001-0000-0400-000000000000}"/>
  <customSheetViews>
    <customSheetView guid="{58F65609-3622-42C4-9926-1A56B88F9C36}" state="hidden">
      <selection activeCell="F29" sqref="F29"/>
      <pageMargins left="0.7" right="0.7" top="0.75" bottom="0.75" header="0.3" footer="0.3"/>
    </customSheetView>
  </customSheetViews>
  <pageMargins left="0.7" right="0.7" top="0.75" bottom="0.75" header="0.3" footer="0.3"/>
  <pageSetup paperSize="9"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D51"/>
  <sheetViews>
    <sheetView workbookViewId="0">
      <selection activeCell="A35" sqref="A35:XFD35"/>
    </sheetView>
  </sheetViews>
  <sheetFormatPr defaultRowHeight="12.75" x14ac:dyDescent="0.2"/>
  <cols>
    <col min="1" max="1" width="9.140625" style="315"/>
    <col min="2" max="2" width="30.140625" style="315" customWidth="1"/>
    <col min="3" max="3" width="45" style="315" customWidth="1"/>
    <col min="4" max="4" width="56.5703125" style="315" customWidth="1"/>
    <col min="5" max="16384" width="9.140625" style="315"/>
  </cols>
  <sheetData>
    <row r="1" spans="2:4" x14ac:dyDescent="0.2">
      <c r="C1" s="315" t="s">
        <v>688</v>
      </c>
      <c r="D1" s="315" t="s">
        <v>689</v>
      </c>
    </row>
    <row r="2" spans="2:4" x14ac:dyDescent="0.2">
      <c r="B2" s="315" t="s">
        <v>690</v>
      </c>
      <c r="C2" s="315" t="s">
        <v>691</v>
      </c>
    </row>
    <row r="3" spans="2:4" x14ac:dyDescent="0.2">
      <c r="B3" s="315" t="s">
        <v>49</v>
      </c>
      <c r="C3" s="388" t="s">
        <v>692</v>
      </c>
      <c r="D3" s="388" t="s">
        <v>693</v>
      </c>
    </row>
    <row r="4" spans="2:4" x14ac:dyDescent="0.2">
      <c r="B4" s="315" t="s">
        <v>257</v>
      </c>
      <c r="C4" s="388" t="s">
        <v>694</v>
      </c>
      <c r="D4" s="388" t="s">
        <v>695</v>
      </c>
    </row>
    <row r="5" spans="2:4" x14ac:dyDescent="0.2">
      <c r="B5" s="315" t="s">
        <v>50</v>
      </c>
      <c r="C5" s="315" t="s">
        <v>696</v>
      </c>
    </row>
    <row r="6" spans="2:4" x14ac:dyDescent="0.2">
      <c r="B6" s="315" t="s">
        <v>51</v>
      </c>
      <c r="C6" s="388" t="s">
        <v>697</v>
      </c>
    </row>
    <row r="7" spans="2:4" x14ac:dyDescent="0.2">
      <c r="B7" s="389" t="s">
        <v>698</v>
      </c>
      <c r="C7" s="388" t="s">
        <v>699</v>
      </c>
    </row>
    <row r="8" spans="2:4" x14ac:dyDescent="0.2">
      <c r="B8" s="389" t="s">
        <v>700</v>
      </c>
      <c r="C8" s="388" t="s">
        <v>701</v>
      </c>
    </row>
    <row r="9" spans="2:4" x14ac:dyDescent="0.2">
      <c r="B9" s="315" t="s">
        <v>159</v>
      </c>
      <c r="C9" s="388" t="s">
        <v>702</v>
      </c>
      <c r="D9" s="388" t="s">
        <v>703</v>
      </c>
    </row>
    <row r="10" spans="2:4" x14ac:dyDescent="0.2">
      <c r="B10" s="315" t="s">
        <v>54</v>
      </c>
      <c r="C10" s="315" t="s">
        <v>704</v>
      </c>
      <c r="D10" s="388" t="s">
        <v>705</v>
      </c>
    </row>
    <row r="11" spans="2:4" x14ac:dyDescent="0.2">
      <c r="B11" s="315" t="s">
        <v>57</v>
      </c>
      <c r="C11" s="388" t="s">
        <v>706</v>
      </c>
      <c r="D11" s="388" t="s">
        <v>707</v>
      </c>
    </row>
    <row r="12" spans="2:4" x14ac:dyDescent="0.2">
      <c r="B12" s="315" t="s">
        <v>708</v>
      </c>
      <c r="C12" s="388" t="s">
        <v>709</v>
      </c>
      <c r="D12" s="388" t="s">
        <v>710</v>
      </c>
    </row>
    <row r="13" spans="2:4" x14ac:dyDescent="0.2">
      <c r="B13" s="315" t="s">
        <v>59</v>
      </c>
      <c r="C13" s="388" t="s">
        <v>711</v>
      </c>
      <c r="D13" s="388" t="s">
        <v>712</v>
      </c>
    </row>
    <row r="14" spans="2:4" x14ac:dyDescent="0.2">
      <c r="B14" s="315" t="s">
        <v>60</v>
      </c>
      <c r="C14" s="388" t="s">
        <v>713</v>
      </c>
    </row>
    <row r="15" spans="2:4" x14ac:dyDescent="0.2">
      <c r="B15" s="315" t="s">
        <v>301</v>
      </c>
      <c r="C15" s="315" t="s">
        <v>714</v>
      </c>
    </row>
    <row r="16" spans="2:4" x14ac:dyDescent="0.2">
      <c r="B16" s="315" t="s">
        <v>62</v>
      </c>
      <c r="C16" s="388" t="s">
        <v>715</v>
      </c>
      <c r="D16" s="388" t="s">
        <v>716</v>
      </c>
    </row>
    <row r="17" spans="2:4" x14ac:dyDescent="0.2">
      <c r="B17" s="315" t="s">
        <v>717</v>
      </c>
      <c r="C17" s="388" t="s">
        <v>711</v>
      </c>
    </row>
    <row r="18" spans="2:4" x14ac:dyDescent="0.2">
      <c r="B18" s="315" t="s">
        <v>63</v>
      </c>
      <c r="C18" s="388" t="s">
        <v>718</v>
      </c>
    </row>
    <row r="19" spans="2:4" x14ac:dyDescent="0.2">
      <c r="B19" s="389" t="s">
        <v>719</v>
      </c>
      <c r="C19" s="388" t="s">
        <v>720</v>
      </c>
    </row>
    <row r="20" spans="2:4" x14ac:dyDescent="0.2">
      <c r="B20" s="315" t="s">
        <v>65</v>
      </c>
      <c r="C20" s="388" t="s">
        <v>721</v>
      </c>
    </row>
    <row r="21" spans="2:4" x14ac:dyDescent="0.2">
      <c r="B21" s="315" t="s">
        <v>66</v>
      </c>
      <c r="C21" s="388" t="s">
        <v>722</v>
      </c>
      <c r="D21" s="388" t="s">
        <v>723</v>
      </c>
    </row>
    <row r="22" spans="2:4" x14ac:dyDescent="0.2">
      <c r="B22" s="315" t="s">
        <v>67</v>
      </c>
      <c r="C22" s="388" t="s">
        <v>707</v>
      </c>
    </row>
    <row r="23" spans="2:4" x14ac:dyDescent="0.2">
      <c r="B23" s="389" t="s">
        <v>724</v>
      </c>
      <c r="C23" s="388" t="s">
        <v>725</v>
      </c>
    </row>
    <row r="24" spans="2:4" x14ac:dyDescent="0.2">
      <c r="B24" s="315" t="s">
        <v>69</v>
      </c>
      <c r="C24" s="388" t="s">
        <v>726</v>
      </c>
      <c r="D24" s="388" t="s">
        <v>727</v>
      </c>
    </row>
    <row r="25" spans="2:4" x14ac:dyDescent="0.2">
      <c r="B25" s="315" t="s">
        <v>728</v>
      </c>
      <c r="C25" s="315" t="s">
        <v>729</v>
      </c>
    </row>
    <row r="26" spans="2:4" x14ac:dyDescent="0.2">
      <c r="B26" s="315" t="s">
        <v>71</v>
      </c>
      <c r="C26" s="388" t="s">
        <v>730</v>
      </c>
      <c r="D26" s="388" t="s">
        <v>731</v>
      </c>
    </row>
    <row r="27" spans="2:4" x14ac:dyDescent="0.2">
      <c r="B27" s="315" t="s">
        <v>72</v>
      </c>
      <c r="C27" s="388" t="s">
        <v>766</v>
      </c>
      <c r="D27" s="388" t="s">
        <v>732</v>
      </c>
    </row>
    <row r="28" spans="2:4" x14ac:dyDescent="0.2">
      <c r="B28" s="315" t="s">
        <v>253</v>
      </c>
      <c r="C28" s="315" t="s">
        <v>733</v>
      </c>
    </row>
    <row r="29" spans="2:4" x14ac:dyDescent="0.2">
      <c r="B29" s="315" t="s">
        <v>74</v>
      </c>
      <c r="C29" s="388" t="s">
        <v>784</v>
      </c>
    </row>
    <row r="30" spans="2:4" x14ac:dyDescent="0.2">
      <c r="B30" s="315" t="s">
        <v>76</v>
      </c>
      <c r="C30" s="388" t="s">
        <v>734</v>
      </c>
      <c r="D30" s="388" t="s">
        <v>735</v>
      </c>
    </row>
    <row r="31" spans="2:4" x14ac:dyDescent="0.2">
      <c r="B31" s="315" t="s">
        <v>252</v>
      </c>
      <c r="C31" s="388" t="s">
        <v>736</v>
      </c>
      <c r="D31" s="388" t="s">
        <v>737</v>
      </c>
    </row>
    <row r="32" spans="2:4" x14ac:dyDescent="0.2">
      <c r="B32" s="315" t="s">
        <v>89</v>
      </c>
      <c r="C32" s="388" t="s">
        <v>738</v>
      </c>
      <c r="D32" s="388" t="s">
        <v>739</v>
      </c>
    </row>
    <row r="33" spans="2:4" x14ac:dyDescent="0.2">
      <c r="B33" s="315" t="s">
        <v>77</v>
      </c>
      <c r="C33" s="388" t="s">
        <v>740</v>
      </c>
    </row>
    <row r="34" spans="2:4" x14ac:dyDescent="0.2">
      <c r="B34" s="389" t="s">
        <v>741</v>
      </c>
      <c r="C34" s="388" t="s">
        <v>742</v>
      </c>
      <c r="D34" s="388" t="s">
        <v>743</v>
      </c>
    </row>
    <row r="35" spans="2:4" x14ac:dyDescent="0.2">
      <c r="B35" s="389" t="s">
        <v>744</v>
      </c>
      <c r="C35" s="388" t="s">
        <v>745</v>
      </c>
    </row>
    <row r="36" spans="2:4" x14ac:dyDescent="0.2">
      <c r="B36" s="315" t="s">
        <v>80</v>
      </c>
      <c r="C36" s="388" t="s">
        <v>746</v>
      </c>
      <c r="D36" s="388" t="s">
        <v>747</v>
      </c>
    </row>
    <row r="37" spans="2:4" x14ac:dyDescent="0.2">
      <c r="B37" s="315" t="s">
        <v>81</v>
      </c>
      <c r="C37" s="388" t="s">
        <v>748</v>
      </c>
    </row>
    <row r="38" spans="2:4" x14ac:dyDescent="0.2">
      <c r="B38" s="389" t="s">
        <v>749</v>
      </c>
      <c r="C38" s="388" t="s">
        <v>750</v>
      </c>
    </row>
    <row r="39" spans="2:4" x14ac:dyDescent="0.2">
      <c r="B39" s="315" t="s">
        <v>83</v>
      </c>
      <c r="C39" s="388" t="s">
        <v>751</v>
      </c>
    </row>
    <row r="40" spans="2:4" x14ac:dyDescent="0.2">
      <c r="B40" s="315" t="s">
        <v>83</v>
      </c>
      <c r="C40" s="388" t="s">
        <v>752</v>
      </c>
    </row>
    <row r="41" spans="2:4" x14ac:dyDescent="0.2">
      <c r="B41" s="315" t="s">
        <v>84</v>
      </c>
      <c r="C41" s="388" t="s">
        <v>753</v>
      </c>
      <c r="D41" s="388"/>
    </row>
    <row r="42" spans="2:4" x14ac:dyDescent="0.2">
      <c r="B42" s="315" t="s">
        <v>88</v>
      </c>
      <c r="C42" s="315" t="s">
        <v>696</v>
      </c>
    </row>
    <row r="43" spans="2:4" x14ac:dyDescent="0.2">
      <c r="B43" s="315" t="s">
        <v>85</v>
      </c>
      <c r="C43" s="388" t="s">
        <v>754</v>
      </c>
      <c r="D43" s="388" t="s">
        <v>755</v>
      </c>
    </row>
    <row r="44" spans="2:4" x14ac:dyDescent="0.2">
      <c r="B44" s="315" t="s">
        <v>86</v>
      </c>
      <c r="C44" s="315" t="s">
        <v>714</v>
      </c>
    </row>
    <row r="45" spans="2:4" x14ac:dyDescent="0.2">
      <c r="B45" s="315" t="s">
        <v>756</v>
      </c>
      <c r="C45" s="388" t="s">
        <v>757</v>
      </c>
    </row>
    <row r="46" spans="2:4" x14ac:dyDescent="0.2">
      <c r="B46" s="389" t="s">
        <v>758</v>
      </c>
      <c r="C46" s="388" t="s">
        <v>759</v>
      </c>
    </row>
    <row r="47" spans="2:4" x14ac:dyDescent="0.2">
      <c r="B47" s="389" t="s">
        <v>760</v>
      </c>
      <c r="C47" s="315" t="s">
        <v>761</v>
      </c>
    </row>
    <row r="48" spans="2:4" x14ac:dyDescent="0.2">
      <c r="B48" s="389" t="s">
        <v>57</v>
      </c>
      <c r="C48" s="388" t="s">
        <v>706</v>
      </c>
    </row>
    <row r="49" spans="2:4" x14ac:dyDescent="0.2">
      <c r="B49" s="389" t="s">
        <v>73</v>
      </c>
      <c r="C49" s="388" t="s">
        <v>762</v>
      </c>
    </row>
    <row r="50" spans="2:4" x14ac:dyDescent="0.2">
      <c r="B50" s="389" t="s">
        <v>75</v>
      </c>
      <c r="C50" s="388" t="s">
        <v>763</v>
      </c>
    </row>
    <row r="51" spans="2:4" x14ac:dyDescent="0.2">
      <c r="B51" s="315" t="s">
        <v>245</v>
      </c>
      <c r="C51" s="315" t="s">
        <v>765</v>
      </c>
      <c r="D51" s="388" t="s">
        <v>764</v>
      </c>
    </row>
  </sheetData>
  <sheetProtection selectLockedCells="1"/>
  <customSheetViews>
    <customSheetView guid="{58F65609-3622-42C4-9926-1A56B88F9C36}" topLeftCell="A7">
      <selection activeCell="C7" sqref="C7"/>
      <pageMargins left="0.7" right="0.7" top="0.75" bottom="0.75" header="0.3" footer="0.3"/>
    </customSheetView>
  </customSheetViews>
  <phoneticPr fontId="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E45"/>
  <sheetViews>
    <sheetView workbookViewId="0">
      <selection activeCell="F5" sqref="F5"/>
    </sheetView>
  </sheetViews>
  <sheetFormatPr defaultRowHeight="15" x14ac:dyDescent="0.25"/>
  <cols>
    <col min="1" max="1" width="11.140625" customWidth="1"/>
    <col min="2" max="7" width="9.140625" style="44"/>
    <col min="8" max="9" width="9.140625" style="44" customWidth="1"/>
    <col min="10" max="10" width="9.140625" style="44"/>
    <col min="11" max="11" width="12.140625" bestFit="1" customWidth="1"/>
    <col min="12" max="12" width="11.42578125" bestFit="1" customWidth="1"/>
    <col min="13" max="17" width="13.85546875" customWidth="1"/>
    <col min="18" max="18" width="14.28515625" customWidth="1"/>
    <col min="19" max="20" width="14.28515625" bestFit="1" customWidth="1"/>
    <col min="21" max="21" width="15.140625" customWidth="1"/>
  </cols>
  <sheetData>
    <row r="1" spans="1:31" x14ac:dyDescent="0.25">
      <c r="A1" s="44"/>
      <c r="C1"/>
      <c r="D1"/>
      <c r="E1"/>
      <c r="F1"/>
      <c r="G1"/>
      <c r="H1"/>
      <c r="I1"/>
      <c r="J1"/>
    </row>
    <row r="2" spans="1:31" x14ac:dyDescent="0.25">
      <c r="A2" s="44"/>
      <c r="B2" s="813" t="s">
        <v>818</v>
      </c>
      <c r="C2"/>
      <c r="D2" s="815" t="s">
        <v>817</v>
      </c>
      <c r="E2"/>
      <c r="F2"/>
      <c r="G2"/>
      <c r="H2"/>
      <c r="I2"/>
      <c r="J2"/>
    </row>
    <row r="3" spans="1:31" x14ac:dyDescent="0.25">
      <c r="A3" s="44"/>
      <c r="B3" s="814"/>
      <c r="C3"/>
      <c r="D3" s="816"/>
      <c r="E3"/>
      <c r="F3"/>
      <c r="G3"/>
      <c r="H3"/>
      <c r="I3"/>
      <c r="J3"/>
    </row>
    <row r="4" spans="1:31" x14ac:dyDescent="0.25">
      <c r="A4" s="44"/>
      <c r="B4" s="646">
        <v>-20</v>
      </c>
      <c r="C4" s="645" t="s">
        <v>816</v>
      </c>
      <c r="D4" s="644">
        <v>99.587999999999994</v>
      </c>
      <c r="E4"/>
      <c r="F4"/>
      <c r="G4"/>
      <c r="H4"/>
      <c r="I4"/>
      <c r="J4"/>
    </row>
    <row r="5" spans="1:31" ht="15.75" customHeight="1" x14ac:dyDescent="0.25">
      <c r="A5" s="44"/>
      <c r="B5" s="648"/>
      <c r="C5" s="647"/>
      <c r="D5"/>
      <c r="E5"/>
      <c r="F5"/>
      <c r="G5"/>
      <c r="H5"/>
      <c r="I5"/>
      <c r="J5"/>
    </row>
    <row r="6" spans="1:31" x14ac:dyDescent="0.25">
      <c r="A6" s="44"/>
      <c r="B6" s="646">
        <v>-40</v>
      </c>
      <c r="C6" s="645" t="s">
        <v>815</v>
      </c>
      <c r="D6" s="644">
        <v>99.626000000000005</v>
      </c>
      <c r="E6"/>
      <c r="F6"/>
      <c r="G6"/>
      <c r="H6"/>
      <c r="I6"/>
      <c r="J6"/>
    </row>
    <row r="7" spans="1:31" x14ac:dyDescent="0.25">
      <c r="A7" s="44"/>
      <c r="B7" s="648"/>
      <c r="C7" s="647"/>
      <c r="D7"/>
      <c r="E7"/>
      <c r="F7"/>
      <c r="G7"/>
      <c r="H7"/>
      <c r="I7"/>
      <c r="J7"/>
    </row>
    <row r="8" spans="1:31" x14ac:dyDescent="0.25">
      <c r="A8" s="44"/>
      <c r="B8" s="646">
        <v>0</v>
      </c>
      <c r="C8" s="645" t="s">
        <v>814</v>
      </c>
      <c r="D8" s="644">
        <v>99.602999999999994</v>
      </c>
      <c r="E8"/>
      <c r="F8"/>
      <c r="G8"/>
      <c r="H8"/>
      <c r="I8"/>
      <c r="J8"/>
    </row>
    <row r="9" spans="1:31" ht="15" customHeight="1" x14ac:dyDescent="0.25">
      <c r="K9" s="811" t="s">
        <v>812</v>
      </c>
      <c r="L9" s="811"/>
      <c r="M9" s="811"/>
      <c r="N9" s="811"/>
      <c r="O9" s="44"/>
      <c r="P9" s="44"/>
    </row>
    <row r="10" spans="1:31" ht="15" customHeight="1" x14ac:dyDescent="0.25">
      <c r="K10" s="811"/>
      <c r="L10" s="811"/>
      <c r="M10" s="811"/>
      <c r="N10" s="811"/>
      <c r="V10" s="643"/>
      <c r="W10" s="643"/>
      <c r="X10" s="643"/>
      <c r="Y10" s="643"/>
      <c r="Z10" s="643"/>
      <c r="AA10" s="643"/>
      <c r="AB10" s="643"/>
      <c r="AC10" s="643"/>
      <c r="AD10" s="643"/>
      <c r="AE10" s="643"/>
    </row>
    <row r="11" spans="1:31" x14ac:dyDescent="0.25">
      <c r="A11" s="812" t="s">
        <v>813</v>
      </c>
      <c r="L11" s="643"/>
      <c r="M11" s="643"/>
      <c r="N11" s="643"/>
      <c r="O11" s="643"/>
      <c r="P11" s="643"/>
      <c r="Q11" s="643"/>
      <c r="R11" s="643"/>
      <c r="S11" s="643"/>
      <c r="T11" s="643"/>
      <c r="U11" s="643"/>
      <c r="V11" s="643"/>
      <c r="W11" s="643"/>
      <c r="X11" s="643"/>
      <c r="Y11" s="643"/>
      <c r="Z11" s="643"/>
      <c r="AA11" s="643"/>
      <c r="AB11" s="643"/>
      <c r="AC11" s="643"/>
      <c r="AD11" s="643"/>
      <c r="AE11" s="643"/>
    </row>
    <row r="12" spans="1:31" x14ac:dyDescent="0.25">
      <c r="A12" s="812"/>
      <c r="L12" s="643"/>
      <c r="M12" s="643"/>
      <c r="N12" s="643"/>
      <c r="O12" s="643"/>
      <c r="P12" s="643"/>
      <c r="Q12" s="643"/>
      <c r="R12" s="643"/>
      <c r="S12" s="643"/>
      <c r="T12" s="643"/>
      <c r="U12" s="643"/>
      <c r="V12" s="643"/>
      <c r="W12" s="643"/>
      <c r="X12" s="643"/>
      <c r="Y12" s="643"/>
      <c r="Z12" s="643"/>
      <c r="AA12" s="643"/>
      <c r="AB12" s="643"/>
      <c r="AC12" s="643"/>
      <c r="AD12" s="643"/>
      <c r="AE12" s="643"/>
    </row>
    <row r="13" spans="1:31" x14ac:dyDescent="0.25">
      <c r="A13" s="812"/>
      <c r="L13" s="643"/>
      <c r="M13" s="643"/>
      <c r="N13" s="643"/>
      <c r="O13" s="643"/>
      <c r="P13" s="643"/>
      <c r="Q13" s="643"/>
      <c r="R13" s="643"/>
      <c r="S13" s="643"/>
      <c r="T13" s="643"/>
      <c r="U13" s="643"/>
      <c r="V13" s="643"/>
      <c r="W13" s="643"/>
      <c r="X13" s="643"/>
      <c r="Y13" s="643"/>
      <c r="Z13" s="643"/>
      <c r="AA13" s="643"/>
      <c r="AB13" s="643"/>
      <c r="AC13" s="643"/>
      <c r="AD13" s="643"/>
      <c r="AE13" s="643"/>
    </row>
    <row r="14" spans="1:31" x14ac:dyDescent="0.25">
      <c r="A14" s="812"/>
      <c r="L14" s="643"/>
      <c r="M14" s="643"/>
      <c r="N14" s="643"/>
      <c r="O14" s="643"/>
      <c r="P14" s="643"/>
      <c r="Q14" s="643"/>
      <c r="R14" s="643"/>
      <c r="S14" s="643"/>
      <c r="T14" s="643"/>
      <c r="U14" s="643"/>
      <c r="V14" s="643"/>
      <c r="W14" s="643"/>
      <c r="X14" s="643"/>
      <c r="Y14" s="643"/>
      <c r="Z14" s="643"/>
      <c r="AA14" s="643"/>
      <c r="AB14" s="643"/>
      <c r="AC14" s="643"/>
      <c r="AD14" s="643"/>
      <c r="AE14" s="643"/>
    </row>
    <row r="15" spans="1:31" x14ac:dyDescent="0.25">
      <c r="A15" s="812"/>
      <c r="L15" s="643"/>
      <c r="M15" s="643"/>
      <c r="N15" s="643"/>
      <c r="O15" s="643"/>
      <c r="P15" s="643"/>
      <c r="Q15" s="643"/>
      <c r="R15" s="643"/>
      <c r="S15" s="643"/>
      <c r="T15" s="643"/>
      <c r="U15" s="643"/>
      <c r="V15" s="643"/>
      <c r="W15" s="643"/>
      <c r="X15" s="643"/>
      <c r="Y15" s="643"/>
      <c r="Z15" s="643"/>
      <c r="AA15" s="643"/>
      <c r="AB15" s="643"/>
      <c r="AC15" s="643"/>
      <c r="AD15" s="643"/>
      <c r="AE15" s="643"/>
    </row>
    <row r="16" spans="1:31" x14ac:dyDescent="0.25">
      <c r="A16" s="812"/>
      <c r="L16" s="643"/>
      <c r="M16" s="643"/>
      <c r="N16" s="643"/>
      <c r="O16" s="643"/>
      <c r="P16" s="643"/>
      <c r="Q16" s="643"/>
      <c r="R16" s="643"/>
      <c r="S16" s="643"/>
      <c r="T16" s="643"/>
      <c r="U16" s="643"/>
      <c r="V16" s="643"/>
      <c r="W16" s="643"/>
      <c r="X16" s="643"/>
      <c r="Y16" s="643"/>
      <c r="Z16" s="643"/>
      <c r="AA16" s="643"/>
      <c r="AB16" s="643"/>
      <c r="AC16" s="643"/>
      <c r="AD16" s="643"/>
      <c r="AE16" s="643"/>
    </row>
    <row r="17" spans="1:31" x14ac:dyDescent="0.25">
      <c r="A17" s="812"/>
      <c r="L17" s="643"/>
      <c r="M17" s="643"/>
      <c r="N17" s="643"/>
      <c r="O17" s="643"/>
      <c r="P17" s="643"/>
      <c r="Q17" s="643"/>
      <c r="R17" s="643"/>
      <c r="S17" s="643"/>
      <c r="T17" s="643"/>
      <c r="U17" s="643"/>
      <c r="V17" s="643"/>
      <c r="W17" s="643"/>
      <c r="X17" s="643"/>
      <c r="Y17" s="643"/>
      <c r="Z17" s="643"/>
      <c r="AA17" s="643"/>
      <c r="AB17" s="643"/>
      <c r="AC17" s="643"/>
      <c r="AD17" s="643"/>
      <c r="AE17" s="643"/>
    </row>
    <row r="18" spans="1:31" x14ac:dyDescent="0.25">
      <c r="A18" s="812"/>
      <c r="L18" s="643"/>
      <c r="M18" s="643"/>
      <c r="N18" s="643"/>
      <c r="O18" s="643"/>
      <c r="P18" s="643"/>
      <c r="Q18" s="643"/>
      <c r="R18" s="643"/>
      <c r="S18" s="643"/>
      <c r="T18" s="643"/>
      <c r="U18" s="643"/>
      <c r="V18" s="643"/>
      <c r="W18" s="643"/>
      <c r="X18" s="643"/>
      <c r="Y18" s="643"/>
      <c r="Z18" s="643"/>
      <c r="AA18" s="643"/>
      <c r="AB18" s="643"/>
      <c r="AC18" s="643"/>
      <c r="AD18" s="643"/>
      <c r="AE18" s="643"/>
    </row>
    <row r="19" spans="1:31" x14ac:dyDescent="0.25">
      <c r="A19" s="812"/>
      <c r="L19" s="643"/>
      <c r="M19" s="643"/>
      <c r="N19" s="643"/>
      <c r="O19" s="643"/>
      <c r="P19" s="643"/>
      <c r="Q19" s="643"/>
      <c r="R19" s="643"/>
      <c r="S19" s="643"/>
      <c r="T19" s="643"/>
      <c r="U19" s="643"/>
      <c r="V19" s="643"/>
      <c r="W19" s="643"/>
      <c r="X19" s="643"/>
      <c r="Y19" s="643"/>
      <c r="Z19" s="643"/>
      <c r="AA19" s="643"/>
      <c r="AB19" s="643"/>
      <c r="AC19" s="643"/>
      <c r="AD19" s="643"/>
      <c r="AE19" s="643"/>
    </row>
    <row r="20" spans="1:31" x14ac:dyDescent="0.25">
      <c r="A20" s="812"/>
      <c r="L20" s="643"/>
      <c r="M20" s="643"/>
      <c r="N20" s="643"/>
      <c r="O20" s="643"/>
      <c r="P20" s="643"/>
      <c r="Q20" s="643"/>
      <c r="R20" s="643"/>
      <c r="S20" s="643"/>
      <c r="T20" s="643"/>
      <c r="U20" s="643"/>
      <c r="V20" s="643"/>
      <c r="W20" s="643"/>
      <c r="X20" s="643"/>
      <c r="Y20" s="643"/>
      <c r="Z20" s="643"/>
      <c r="AA20" s="643"/>
      <c r="AB20" s="643"/>
      <c r="AC20" s="643"/>
      <c r="AD20" s="643"/>
      <c r="AE20" s="643"/>
    </row>
    <row r="21" spans="1:31" x14ac:dyDescent="0.25">
      <c r="A21" s="812"/>
      <c r="L21" s="643"/>
      <c r="M21" s="643"/>
      <c r="N21" s="643"/>
      <c r="O21" s="643"/>
      <c r="P21" s="643"/>
      <c r="Q21" s="643"/>
      <c r="R21" s="643"/>
      <c r="S21" s="643"/>
      <c r="T21" s="643"/>
      <c r="U21" s="643"/>
      <c r="V21" s="643"/>
      <c r="W21" s="643"/>
      <c r="X21" s="643"/>
      <c r="Y21" s="643"/>
      <c r="Z21" s="643"/>
      <c r="AA21" s="643"/>
      <c r="AB21" s="643"/>
      <c r="AC21" s="643"/>
      <c r="AD21" s="643"/>
      <c r="AE21" s="643"/>
    </row>
    <row r="22" spans="1:31" x14ac:dyDescent="0.25">
      <c r="A22" s="812"/>
      <c r="L22" s="643"/>
      <c r="M22" s="643"/>
      <c r="N22" s="643"/>
      <c r="O22" s="643"/>
      <c r="P22" s="643"/>
      <c r="Q22" s="643"/>
      <c r="R22" s="643"/>
      <c r="S22" s="643"/>
      <c r="T22" s="643"/>
      <c r="U22" s="643"/>
      <c r="V22" s="643"/>
      <c r="W22" s="643"/>
      <c r="X22" s="643"/>
      <c r="Y22" s="643"/>
      <c r="Z22" s="643"/>
      <c r="AA22" s="643"/>
      <c r="AB22" s="643"/>
      <c r="AC22" s="643"/>
      <c r="AD22" s="643"/>
      <c r="AE22" s="643"/>
    </row>
    <row r="23" spans="1:31" x14ac:dyDescent="0.25">
      <c r="A23" s="812"/>
      <c r="L23" s="643"/>
      <c r="M23" s="643"/>
      <c r="N23" s="643"/>
      <c r="O23" s="643"/>
      <c r="P23" s="643"/>
      <c r="Q23" s="643"/>
      <c r="R23" s="643"/>
      <c r="S23" s="643"/>
      <c r="T23" s="643"/>
      <c r="U23" s="643"/>
      <c r="V23" s="643"/>
      <c r="W23" s="643"/>
      <c r="X23" s="643"/>
      <c r="Y23" s="643"/>
      <c r="Z23" s="643"/>
      <c r="AA23" s="643"/>
      <c r="AB23" s="643"/>
      <c r="AC23" s="643"/>
      <c r="AD23" s="643"/>
      <c r="AE23" s="643"/>
    </row>
    <row r="24" spans="1:31" x14ac:dyDescent="0.25">
      <c r="A24" s="812"/>
      <c r="L24" s="643"/>
      <c r="M24" s="643"/>
      <c r="N24" s="643"/>
      <c r="O24" s="643"/>
      <c r="P24" s="643"/>
      <c r="Q24" s="643"/>
      <c r="R24" s="643"/>
      <c r="S24" s="643"/>
      <c r="T24" s="643"/>
      <c r="U24" s="643"/>
      <c r="V24" s="643"/>
      <c r="W24" s="643"/>
      <c r="X24" s="643"/>
      <c r="Y24" s="643"/>
      <c r="Z24" s="643"/>
      <c r="AA24" s="643"/>
      <c r="AB24" s="643"/>
      <c r="AC24" s="643"/>
      <c r="AD24" s="643"/>
      <c r="AE24" s="643"/>
    </row>
    <row r="25" spans="1:31" x14ac:dyDescent="0.25">
      <c r="A25" s="812"/>
      <c r="L25" s="643"/>
      <c r="M25" s="643"/>
      <c r="N25" s="643"/>
      <c r="O25" s="643"/>
      <c r="P25" s="643"/>
      <c r="Q25" s="643"/>
      <c r="R25" s="643"/>
      <c r="S25" s="643"/>
      <c r="T25" s="643"/>
      <c r="U25" s="643"/>
      <c r="V25" s="643"/>
      <c r="W25" s="643"/>
      <c r="X25" s="643"/>
      <c r="Y25" s="643"/>
      <c r="Z25" s="643"/>
      <c r="AA25" s="643"/>
      <c r="AB25" s="643"/>
      <c r="AC25" s="643"/>
      <c r="AD25" s="643"/>
      <c r="AE25" s="643"/>
    </row>
    <row r="26" spans="1:31" x14ac:dyDescent="0.25">
      <c r="A26" s="812"/>
      <c r="L26" s="643"/>
      <c r="M26" s="643"/>
      <c r="N26" s="643"/>
      <c r="O26" s="643"/>
      <c r="P26" s="643"/>
      <c r="Q26" s="643"/>
      <c r="R26" s="643"/>
      <c r="S26" s="643"/>
      <c r="T26" s="643"/>
      <c r="U26" s="643"/>
      <c r="V26" s="643"/>
      <c r="W26" s="643"/>
      <c r="X26" s="643"/>
      <c r="Y26" s="643"/>
      <c r="Z26" s="643"/>
      <c r="AA26" s="643"/>
      <c r="AB26" s="643"/>
      <c r="AC26" s="643"/>
      <c r="AD26" s="643"/>
      <c r="AE26" s="643"/>
    </row>
    <row r="27" spans="1:31" x14ac:dyDescent="0.25">
      <c r="A27" s="812"/>
      <c r="L27" s="643"/>
      <c r="M27" s="643"/>
      <c r="N27" s="643"/>
      <c r="O27" s="643"/>
      <c r="P27" s="643"/>
      <c r="Q27" s="643"/>
      <c r="R27" s="643"/>
      <c r="S27" s="643"/>
      <c r="T27" s="643"/>
      <c r="U27" s="643"/>
      <c r="V27" s="643"/>
      <c r="W27" s="643"/>
      <c r="X27" s="643"/>
      <c r="Y27" s="643"/>
      <c r="Z27" s="643"/>
      <c r="AA27" s="643"/>
      <c r="AB27" s="643"/>
      <c r="AC27" s="643"/>
      <c r="AD27" s="643"/>
      <c r="AE27" s="643"/>
    </row>
    <row r="28" spans="1:31" x14ac:dyDescent="0.25">
      <c r="A28" s="812"/>
      <c r="L28" s="643"/>
      <c r="M28" s="643"/>
      <c r="N28" s="643"/>
      <c r="O28" s="643"/>
      <c r="P28" s="643"/>
      <c r="Q28" s="643"/>
      <c r="R28" s="643"/>
      <c r="S28" s="643"/>
      <c r="T28" s="643"/>
      <c r="U28" s="643"/>
      <c r="V28" s="643"/>
      <c r="W28" s="643"/>
      <c r="X28" s="643"/>
      <c r="Y28" s="643"/>
      <c r="Z28" s="643"/>
      <c r="AA28" s="643"/>
      <c r="AB28" s="643"/>
      <c r="AC28" s="643"/>
      <c r="AD28" s="643"/>
      <c r="AE28" s="643"/>
    </row>
    <row r="29" spans="1:31" x14ac:dyDescent="0.25">
      <c r="A29" s="812"/>
      <c r="L29" s="643"/>
      <c r="M29" s="643"/>
      <c r="N29" s="643"/>
      <c r="O29" s="643"/>
      <c r="P29" s="643"/>
      <c r="Q29" s="643"/>
      <c r="R29" s="643"/>
      <c r="S29" s="643"/>
      <c r="T29" s="643"/>
      <c r="U29" s="643"/>
      <c r="V29" s="643"/>
      <c r="W29" s="643"/>
      <c r="X29" s="643"/>
      <c r="Y29" s="643"/>
      <c r="Z29" s="643"/>
      <c r="AA29" s="643"/>
      <c r="AB29" s="643"/>
      <c r="AC29" s="643"/>
      <c r="AD29" s="643"/>
      <c r="AE29" s="643"/>
    </row>
    <row r="30" spans="1:31" x14ac:dyDescent="0.25">
      <c r="A30" s="812"/>
      <c r="L30" s="643"/>
      <c r="M30" s="643"/>
      <c r="N30" s="643"/>
      <c r="O30" s="643"/>
      <c r="P30" s="643"/>
      <c r="Q30" s="643"/>
      <c r="R30" s="643"/>
      <c r="S30" s="643"/>
      <c r="T30" s="643"/>
      <c r="U30" s="643"/>
      <c r="V30" s="643"/>
      <c r="W30" s="643"/>
      <c r="X30" s="643"/>
      <c r="Y30" s="643"/>
      <c r="Z30" s="643"/>
      <c r="AA30" s="643"/>
      <c r="AB30" s="643"/>
      <c r="AC30" s="643"/>
      <c r="AD30" s="643"/>
      <c r="AE30" s="643"/>
    </row>
    <row r="31" spans="1:31" x14ac:dyDescent="0.25">
      <c r="A31" s="812"/>
      <c r="L31" s="643"/>
      <c r="M31" s="643"/>
      <c r="N31" s="643"/>
      <c r="O31" s="643"/>
      <c r="P31" s="643"/>
      <c r="Q31" s="643"/>
      <c r="R31" s="643"/>
      <c r="S31" s="643"/>
      <c r="T31" s="643"/>
      <c r="U31" s="643"/>
      <c r="V31" s="643"/>
      <c r="W31" s="643"/>
      <c r="X31" s="643"/>
      <c r="Y31" s="643"/>
      <c r="Z31" s="643"/>
      <c r="AA31" s="643"/>
      <c r="AB31" s="643"/>
      <c r="AC31" s="643"/>
      <c r="AD31" s="643"/>
      <c r="AE31" s="643"/>
    </row>
    <row r="32" spans="1:31" x14ac:dyDescent="0.25">
      <c r="A32" s="812"/>
      <c r="L32" s="643"/>
      <c r="M32" s="643"/>
      <c r="N32" s="643"/>
      <c r="O32" s="643"/>
      <c r="P32" s="643"/>
      <c r="Q32" s="643"/>
      <c r="R32" s="643"/>
      <c r="S32" s="643"/>
      <c r="T32" s="643"/>
      <c r="U32" s="643"/>
      <c r="V32" s="643"/>
      <c r="W32" s="643"/>
      <c r="X32" s="643"/>
      <c r="Y32" s="643"/>
      <c r="Z32" s="643"/>
      <c r="AA32" s="643"/>
      <c r="AB32" s="643"/>
      <c r="AC32" s="643"/>
      <c r="AD32" s="643"/>
      <c r="AE32" s="643"/>
    </row>
    <row r="33" spans="1:31" x14ac:dyDescent="0.25">
      <c r="A33" s="812"/>
      <c r="L33" s="643"/>
      <c r="M33" s="643"/>
      <c r="N33" s="643"/>
      <c r="O33" s="643"/>
      <c r="P33" s="643"/>
      <c r="Q33" s="643"/>
      <c r="R33" s="643"/>
      <c r="S33" s="643"/>
      <c r="T33" s="643"/>
      <c r="U33" s="643"/>
      <c r="V33" s="643"/>
      <c r="W33" s="643"/>
      <c r="X33" s="643"/>
      <c r="Y33" s="643"/>
      <c r="Z33" s="643"/>
      <c r="AA33" s="643"/>
      <c r="AB33" s="643"/>
      <c r="AC33" s="643"/>
      <c r="AD33" s="643"/>
      <c r="AE33" s="643"/>
    </row>
    <row r="34" spans="1:31" x14ac:dyDescent="0.25">
      <c r="A34" s="812"/>
      <c r="L34" s="643"/>
      <c r="M34" s="643"/>
      <c r="N34" s="643"/>
      <c r="O34" s="643"/>
      <c r="P34" s="643"/>
      <c r="Q34" s="643"/>
      <c r="R34" s="643"/>
      <c r="S34" s="643"/>
      <c r="T34" s="643"/>
      <c r="U34" s="643"/>
      <c r="V34" s="643"/>
      <c r="W34" s="643"/>
      <c r="X34" s="643"/>
      <c r="Y34" s="643"/>
      <c r="Z34" s="643"/>
      <c r="AA34" s="643"/>
      <c r="AB34" s="643"/>
      <c r="AC34" s="643"/>
      <c r="AD34" s="643"/>
      <c r="AE34" s="643"/>
    </row>
    <row r="35" spans="1:31" x14ac:dyDescent="0.25">
      <c r="A35" s="812"/>
      <c r="L35" s="643"/>
      <c r="M35" s="643"/>
      <c r="N35" s="643"/>
      <c r="O35" s="643"/>
      <c r="P35" s="643"/>
      <c r="Q35" s="643"/>
      <c r="R35" s="643"/>
      <c r="S35" s="643"/>
      <c r="T35" s="643"/>
      <c r="U35" s="643"/>
      <c r="V35" s="643"/>
      <c r="W35" s="643"/>
      <c r="X35" s="643"/>
      <c r="Y35" s="643"/>
      <c r="Z35" s="643"/>
      <c r="AA35" s="643"/>
      <c r="AB35" s="643"/>
      <c r="AC35" s="643"/>
      <c r="AD35" s="643"/>
      <c r="AE35" s="643"/>
    </row>
    <row r="36" spans="1:31" x14ac:dyDescent="0.25">
      <c r="A36" s="812"/>
      <c r="L36" s="643"/>
      <c r="M36" s="643"/>
      <c r="N36" s="643"/>
      <c r="O36" s="643"/>
      <c r="P36" s="643"/>
      <c r="Q36" s="643"/>
      <c r="R36" s="643"/>
      <c r="S36" s="643"/>
      <c r="T36" s="643"/>
      <c r="U36" s="643"/>
      <c r="V36" s="643"/>
      <c r="W36" s="643"/>
      <c r="X36" s="643"/>
      <c r="Y36" s="643"/>
      <c r="Z36" s="643"/>
      <c r="AA36" s="643"/>
      <c r="AB36" s="643"/>
      <c r="AC36" s="643"/>
      <c r="AD36" s="643"/>
      <c r="AE36" s="643"/>
    </row>
    <row r="37" spans="1:31" x14ac:dyDescent="0.25">
      <c r="A37" s="812"/>
      <c r="L37" s="643"/>
      <c r="M37" s="643"/>
      <c r="N37" s="643"/>
      <c r="O37" s="643"/>
      <c r="P37" s="643"/>
      <c r="Q37" s="643"/>
      <c r="R37" s="643"/>
      <c r="S37" s="643"/>
      <c r="T37" s="643"/>
      <c r="U37" s="643"/>
    </row>
    <row r="38" spans="1:31" x14ac:dyDescent="0.25">
      <c r="A38" s="812"/>
      <c r="L38" s="643"/>
      <c r="M38" s="643"/>
      <c r="N38" s="643"/>
      <c r="O38" s="643"/>
      <c r="P38" s="643"/>
      <c r="Q38" s="643"/>
      <c r="R38" s="643"/>
      <c r="S38" s="643"/>
      <c r="T38" s="643"/>
      <c r="U38" s="643"/>
    </row>
    <row r="39" spans="1:31" x14ac:dyDescent="0.25">
      <c r="A39" s="812"/>
      <c r="L39" s="643"/>
      <c r="M39" s="643"/>
      <c r="N39" s="643"/>
      <c r="O39" s="643"/>
      <c r="P39" s="643"/>
      <c r="Q39" s="643"/>
      <c r="R39" s="643"/>
      <c r="S39" s="643"/>
      <c r="T39" s="643"/>
      <c r="U39" s="643"/>
    </row>
    <row r="40" spans="1:31" ht="15" customHeight="1" x14ac:dyDescent="0.25">
      <c r="A40" s="812"/>
      <c r="L40" s="643"/>
      <c r="M40" s="643"/>
      <c r="N40" s="643"/>
      <c r="O40" s="643"/>
      <c r="P40" s="643"/>
      <c r="Q40" s="643"/>
      <c r="R40" s="643"/>
      <c r="S40" s="643"/>
      <c r="T40" s="643"/>
      <c r="U40" s="643"/>
    </row>
    <row r="41" spans="1:31" x14ac:dyDescent="0.25">
      <c r="A41" s="812"/>
      <c r="L41" s="643"/>
      <c r="M41" s="643"/>
      <c r="N41" s="643"/>
      <c r="O41" s="643"/>
      <c r="P41" s="643"/>
      <c r="Q41" s="643"/>
      <c r="R41" s="643"/>
      <c r="S41" s="643"/>
      <c r="T41" s="643"/>
      <c r="U41" s="643"/>
    </row>
    <row r="42" spans="1:31" x14ac:dyDescent="0.25">
      <c r="A42" s="812"/>
      <c r="L42" s="643"/>
      <c r="M42" s="643"/>
      <c r="N42" s="643"/>
      <c r="O42" s="643"/>
      <c r="P42" s="643"/>
      <c r="Q42" s="643"/>
      <c r="R42" s="643"/>
      <c r="S42" s="643"/>
      <c r="T42" s="643"/>
      <c r="U42" s="643"/>
    </row>
    <row r="44" spans="1:31" x14ac:dyDescent="0.25">
      <c r="C44" s="811" t="s">
        <v>812</v>
      </c>
      <c r="D44" s="811"/>
      <c r="E44" s="811"/>
      <c r="F44" s="811"/>
      <c r="G44" s="811"/>
      <c r="H44" s="811"/>
      <c r="I44" s="811"/>
      <c r="J44" s="811"/>
      <c r="K44" s="811"/>
      <c r="L44" s="811"/>
      <c r="M44" s="811"/>
      <c r="N44" s="811"/>
      <c r="O44" s="811"/>
      <c r="P44" s="811"/>
      <c r="Q44" s="811"/>
      <c r="R44" s="811"/>
      <c r="S44" s="811"/>
      <c r="T44" s="811"/>
    </row>
    <row r="45" spans="1:31" x14ac:dyDescent="0.25">
      <c r="C45" s="811"/>
      <c r="D45" s="811"/>
      <c r="E45" s="811"/>
      <c r="F45" s="811"/>
      <c r="G45" s="811"/>
      <c r="H45" s="811"/>
      <c r="I45" s="811"/>
      <c r="J45" s="811"/>
      <c r="K45" s="811"/>
      <c r="L45" s="811"/>
      <c r="M45" s="811"/>
      <c r="N45" s="811"/>
      <c r="O45" s="811"/>
      <c r="P45" s="811"/>
      <c r="Q45" s="811"/>
      <c r="R45" s="811"/>
      <c r="S45" s="811"/>
      <c r="T45" s="811"/>
    </row>
  </sheetData>
  <mergeCells count="5">
    <mergeCell ref="C44:T45"/>
    <mergeCell ref="A11:A42"/>
    <mergeCell ref="B2:B3"/>
    <mergeCell ref="D2:D3"/>
    <mergeCell ref="K9:N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BC116"/>
  <sheetViews>
    <sheetView zoomScaleNormal="100" workbookViewId="0">
      <pane xSplit="7" ySplit="2" topLeftCell="V3" activePane="bottomRight" state="frozen"/>
      <selection pane="topRight" activeCell="H1" sqref="H1"/>
      <selection pane="bottomLeft" activeCell="A3" sqref="A3"/>
      <selection pane="bottomRight" activeCell="V3" sqref="V3"/>
    </sheetView>
  </sheetViews>
  <sheetFormatPr defaultRowHeight="15" x14ac:dyDescent="0.25"/>
  <cols>
    <col min="1" max="5" width="9.7109375" style="94" customWidth="1"/>
    <col min="6" max="6" width="19.28515625" style="94" customWidth="1"/>
    <col min="7" max="7" width="9.140625" style="94" customWidth="1"/>
    <col min="8" max="8" width="6.5703125" style="94" bestFit="1" customWidth="1"/>
    <col min="9" max="9" width="9" style="94" customWidth="1"/>
    <col min="10" max="10" width="9.28515625" style="94" customWidth="1"/>
    <col min="11" max="11" width="8" style="94" customWidth="1"/>
    <col min="12" max="12" width="9.85546875" style="94" customWidth="1"/>
    <col min="13" max="13" width="5.5703125" style="94" customWidth="1"/>
    <col min="14" max="14" width="5.42578125" style="94" customWidth="1"/>
    <col min="15" max="15" width="5.140625" style="94" customWidth="1"/>
    <col min="16" max="16" width="7.140625" style="94" customWidth="1"/>
    <col min="17" max="17" width="4.85546875" style="94" customWidth="1"/>
    <col min="18" max="18" width="5.7109375" style="94" customWidth="1"/>
    <col min="19" max="19" width="9.28515625" style="94" customWidth="1"/>
    <col min="20" max="30" width="11" style="94" customWidth="1"/>
    <col min="31" max="16384" width="9.140625" style="94"/>
  </cols>
  <sheetData>
    <row r="1" spans="1:40" x14ac:dyDescent="0.25">
      <c r="A1" s="108" t="s">
        <v>314</v>
      </c>
      <c r="B1" s="107" t="s">
        <v>313</v>
      </c>
      <c r="C1" s="107" t="s">
        <v>312</v>
      </c>
      <c r="D1" s="107" t="s">
        <v>311</v>
      </c>
      <c r="E1" s="107" t="s">
        <v>310</v>
      </c>
      <c r="F1" s="681" t="s">
        <v>309</v>
      </c>
      <c r="G1" s="682"/>
      <c r="H1" s="107" t="s">
        <v>308</v>
      </c>
      <c r="I1" s="107" t="s">
        <v>299</v>
      </c>
      <c r="J1" s="107" t="s">
        <v>2</v>
      </c>
      <c r="K1" s="107" t="s">
        <v>831</v>
      </c>
      <c r="L1" s="107" t="s">
        <v>832</v>
      </c>
      <c r="M1" s="107" t="s">
        <v>307</v>
      </c>
      <c r="N1" s="107" t="s">
        <v>306</v>
      </c>
      <c r="O1" s="107" t="s">
        <v>305</v>
      </c>
      <c r="P1" s="107" t="s">
        <v>12</v>
      </c>
      <c r="Q1" s="107" t="s">
        <v>304</v>
      </c>
      <c r="R1" s="107" t="s">
        <v>303</v>
      </c>
      <c r="S1" s="107" t="s">
        <v>302</v>
      </c>
      <c r="T1" s="106" t="s">
        <v>299</v>
      </c>
      <c r="U1" s="106" t="s">
        <v>2</v>
      </c>
      <c r="V1" s="106" t="s">
        <v>0</v>
      </c>
      <c r="W1" s="106" t="s">
        <v>1</v>
      </c>
      <c r="X1" s="106" t="s">
        <v>298</v>
      </c>
      <c r="Y1" s="106" t="s">
        <v>297</v>
      </c>
      <c r="Z1" s="106" t="s">
        <v>296</v>
      </c>
      <c r="AA1" s="106" t="s">
        <v>295</v>
      </c>
      <c r="AB1" s="106" t="s">
        <v>3</v>
      </c>
      <c r="AC1" s="106" t="s">
        <v>5</v>
      </c>
      <c r="AD1" s="106" t="s">
        <v>294</v>
      </c>
    </row>
    <row r="2" spans="1:40" x14ac:dyDescent="0.25">
      <c r="A2" s="192">
        <v>195</v>
      </c>
      <c r="B2" s="98">
        <v>200</v>
      </c>
      <c r="C2" s="98">
        <v>24</v>
      </c>
      <c r="D2" s="98">
        <v>184</v>
      </c>
      <c r="E2" s="98">
        <v>122</v>
      </c>
      <c r="F2" s="193" t="s">
        <v>168</v>
      </c>
      <c r="G2" s="107" t="s">
        <v>223</v>
      </c>
      <c r="H2" s="98"/>
      <c r="I2" s="98"/>
      <c r="J2" s="98"/>
      <c r="K2" s="98"/>
      <c r="L2" s="98"/>
      <c r="M2" s="98"/>
      <c r="N2" s="98"/>
      <c r="O2" s="98"/>
      <c r="P2" s="98"/>
      <c r="Q2" s="98"/>
      <c r="R2" s="98"/>
      <c r="S2" s="98"/>
      <c r="T2" s="98">
        <v>4</v>
      </c>
      <c r="U2" s="98">
        <v>4</v>
      </c>
      <c r="V2" s="98">
        <v>5</v>
      </c>
      <c r="W2" s="98">
        <v>5</v>
      </c>
      <c r="X2" s="98">
        <v>5</v>
      </c>
      <c r="Y2" s="98">
        <v>5</v>
      </c>
      <c r="Z2" s="98">
        <v>5</v>
      </c>
      <c r="AA2" s="98">
        <v>4</v>
      </c>
      <c r="AB2" s="98">
        <v>4</v>
      </c>
      <c r="AC2" s="98">
        <v>4</v>
      </c>
      <c r="AD2" s="98">
        <v>4</v>
      </c>
    </row>
    <row r="3" spans="1:40" x14ac:dyDescent="0.25">
      <c r="A3" s="105">
        <v>8.0000000000000004E-4</v>
      </c>
      <c r="B3" s="104">
        <v>4.0000000000000002E-4</v>
      </c>
      <c r="C3" s="104">
        <v>5.9999999999999995E-4</v>
      </c>
      <c r="D3" s="104">
        <v>5.9999999999999995E-4</v>
      </c>
      <c r="E3" s="104">
        <v>2.0000000000000001E-4</v>
      </c>
      <c r="G3" s="103"/>
      <c r="H3" s="102"/>
      <c r="I3" s="102"/>
      <c r="J3" s="102"/>
      <c r="K3" s="102"/>
      <c r="L3" s="102"/>
      <c r="M3" s="102"/>
      <c r="N3" s="102"/>
      <c r="O3" s="102"/>
      <c r="P3" s="102"/>
      <c r="Q3" s="102"/>
      <c r="R3" s="102"/>
      <c r="S3" s="102"/>
      <c r="T3" s="102">
        <f t="shared" ref="T3:AD3" si="0">($AF$5*T2^$AF$4+$AG$5*T2^$AG$4+$AH$5*T2^$AH$4+$AI$5*T2^$AI$4+$AJ$5*T2^$AJ$4+$AK$5*T2^$AK$4+$AL$5*T2^$AL$4+$AM$5*T2^$AM$4+$AN$5*T2^$AN$4)/10000</f>
        <v>6.0000000000254659E-3</v>
      </c>
      <c r="U3" s="102">
        <f t="shared" si="0"/>
        <v>6.0000000000254659E-3</v>
      </c>
      <c r="V3" s="102">
        <f t="shared" si="0"/>
        <v>5.0000000000527504E-3</v>
      </c>
      <c r="W3" s="102">
        <f t="shared" si="0"/>
        <v>5.0000000000527504E-3</v>
      </c>
      <c r="X3" s="102">
        <f t="shared" si="0"/>
        <v>5.0000000000527504E-3</v>
      </c>
      <c r="Y3" s="102">
        <f t="shared" si="0"/>
        <v>5.0000000000527504E-3</v>
      </c>
      <c r="Z3" s="102">
        <f t="shared" si="0"/>
        <v>5.0000000000527504E-3</v>
      </c>
      <c r="AA3" s="102">
        <f t="shared" si="0"/>
        <v>6.0000000000254659E-3</v>
      </c>
      <c r="AB3" s="102">
        <f t="shared" si="0"/>
        <v>6.0000000000254659E-3</v>
      </c>
      <c r="AC3" s="102">
        <f t="shared" si="0"/>
        <v>6.0000000000254659E-3</v>
      </c>
      <c r="AD3" s="102">
        <f t="shared" si="0"/>
        <v>6.0000000000254659E-3</v>
      </c>
    </row>
    <row r="4" spans="1:40" x14ac:dyDescent="0.25">
      <c r="A4" s="94">
        <f t="shared" ref="A4:E13" si="1">1+A$2*A$3</f>
        <v>1.1559999999999999</v>
      </c>
      <c r="B4" s="94">
        <f t="shared" si="1"/>
        <v>1.08</v>
      </c>
      <c r="C4" s="94">
        <f t="shared" si="1"/>
        <v>1.0144</v>
      </c>
      <c r="D4" s="94">
        <f t="shared" si="1"/>
        <v>1.1104000000000001</v>
      </c>
      <c r="E4" s="94">
        <f t="shared" si="1"/>
        <v>1.0244</v>
      </c>
      <c r="F4" s="99" t="s">
        <v>62</v>
      </c>
      <c r="G4" s="98">
        <v>40</v>
      </c>
      <c r="H4" s="97">
        <v>287.64917896471502</v>
      </c>
      <c r="I4" s="97">
        <v>29.267468357060899</v>
      </c>
      <c r="J4" s="97">
        <v>39.633561987445198</v>
      </c>
      <c r="K4" s="97">
        <v>23.320148539237699</v>
      </c>
      <c r="L4" s="97">
        <v>17.585563812731699</v>
      </c>
      <c r="M4" s="97">
        <v>33.868195262867701</v>
      </c>
      <c r="N4" s="97">
        <v>17.043705660778301</v>
      </c>
      <c r="O4" s="97">
        <v>15.661405089376901</v>
      </c>
      <c r="P4" s="97">
        <v>23.759520458950099</v>
      </c>
      <c r="Q4" s="97">
        <v>42.378557981790699</v>
      </c>
      <c r="R4" s="97">
        <v>30.246922800742301</v>
      </c>
      <c r="S4" s="97">
        <v>14.8841290137337</v>
      </c>
      <c r="T4" s="100">
        <f t="shared" ref="T4:T35" si="2">ROUNDUP(I4*$C4*(1+$G4*T$3)/($A4*$B4*$D4*$E4),0)</f>
        <v>26</v>
      </c>
      <c r="U4" s="101">
        <f t="shared" ref="U4:U35" si="3">ROUNDUP(J4*$C4*(1+$G4*U$3)/($A4*$B4*$D4*$E4),0)</f>
        <v>36</v>
      </c>
      <c r="V4" s="97">
        <f t="shared" ref="V4:V35" si="4">ROUNDUP(K4*$C4*(1+$G4*V$3)/($A4*$B4*$D4*$E4),0)</f>
        <v>20</v>
      </c>
      <c r="W4" s="97">
        <f t="shared" ref="W4:W35" si="5">ROUNDUP(L4*$C4*(1+$G4*W$3)/($A4*$B4*$D4*$E4),0)</f>
        <v>16</v>
      </c>
      <c r="X4" s="100">
        <f t="shared" ref="X4:X35" si="6">ROUNDUP(M4*$C4*(1+$G4*X$3)/($A4*$B4*$D4*$E4),0)</f>
        <v>30</v>
      </c>
      <c r="Y4" s="97">
        <f t="shared" ref="Y4:Y35" si="7">ROUNDUP(N4*$C4*(1+$G4*Y$3)/($A4*$B4*$D4*$E4),0)</f>
        <v>15</v>
      </c>
      <c r="Z4" s="97">
        <f t="shared" ref="Z4:Z35" si="8">ROUNDUP(O4*$C4*(1+$G4*Z$3)/($A4*$B4*$D4*$E4),0)</f>
        <v>14</v>
      </c>
      <c r="AA4" s="97">
        <f t="shared" ref="AA4:AA35" si="9">ROUNDUP(P4*$C4*(1+$G4*AA$3)/($A4*$B4*$D4*$E4),0)</f>
        <v>22</v>
      </c>
      <c r="AB4" s="101">
        <f t="shared" ref="AB4:AB35" si="10">ROUNDUP(Q4*$C4*(1+$G4*AB$3)/($A4*$B4*$D4*$E4),0)</f>
        <v>38</v>
      </c>
      <c r="AC4" s="100">
        <f t="shared" ref="AC4:AC35" si="11">ROUNDUP(R4*$C4*(1+$G4*AC$3)/($A4*$B4*$D4*$E4),0)</f>
        <v>27</v>
      </c>
      <c r="AD4" s="97">
        <f t="shared" ref="AD4:AD35" si="12">ROUNDUP(S4*$C4*(1+$G4*AD$3)/($A4*$B4*$D4*$E4),0)</f>
        <v>14</v>
      </c>
      <c r="AF4" s="94">
        <v>8</v>
      </c>
      <c r="AG4" s="94">
        <v>7</v>
      </c>
      <c r="AH4" s="94">
        <v>6</v>
      </c>
      <c r="AI4" s="94">
        <v>5</v>
      </c>
      <c r="AJ4" s="94">
        <v>4</v>
      </c>
      <c r="AK4" s="94">
        <v>3</v>
      </c>
      <c r="AL4" s="94">
        <v>2</v>
      </c>
      <c r="AM4" s="94">
        <v>1</v>
      </c>
      <c r="AN4" s="94">
        <v>0</v>
      </c>
    </row>
    <row r="5" spans="1:40" x14ac:dyDescent="0.25">
      <c r="A5" s="94">
        <f t="shared" si="1"/>
        <v>1.1559999999999999</v>
      </c>
      <c r="B5" s="94">
        <f t="shared" si="1"/>
        <v>1.08</v>
      </c>
      <c r="C5" s="94">
        <f t="shared" si="1"/>
        <v>1.0144</v>
      </c>
      <c r="D5" s="94">
        <f t="shared" si="1"/>
        <v>1.1104000000000001</v>
      </c>
      <c r="E5" s="94">
        <f t="shared" si="1"/>
        <v>1.0244</v>
      </c>
      <c r="F5" s="99" t="s">
        <v>54</v>
      </c>
      <c r="G5" s="98">
        <v>40</v>
      </c>
      <c r="H5" s="97">
        <v>294.17351906212201</v>
      </c>
      <c r="I5" s="97">
        <v>22.4128217774742</v>
      </c>
      <c r="J5" s="97">
        <v>39.146859267617202</v>
      </c>
      <c r="K5" s="97">
        <v>17.491332193863599</v>
      </c>
      <c r="L5" s="97">
        <v>21.984847726694099</v>
      </c>
      <c r="M5" s="97">
        <v>16.0282460820182</v>
      </c>
      <c r="N5" s="97">
        <v>13.6785202045911</v>
      </c>
      <c r="O5" s="97">
        <v>18.708915422735899</v>
      </c>
      <c r="P5" s="97">
        <v>41.144774342384203</v>
      </c>
      <c r="Q5" s="97">
        <v>51.9180657290852</v>
      </c>
      <c r="R5" s="97">
        <v>36.560338448288597</v>
      </c>
      <c r="S5" s="97">
        <v>15.098797867369401</v>
      </c>
      <c r="T5" s="97">
        <f t="shared" si="2"/>
        <v>20</v>
      </c>
      <c r="U5" s="101">
        <f t="shared" si="3"/>
        <v>35</v>
      </c>
      <c r="V5" s="97">
        <f t="shared" si="4"/>
        <v>15</v>
      </c>
      <c r="W5" s="97">
        <f t="shared" si="5"/>
        <v>19</v>
      </c>
      <c r="X5" s="97">
        <f t="shared" si="6"/>
        <v>14</v>
      </c>
      <c r="Y5" s="97">
        <f t="shared" si="7"/>
        <v>12</v>
      </c>
      <c r="Z5" s="97">
        <f t="shared" si="8"/>
        <v>17</v>
      </c>
      <c r="AA5" s="101">
        <f t="shared" si="9"/>
        <v>37</v>
      </c>
      <c r="AB5" s="101">
        <f t="shared" si="10"/>
        <v>46</v>
      </c>
      <c r="AC5" s="100">
        <f t="shared" si="11"/>
        <v>33</v>
      </c>
      <c r="AD5" s="97">
        <f t="shared" si="12"/>
        <v>14</v>
      </c>
      <c r="AF5" s="94">
        <v>1.0044642856939401E-2</v>
      </c>
      <c r="AG5" s="94">
        <v>-0.39434523808724198</v>
      </c>
      <c r="AH5" s="94">
        <v>6.4913194443125599</v>
      </c>
      <c r="AI5" s="94">
        <v>-58.291666665479099</v>
      </c>
      <c r="AJ5" s="94">
        <v>311.29079860475798</v>
      </c>
      <c r="AK5" s="94">
        <v>-1010.67708331277</v>
      </c>
      <c r="AL5" s="94">
        <v>1957.2078372625399</v>
      </c>
      <c r="AM5" s="94">
        <v>-2125.6369047223998</v>
      </c>
      <c r="AN5" s="94">
        <v>1144.9999999838001</v>
      </c>
    </row>
    <row r="6" spans="1:40" x14ac:dyDescent="0.25">
      <c r="A6" s="94">
        <f t="shared" si="1"/>
        <v>1.1559999999999999</v>
      </c>
      <c r="B6" s="94">
        <f t="shared" si="1"/>
        <v>1.08</v>
      </c>
      <c r="C6" s="94">
        <f t="shared" si="1"/>
        <v>1.0144</v>
      </c>
      <c r="D6" s="94">
        <f t="shared" si="1"/>
        <v>1.1104000000000001</v>
      </c>
      <c r="E6" s="94">
        <f t="shared" si="1"/>
        <v>1.0244</v>
      </c>
      <c r="F6" s="99" t="s">
        <v>60</v>
      </c>
      <c r="G6" s="98">
        <v>0</v>
      </c>
      <c r="H6" s="97">
        <v>263.33136883258101</v>
      </c>
      <c r="I6" s="97">
        <v>16.521802002363401</v>
      </c>
      <c r="J6" s="97">
        <v>29.9006232557069</v>
      </c>
      <c r="K6" s="97">
        <v>28.888507060628601</v>
      </c>
      <c r="L6" s="97">
        <v>31.379061841318801</v>
      </c>
      <c r="M6" s="97">
        <v>23.860935307779499</v>
      </c>
      <c r="N6" s="97">
        <v>12.501189829035001</v>
      </c>
      <c r="O6" s="97">
        <v>14.813834827505</v>
      </c>
      <c r="P6" s="97">
        <v>28.525015815408501</v>
      </c>
      <c r="Q6" s="97">
        <v>34.704513674217402</v>
      </c>
      <c r="R6" s="97">
        <v>28.5203869842884</v>
      </c>
      <c r="S6" s="97">
        <v>13.7154982343292</v>
      </c>
      <c r="T6" s="97">
        <f t="shared" si="2"/>
        <v>12</v>
      </c>
      <c r="U6" s="100">
        <f t="shared" si="3"/>
        <v>22</v>
      </c>
      <c r="V6" s="100">
        <f t="shared" si="4"/>
        <v>21</v>
      </c>
      <c r="W6" s="100">
        <f t="shared" si="5"/>
        <v>23</v>
      </c>
      <c r="X6" s="97">
        <f t="shared" si="6"/>
        <v>18</v>
      </c>
      <c r="Y6" s="97">
        <f t="shared" si="7"/>
        <v>9</v>
      </c>
      <c r="Z6" s="97">
        <f t="shared" si="8"/>
        <v>11</v>
      </c>
      <c r="AA6" s="100">
        <f t="shared" si="9"/>
        <v>21</v>
      </c>
      <c r="AB6" s="100">
        <f t="shared" si="10"/>
        <v>25</v>
      </c>
      <c r="AC6" s="100">
        <f t="shared" si="11"/>
        <v>21</v>
      </c>
      <c r="AD6" s="97">
        <f t="shared" si="12"/>
        <v>10</v>
      </c>
    </row>
    <row r="7" spans="1:40" x14ac:dyDescent="0.25">
      <c r="A7" s="94">
        <f t="shared" si="1"/>
        <v>1.1559999999999999</v>
      </c>
      <c r="B7" s="94">
        <f t="shared" si="1"/>
        <v>1.08</v>
      </c>
      <c r="C7" s="94">
        <f t="shared" si="1"/>
        <v>1.0144</v>
      </c>
      <c r="D7" s="94">
        <f t="shared" si="1"/>
        <v>1.1104000000000001</v>
      </c>
      <c r="E7" s="94">
        <f t="shared" si="1"/>
        <v>1.0244</v>
      </c>
      <c r="F7" s="99" t="s">
        <v>70</v>
      </c>
      <c r="G7" s="98">
        <v>0</v>
      </c>
      <c r="H7" s="97">
        <v>243.91567954556101</v>
      </c>
      <c r="I7" s="97">
        <v>11.1038086817448</v>
      </c>
      <c r="J7" s="97">
        <v>13.2390901041144</v>
      </c>
      <c r="K7" s="97">
        <v>41.326687000576101</v>
      </c>
      <c r="L7" s="97">
        <v>41.319273370749301</v>
      </c>
      <c r="M7" s="97">
        <v>21.2319864482605</v>
      </c>
      <c r="N7" s="97">
        <v>7.5697044392202804</v>
      </c>
      <c r="O7" s="97">
        <v>11.1583077132174</v>
      </c>
      <c r="P7" s="97">
        <v>22.211453730031</v>
      </c>
      <c r="Q7" s="97">
        <v>36.242358082495201</v>
      </c>
      <c r="R7" s="97">
        <v>28.820035878192801</v>
      </c>
      <c r="S7" s="97">
        <v>9.6929740969594498</v>
      </c>
      <c r="T7" s="97">
        <f t="shared" si="2"/>
        <v>8</v>
      </c>
      <c r="U7" s="97">
        <f t="shared" si="3"/>
        <v>10</v>
      </c>
      <c r="V7" s="101">
        <f t="shared" si="4"/>
        <v>30</v>
      </c>
      <c r="W7" s="101">
        <f t="shared" si="5"/>
        <v>30</v>
      </c>
      <c r="X7" s="97">
        <f t="shared" si="6"/>
        <v>16</v>
      </c>
      <c r="Y7" s="97">
        <f t="shared" si="7"/>
        <v>6</v>
      </c>
      <c r="Z7" s="97">
        <f t="shared" si="8"/>
        <v>8</v>
      </c>
      <c r="AA7" s="97">
        <f t="shared" si="9"/>
        <v>16</v>
      </c>
      <c r="AB7" s="100">
        <f t="shared" si="10"/>
        <v>26</v>
      </c>
      <c r="AC7" s="100">
        <f t="shared" si="11"/>
        <v>21</v>
      </c>
      <c r="AD7" s="97">
        <f t="shared" si="12"/>
        <v>7</v>
      </c>
    </row>
    <row r="8" spans="1:40" x14ac:dyDescent="0.25">
      <c r="A8" s="94">
        <f t="shared" si="1"/>
        <v>1.1559999999999999</v>
      </c>
      <c r="B8" s="94">
        <f t="shared" si="1"/>
        <v>1.08</v>
      </c>
      <c r="C8" s="94">
        <f t="shared" si="1"/>
        <v>1.0144</v>
      </c>
      <c r="D8" s="94">
        <f t="shared" si="1"/>
        <v>1.1104000000000001</v>
      </c>
      <c r="E8" s="94">
        <f t="shared" si="1"/>
        <v>1.0244</v>
      </c>
      <c r="F8" s="99" t="s">
        <v>51</v>
      </c>
      <c r="G8" s="98">
        <v>40</v>
      </c>
      <c r="H8" s="97">
        <v>305.11667137026802</v>
      </c>
      <c r="I8" s="97">
        <v>20.1000883862915</v>
      </c>
      <c r="J8" s="97">
        <v>42.981578910718902</v>
      </c>
      <c r="K8" s="97">
        <v>32.730847760488601</v>
      </c>
      <c r="L8" s="97">
        <v>38.449604401037902</v>
      </c>
      <c r="M8" s="97">
        <v>24.455527103937499</v>
      </c>
      <c r="N8" s="97">
        <v>17.696341104010799</v>
      </c>
      <c r="O8" s="97">
        <v>17.221179437697199</v>
      </c>
      <c r="P8" s="97">
        <v>26.613604043707699</v>
      </c>
      <c r="Q8" s="97">
        <v>39.035822455908097</v>
      </c>
      <c r="R8" s="97">
        <v>30.6852819632083</v>
      </c>
      <c r="S8" s="97">
        <v>15.1467958032614</v>
      </c>
      <c r="T8" s="97">
        <f t="shared" si="2"/>
        <v>18</v>
      </c>
      <c r="U8" s="101">
        <f t="shared" si="3"/>
        <v>39</v>
      </c>
      <c r="V8" s="100">
        <f t="shared" si="4"/>
        <v>29</v>
      </c>
      <c r="W8" s="101">
        <f t="shared" si="5"/>
        <v>33</v>
      </c>
      <c r="X8" s="100">
        <f t="shared" si="6"/>
        <v>21</v>
      </c>
      <c r="Y8" s="97">
        <f t="shared" si="7"/>
        <v>16</v>
      </c>
      <c r="Z8" s="97">
        <f t="shared" si="8"/>
        <v>15</v>
      </c>
      <c r="AA8" s="100">
        <f t="shared" si="9"/>
        <v>24</v>
      </c>
      <c r="AB8" s="101">
        <f t="shared" si="10"/>
        <v>35</v>
      </c>
      <c r="AC8" s="100">
        <f t="shared" si="11"/>
        <v>28</v>
      </c>
      <c r="AD8" s="97">
        <f t="shared" si="12"/>
        <v>14</v>
      </c>
    </row>
    <row r="9" spans="1:40" x14ac:dyDescent="0.25">
      <c r="A9" s="94">
        <f t="shared" si="1"/>
        <v>1.1559999999999999</v>
      </c>
      <c r="B9" s="94">
        <f t="shared" si="1"/>
        <v>1.08</v>
      </c>
      <c r="C9" s="94">
        <f t="shared" si="1"/>
        <v>1.0144</v>
      </c>
      <c r="D9" s="94">
        <f t="shared" si="1"/>
        <v>1.1104000000000001</v>
      </c>
      <c r="E9" s="94">
        <f t="shared" si="1"/>
        <v>1.0244</v>
      </c>
      <c r="F9" s="99" t="s">
        <v>71</v>
      </c>
      <c r="G9" s="98">
        <v>40</v>
      </c>
      <c r="H9" s="97">
        <v>231.87002297051299</v>
      </c>
      <c r="I9" s="97">
        <v>19.024270763740201</v>
      </c>
      <c r="J9" s="97">
        <v>34.371973661696103</v>
      </c>
      <c r="K9" s="97">
        <v>19.647795774373801</v>
      </c>
      <c r="L9" s="97">
        <v>12.009868618105999</v>
      </c>
      <c r="M9" s="97">
        <v>18.415599789422899</v>
      </c>
      <c r="N9" s="97">
        <v>13.366009347843001</v>
      </c>
      <c r="O9" s="97">
        <v>9.35650695896231</v>
      </c>
      <c r="P9" s="97">
        <v>27.406540783691501</v>
      </c>
      <c r="Q9" s="97">
        <v>36.781387553431301</v>
      </c>
      <c r="R9" s="97">
        <v>32.198871741036797</v>
      </c>
      <c r="S9" s="97">
        <v>9.2911979782090999</v>
      </c>
      <c r="T9" s="97">
        <f t="shared" si="2"/>
        <v>17</v>
      </c>
      <c r="U9" s="100">
        <f t="shared" si="3"/>
        <v>31</v>
      </c>
      <c r="V9" s="97">
        <f t="shared" si="4"/>
        <v>17</v>
      </c>
      <c r="W9" s="97">
        <f t="shared" si="5"/>
        <v>11</v>
      </c>
      <c r="X9" s="97">
        <f t="shared" si="6"/>
        <v>16</v>
      </c>
      <c r="Y9" s="97">
        <f t="shared" si="7"/>
        <v>12</v>
      </c>
      <c r="Z9" s="97">
        <f t="shared" si="8"/>
        <v>9</v>
      </c>
      <c r="AA9" s="100">
        <f t="shared" si="9"/>
        <v>25</v>
      </c>
      <c r="AB9" s="100">
        <f t="shared" si="10"/>
        <v>33</v>
      </c>
      <c r="AC9" s="100">
        <f t="shared" si="11"/>
        <v>29</v>
      </c>
      <c r="AD9" s="97">
        <f t="shared" si="12"/>
        <v>9</v>
      </c>
    </row>
    <row r="10" spans="1:40" x14ac:dyDescent="0.25">
      <c r="A10" s="94">
        <f t="shared" si="1"/>
        <v>1.1559999999999999</v>
      </c>
      <c r="B10" s="94">
        <f t="shared" si="1"/>
        <v>1.08</v>
      </c>
      <c r="C10" s="94">
        <f t="shared" si="1"/>
        <v>1.0144</v>
      </c>
      <c r="D10" s="94">
        <f t="shared" si="1"/>
        <v>1.1104000000000001</v>
      </c>
      <c r="E10" s="94">
        <f t="shared" si="1"/>
        <v>1.0244</v>
      </c>
      <c r="F10" s="99" t="s">
        <v>67</v>
      </c>
      <c r="G10" s="98">
        <v>30</v>
      </c>
      <c r="H10" s="97">
        <v>242.59049861699901</v>
      </c>
      <c r="I10" s="97">
        <v>16.8211396718423</v>
      </c>
      <c r="J10" s="97">
        <v>33.226895914818797</v>
      </c>
      <c r="K10" s="97">
        <v>21.561937648500098</v>
      </c>
      <c r="L10" s="97">
        <v>18.773570572525699</v>
      </c>
      <c r="M10" s="97">
        <v>20.056940467510699</v>
      </c>
      <c r="N10" s="97">
        <v>14.5197687758582</v>
      </c>
      <c r="O10" s="97">
        <v>14.955578628726</v>
      </c>
      <c r="P10" s="97">
        <v>27.494219825683501</v>
      </c>
      <c r="Q10" s="97">
        <v>37.8650231669994</v>
      </c>
      <c r="R10" s="97">
        <v>28.933230666086999</v>
      </c>
      <c r="S10" s="97">
        <v>8.38219327844722</v>
      </c>
      <c r="T10" s="97">
        <f t="shared" si="2"/>
        <v>15</v>
      </c>
      <c r="U10" s="100">
        <f t="shared" si="3"/>
        <v>29</v>
      </c>
      <c r="V10" s="97">
        <f t="shared" si="4"/>
        <v>18</v>
      </c>
      <c r="W10" s="97">
        <f t="shared" si="5"/>
        <v>16</v>
      </c>
      <c r="X10" s="97">
        <f t="shared" si="6"/>
        <v>17</v>
      </c>
      <c r="Y10" s="97">
        <f t="shared" si="7"/>
        <v>12</v>
      </c>
      <c r="Z10" s="97">
        <f t="shared" si="8"/>
        <v>13</v>
      </c>
      <c r="AA10" s="100">
        <f t="shared" si="9"/>
        <v>24</v>
      </c>
      <c r="AB10" s="101">
        <f t="shared" si="10"/>
        <v>32</v>
      </c>
      <c r="AC10" s="100">
        <f t="shared" si="11"/>
        <v>25</v>
      </c>
      <c r="AD10" s="97">
        <f t="shared" si="12"/>
        <v>8</v>
      </c>
    </row>
    <row r="11" spans="1:40" x14ac:dyDescent="0.25">
      <c r="A11" s="94">
        <f t="shared" si="1"/>
        <v>1.1559999999999999</v>
      </c>
      <c r="B11" s="94">
        <f t="shared" si="1"/>
        <v>1.08</v>
      </c>
      <c r="C11" s="94">
        <f t="shared" si="1"/>
        <v>1.0144</v>
      </c>
      <c r="D11" s="94">
        <f t="shared" si="1"/>
        <v>1.1104000000000001</v>
      </c>
      <c r="E11" s="94">
        <f t="shared" si="1"/>
        <v>1.0244</v>
      </c>
      <c r="F11" s="99" t="s">
        <v>80</v>
      </c>
      <c r="G11" s="98">
        <v>40</v>
      </c>
      <c r="H11" s="97">
        <v>213.252578902077</v>
      </c>
      <c r="I11" s="97">
        <v>18.5353482408071</v>
      </c>
      <c r="J11" s="97">
        <v>39.551732194161097</v>
      </c>
      <c r="K11" s="97">
        <v>16.299615782122601</v>
      </c>
      <c r="L11" s="97">
        <v>19.817774272774599</v>
      </c>
      <c r="M11" s="97">
        <v>21.030695328004398</v>
      </c>
      <c r="N11" s="97">
        <v>12.461659428921999</v>
      </c>
      <c r="O11" s="97">
        <v>12.070450312384001</v>
      </c>
      <c r="P11" s="97">
        <v>27.878989942809302</v>
      </c>
      <c r="Q11" s="97">
        <v>20.229758059018501</v>
      </c>
      <c r="R11" s="97">
        <v>16.361650755056999</v>
      </c>
      <c r="S11" s="97">
        <v>9.0149045860165504</v>
      </c>
      <c r="T11" s="97">
        <f t="shared" si="2"/>
        <v>17</v>
      </c>
      <c r="U11" s="101">
        <f t="shared" si="3"/>
        <v>36</v>
      </c>
      <c r="V11" s="97">
        <f t="shared" si="4"/>
        <v>14</v>
      </c>
      <c r="W11" s="97">
        <f t="shared" si="5"/>
        <v>17</v>
      </c>
      <c r="X11" s="97">
        <f t="shared" si="6"/>
        <v>19</v>
      </c>
      <c r="Y11" s="97">
        <f t="shared" si="7"/>
        <v>11</v>
      </c>
      <c r="Z11" s="97">
        <f t="shared" si="8"/>
        <v>11</v>
      </c>
      <c r="AA11" s="100">
        <f t="shared" si="9"/>
        <v>25</v>
      </c>
      <c r="AB11" s="97">
        <f t="shared" si="10"/>
        <v>18</v>
      </c>
      <c r="AC11" s="97">
        <f t="shared" si="11"/>
        <v>15</v>
      </c>
      <c r="AD11" s="97">
        <f t="shared" si="12"/>
        <v>8</v>
      </c>
    </row>
    <row r="12" spans="1:40" x14ac:dyDescent="0.25">
      <c r="A12" s="94">
        <f t="shared" si="1"/>
        <v>1.1559999999999999</v>
      </c>
      <c r="B12" s="94">
        <f t="shared" si="1"/>
        <v>1.08</v>
      </c>
      <c r="C12" s="94">
        <f t="shared" si="1"/>
        <v>1.0144</v>
      </c>
      <c r="D12" s="94">
        <f t="shared" si="1"/>
        <v>1.1104000000000001</v>
      </c>
      <c r="E12" s="94">
        <f t="shared" si="1"/>
        <v>1.0244</v>
      </c>
      <c r="F12" s="99" t="s">
        <v>59</v>
      </c>
      <c r="G12" s="98">
        <v>20</v>
      </c>
      <c r="H12" s="97">
        <v>311.423368754406</v>
      </c>
      <c r="I12" s="97">
        <v>18.632188181148202</v>
      </c>
      <c r="J12" s="97">
        <v>26.180209208888499</v>
      </c>
      <c r="K12" s="97">
        <v>56.0820170937208</v>
      </c>
      <c r="L12" s="97">
        <v>51.154241691399399</v>
      </c>
      <c r="M12" s="97">
        <v>26.187269386857999</v>
      </c>
      <c r="N12" s="97">
        <v>13.8858832584326</v>
      </c>
      <c r="O12" s="97">
        <v>11.252329435281499</v>
      </c>
      <c r="P12" s="97">
        <v>36.120056287992398</v>
      </c>
      <c r="Q12" s="97">
        <v>23.8127794283748</v>
      </c>
      <c r="R12" s="97">
        <v>38.632942134622198</v>
      </c>
      <c r="S12" s="97">
        <v>9.4834526476879102</v>
      </c>
      <c r="T12" s="97">
        <f t="shared" si="2"/>
        <v>15</v>
      </c>
      <c r="U12" s="100">
        <f t="shared" si="3"/>
        <v>21</v>
      </c>
      <c r="V12" s="101">
        <f t="shared" si="4"/>
        <v>45</v>
      </c>
      <c r="W12" s="101">
        <f t="shared" si="5"/>
        <v>41</v>
      </c>
      <c r="X12" s="100">
        <f t="shared" si="6"/>
        <v>21</v>
      </c>
      <c r="Y12" s="97">
        <f t="shared" si="7"/>
        <v>11</v>
      </c>
      <c r="Z12" s="97">
        <f t="shared" si="8"/>
        <v>9</v>
      </c>
      <c r="AA12" s="100">
        <f t="shared" si="9"/>
        <v>29</v>
      </c>
      <c r="AB12" s="97">
        <f t="shared" si="10"/>
        <v>20</v>
      </c>
      <c r="AC12" s="101">
        <f t="shared" si="11"/>
        <v>31</v>
      </c>
      <c r="AD12" s="97">
        <f t="shared" si="12"/>
        <v>8</v>
      </c>
    </row>
    <row r="13" spans="1:40" x14ac:dyDescent="0.25">
      <c r="A13" s="94">
        <f t="shared" si="1"/>
        <v>1.1559999999999999</v>
      </c>
      <c r="B13" s="94">
        <f t="shared" si="1"/>
        <v>1.08</v>
      </c>
      <c r="C13" s="94">
        <f t="shared" si="1"/>
        <v>1.0144</v>
      </c>
      <c r="D13" s="94">
        <f t="shared" si="1"/>
        <v>1.1104000000000001</v>
      </c>
      <c r="E13" s="94">
        <f t="shared" si="1"/>
        <v>1.0244</v>
      </c>
      <c r="F13" s="99" t="s">
        <v>82</v>
      </c>
      <c r="G13" s="98">
        <v>50</v>
      </c>
      <c r="H13" s="97">
        <v>258.64879486938202</v>
      </c>
      <c r="I13" s="97">
        <v>20.200119967277399</v>
      </c>
      <c r="J13" s="97">
        <v>37.333793725864297</v>
      </c>
      <c r="K13" s="97">
        <v>20.311824715449902</v>
      </c>
      <c r="L13" s="97">
        <v>23.488693801443802</v>
      </c>
      <c r="M13" s="97">
        <v>23.100817724525601</v>
      </c>
      <c r="N13" s="97">
        <v>14.4900916097591</v>
      </c>
      <c r="O13" s="97">
        <v>11.9607453869151</v>
      </c>
      <c r="P13" s="97">
        <v>28.782413692914201</v>
      </c>
      <c r="Q13" s="97">
        <v>31.6154955039088</v>
      </c>
      <c r="R13" s="97">
        <v>35.861825723195999</v>
      </c>
      <c r="S13" s="97">
        <v>11.5029730181275</v>
      </c>
      <c r="T13" s="97">
        <f t="shared" si="2"/>
        <v>19</v>
      </c>
      <c r="U13" s="101">
        <f t="shared" si="3"/>
        <v>35</v>
      </c>
      <c r="V13" s="97">
        <f t="shared" si="4"/>
        <v>19</v>
      </c>
      <c r="W13" s="97">
        <f t="shared" si="5"/>
        <v>21</v>
      </c>
      <c r="X13" s="97">
        <f t="shared" si="6"/>
        <v>21</v>
      </c>
      <c r="Y13" s="97">
        <f t="shared" si="7"/>
        <v>13</v>
      </c>
      <c r="Z13" s="97">
        <f t="shared" si="8"/>
        <v>11</v>
      </c>
      <c r="AA13" s="100">
        <f t="shared" si="9"/>
        <v>27</v>
      </c>
      <c r="AB13" s="100">
        <f t="shared" si="10"/>
        <v>30</v>
      </c>
      <c r="AC13" s="100">
        <f t="shared" si="11"/>
        <v>34</v>
      </c>
      <c r="AD13" s="97">
        <f t="shared" si="12"/>
        <v>11</v>
      </c>
    </row>
    <row r="14" spans="1:40" x14ac:dyDescent="0.25">
      <c r="A14" s="94">
        <f t="shared" ref="A14:E23" si="13">1+A$2*A$3</f>
        <v>1.1559999999999999</v>
      </c>
      <c r="B14" s="94">
        <f t="shared" si="13"/>
        <v>1.08</v>
      </c>
      <c r="C14" s="94">
        <f t="shared" si="13"/>
        <v>1.0144</v>
      </c>
      <c r="D14" s="94">
        <f t="shared" si="13"/>
        <v>1.1104000000000001</v>
      </c>
      <c r="E14" s="94">
        <f t="shared" si="13"/>
        <v>1.0244</v>
      </c>
      <c r="F14" s="99" t="s">
        <v>72</v>
      </c>
      <c r="G14" s="98">
        <v>30</v>
      </c>
      <c r="H14" s="97">
        <v>246.412658321679</v>
      </c>
      <c r="I14" s="97">
        <v>21.707407213416602</v>
      </c>
      <c r="J14" s="97">
        <v>41.826004925381</v>
      </c>
      <c r="K14" s="97">
        <v>14.572435962394</v>
      </c>
      <c r="L14" s="97">
        <v>11.101102443650699</v>
      </c>
      <c r="M14" s="97">
        <v>19.835020419615301</v>
      </c>
      <c r="N14" s="97">
        <v>17.6313274303279</v>
      </c>
      <c r="O14" s="97">
        <v>13.3523726230974</v>
      </c>
      <c r="P14" s="97">
        <v>31.6485120090842</v>
      </c>
      <c r="Q14" s="97">
        <v>38.582801169531898</v>
      </c>
      <c r="R14" s="97">
        <v>21.392641636888399</v>
      </c>
      <c r="S14" s="97">
        <v>14.763032488291801</v>
      </c>
      <c r="T14" s="97">
        <f t="shared" si="2"/>
        <v>19</v>
      </c>
      <c r="U14" s="101">
        <f t="shared" si="3"/>
        <v>36</v>
      </c>
      <c r="V14" s="97">
        <f t="shared" si="4"/>
        <v>12</v>
      </c>
      <c r="W14" s="97">
        <f t="shared" si="5"/>
        <v>10</v>
      </c>
      <c r="X14" s="97">
        <f t="shared" si="6"/>
        <v>17</v>
      </c>
      <c r="Y14" s="97">
        <f t="shared" si="7"/>
        <v>15</v>
      </c>
      <c r="Z14" s="97">
        <f t="shared" si="8"/>
        <v>11</v>
      </c>
      <c r="AA14" s="100">
        <f t="shared" si="9"/>
        <v>27</v>
      </c>
      <c r="AB14" s="101">
        <f t="shared" si="10"/>
        <v>33</v>
      </c>
      <c r="AC14" s="97">
        <f t="shared" si="11"/>
        <v>19</v>
      </c>
      <c r="AD14" s="97">
        <f t="shared" si="12"/>
        <v>13</v>
      </c>
    </row>
    <row r="15" spans="1:40" x14ac:dyDescent="0.25">
      <c r="A15" s="94">
        <f t="shared" si="13"/>
        <v>1.1559999999999999</v>
      </c>
      <c r="B15" s="94">
        <f t="shared" si="13"/>
        <v>1.08</v>
      </c>
      <c r="C15" s="94">
        <f t="shared" si="13"/>
        <v>1.0144</v>
      </c>
      <c r="D15" s="94">
        <f t="shared" si="13"/>
        <v>1.1104000000000001</v>
      </c>
      <c r="E15" s="94">
        <f t="shared" si="13"/>
        <v>1.0244</v>
      </c>
      <c r="F15" s="99" t="s">
        <v>48</v>
      </c>
      <c r="G15" s="98">
        <v>0</v>
      </c>
      <c r="H15" s="97">
        <v>222.21912783267399</v>
      </c>
      <c r="I15" s="97">
        <v>20.440919418782201</v>
      </c>
      <c r="J15" s="97">
        <v>37.493413190410102</v>
      </c>
      <c r="K15" s="97">
        <v>14.049314011066</v>
      </c>
      <c r="L15" s="97">
        <v>14.6988583671721</v>
      </c>
      <c r="M15" s="97">
        <v>14.434598653082601</v>
      </c>
      <c r="N15" s="97">
        <v>17.2597169000775</v>
      </c>
      <c r="O15" s="97">
        <v>12.6162143038121</v>
      </c>
      <c r="P15" s="97">
        <v>26.224551953411499</v>
      </c>
      <c r="Q15" s="97">
        <v>30.831518354914401</v>
      </c>
      <c r="R15" s="97">
        <v>19.4684347840867</v>
      </c>
      <c r="S15" s="97">
        <v>14.7015878958592</v>
      </c>
      <c r="T15" s="97">
        <f t="shared" si="2"/>
        <v>15</v>
      </c>
      <c r="U15" s="101">
        <f t="shared" si="3"/>
        <v>27</v>
      </c>
      <c r="V15" s="97">
        <f t="shared" si="4"/>
        <v>11</v>
      </c>
      <c r="W15" s="97">
        <f t="shared" si="5"/>
        <v>11</v>
      </c>
      <c r="X15" s="97">
        <f t="shared" si="6"/>
        <v>11</v>
      </c>
      <c r="Y15" s="97">
        <f t="shared" si="7"/>
        <v>13</v>
      </c>
      <c r="Z15" s="97">
        <f t="shared" si="8"/>
        <v>10</v>
      </c>
      <c r="AA15" s="100">
        <f t="shared" si="9"/>
        <v>19</v>
      </c>
      <c r="AB15" s="100">
        <f t="shared" si="10"/>
        <v>23</v>
      </c>
      <c r="AC15" s="97">
        <f t="shared" si="11"/>
        <v>14</v>
      </c>
      <c r="AD15" s="97">
        <f t="shared" si="12"/>
        <v>11</v>
      </c>
    </row>
    <row r="16" spans="1:40" x14ac:dyDescent="0.25">
      <c r="A16" s="94">
        <f t="shared" si="13"/>
        <v>1.1559999999999999</v>
      </c>
      <c r="B16" s="94">
        <f t="shared" si="13"/>
        <v>1.08</v>
      </c>
      <c r="C16" s="94">
        <f t="shared" si="13"/>
        <v>1.0144</v>
      </c>
      <c r="D16" s="94">
        <f t="shared" si="13"/>
        <v>1.1104000000000001</v>
      </c>
      <c r="E16" s="94">
        <f t="shared" si="13"/>
        <v>1.0244</v>
      </c>
      <c r="F16" s="99" t="s">
        <v>83</v>
      </c>
      <c r="G16" s="98">
        <v>40</v>
      </c>
      <c r="H16" s="97">
        <v>199.64121987613501</v>
      </c>
      <c r="I16" s="97">
        <v>13.1296854137893</v>
      </c>
      <c r="J16" s="97">
        <v>24.815845714271799</v>
      </c>
      <c r="K16" s="97">
        <v>16.437125117849799</v>
      </c>
      <c r="L16" s="97">
        <v>21.493843509824199</v>
      </c>
      <c r="M16" s="97">
        <v>17.477856279014201</v>
      </c>
      <c r="N16" s="97">
        <v>11.7755329536846</v>
      </c>
      <c r="O16" s="97">
        <v>10.8134999204285</v>
      </c>
      <c r="P16" s="97">
        <v>27.8214516069194</v>
      </c>
      <c r="Q16" s="97">
        <v>21.393201125120001</v>
      </c>
      <c r="R16" s="97">
        <v>23.134106631327398</v>
      </c>
      <c r="S16" s="97">
        <v>11.3490716039056</v>
      </c>
      <c r="T16" s="97">
        <f t="shared" si="2"/>
        <v>12</v>
      </c>
      <c r="U16" s="100">
        <f t="shared" si="3"/>
        <v>22</v>
      </c>
      <c r="V16" s="97">
        <f t="shared" si="4"/>
        <v>15</v>
      </c>
      <c r="W16" s="97">
        <f t="shared" si="5"/>
        <v>19</v>
      </c>
      <c r="X16" s="97">
        <f t="shared" si="6"/>
        <v>15</v>
      </c>
      <c r="Y16" s="97">
        <f t="shared" si="7"/>
        <v>11</v>
      </c>
      <c r="Z16" s="97">
        <f t="shared" si="8"/>
        <v>10</v>
      </c>
      <c r="AA16" s="100">
        <f t="shared" si="9"/>
        <v>25</v>
      </c>
      <c r="AB16" s="97">
        <f t="shared" si="10"/>
        <v>19</v>
      </c>
      <c r="AC16" s="97">
        <f t="shared" si="11"/>
        <v>21</v>
      </c>
      <c r="AD16" s="97">
        <f t="shared" si="12"/>
        <v>11</v>
      </c>
    </row>
    <row r="17" spans="1:30" x14ac:dyDescent="0.25">
      <c r="A17" s="94">
        <f t="shared" si="13"/>
        <v>1.1559999999999999</v>
      </c>
      <c r="B17" s="94">
        <f t="shared" si="13"/>
        <v>1.08</v>
      </c>
      <c r="C17" s="94">
        <f t="shared" si="13"/>
        <v>1.0144</v>
      </c>
      <c r="D17" s="94">
        <f t="shared" si="13"/>
        <v>1.1104000000000001</v>
      </c>
      <c r="E17" s="94">
        <f t="shared" si="13"/>
        <v>1.0244</v>
      </c>
      <c r="F17" s="99" t="s">
        <v>64</v>
      </c>
      <c r="G17" s="98">
        <v>40</v>
      </c>
      <c r="H17" s="97">
        <v>297.55535212471898</v>
      </c>
      <c r="I17" s="97">
        <v>26.628718655398199</v>
      </c>
      <c r="J17" s="97">
        <v>41.091225213630402</v>
      </c>
      <c r="K17" s="97">
        <v>27.400746288307101</v>
      </c>
      <c r="L17" s="97">
        <v>29.847746943942099</v>
      </c>
      <c r="M17" s="97">
        <v>24.688901779868299</v>
      </c>
      <c r="N17" s="97">
        <v>21.522214622142201</v>
      </c>
      <c r="O17" s="97">
        <v>15.032233431027599</v>
      </c>
      <c r="P17" s="97">
        <v>23.5545992073923</v>
      </c>
      <c r="Q17" s="97">
        <v>36.455005343440398</v>
      </c>
      <c r="R17" s="97">
        <v>34.426084955624503</v>
      </c>
      <c r="S17" s="97">
        <v>16.907875683946099</v>
      </c>
      <c r="T17" s="100">
        <f t="shared" si="2"/>
        <v>24</v>
      </c>
      <c r="U17" s="101">
        <f t="shared" si="3"/>
        <v>37</v>
      </c>
      <c r="V17" s="100">
        <f t="shared" si="4"/>
        <v>24</v>
      </c>
      <c r="W17" s="100">
        <f t="shared" si="5"/>
        <v>26</v>
      </c>
      <c r="X17" s="100">
        <f t="shared" si="6"/>
        <v>22</v>
      </c>
      <c r="Y17" s="97">
        <f t="shared" si="7"/>
        <v>19</v>
      </c>
      <c r="Z17" s="97">
        <f t="shared" si="8"/>
        <v>13</v>
      </c>
      <c r="AA17" s="97">
        <f t="shared" si="9"/>
        <v>21</v>
      </c>
      <c r="AB17" s="100">
        <f t="shared" si="10"/>
        <v>33</v>
      </c>
      <c r="AC17" s="100">
        <f t="shared" si="11"/>
        <v>31</v>
      </c>
      <c r="AD17" s="97">
        <f t="shared" si="12"/>
        <v>15</v>
      </c>
    </row>
    <row r="18" spans="1:30" x14ac:dyDescent="0.25">
      <c r="A18" s="94">
        <f t="shared" si="13"/>
        <v>1.1559999999999999</v>
      </c>
      <c r="B18" s="94">
        <f t="shared" si="13"/>
        <v>1.08</v>
      </c>
      <c r="C18" s="94">
        <f t="shared" si="13"/>
        <v>1.0144</v>
      </c>
      <c r="D18" s="94">
        <f t="shared" si="13"/>
        <v>1.1104000000000001</v>
      </c>
      <c r="E18" s="94">
        <f t="shared" si="13"/>
        <v>1.0244</v>
      </c>
      <c r="F18" s="99" t="s">
        <v>78</v>
      </c>
      <c r="G18" s="98">
        <v>0</v>
      </c>
      <c r="H18" s="97">
        <v>243.29396835935799</v>
      </c>
      <c r="I18" s="97">
        <v>18.097203832585802</v>
      </c>
      <c r="J18" s="97">
        <v>33.043042785862497</v>
      </c>
      <c r="K18" s="97">
        <v>23.824066976248101</v>
      </c>
      <c r="L18" s="97">
        <v>18.895744542893102</v>
      </c>
      <c r="M18" s="97">
        <v>23.444988012613901</v>
      </c>
      <c r="N18" s="97">
        <v>12.842337613617101</v>
      </c>
      <c r="O18" s="97">
        <v>23.147934667788999</v>
      </c>
      <c r="P18" s="97">
        <v>26.7887806792309</v>
      </c>
      <c r="Q18" s="97">
        <v>31.262264818535201</v>
      </c>
      <c r="R18" s="97">
        <v>18.693864628579099</v>
      </c>
      <c r="S18" s="97">
        <v>13.253739801402901</v>
      </c>
      <c r="T18" s="97">
        <f t="shared" si="2"/>
        <v>13</v>
      </c>
      <c r="U18" s="100">
        <f t="shared" si="3"/>
        <v>24</v>
      </c>
      <c r="V18" s="97">
        <f t="shared" si="4"/>
        <v>18</v>
      </c>
      <c r="W18" s="97">
        <f t="shared" si="5"/>
        <v>14</v>
      </c>
      <c r="X18" s="97">
        <f t="shared" si="6"/>
        <v>17</v>
      </c>
      <c r="Y18" s="97">
        <f t="shared" si="7"/>
        <v>10</v>
      </c>
      <c r="Z18" s="97">
        <f t="shared" si="8"/>
        <v>17</v>
      </c>
      <c r="AA18" s="100">
        <f t="shared" si="9"/>
        <v>20</v>
      </c>
      <c r="AB18" s="100">
        <f t="shared" si="10"/>
        <v>23</v>
      </c>
      <c r="AC18" s="97">
        <f t="shared" si="11"/>
        <v>14</v>
      </c>
      <c r="AD18" s="97">
        <f t="shared" si="12"/>
        <v>10</v>
      </c>
    </row>
    <row r="19" spans="1:30" x14ac:dyDescent="0.25">
      <c r="A19" s="94">
        <f t="shared" si="13"/>
        <v>1.1559999999999999</v>
      </c>
      <c r="B19" s="94">
        <f t="shared" si="13"/>
        <v>1.08</v>
      </c>
      <c r="C19" s="94">
        <f t="shared" si="13"/>
        <v>1.0144</v>
      </c>
      <c r="D19" s="94">
        <f t="shared" si="13"/>
        <v>1.1104000000000001</v>
      </c>
      <c r="E19" s="94">
        <f t="shared" si="13"/>
        <v>1.0244</v>
      </c>
      <c r="F19" s="99" t="s">
        <v>61</v>
      </c>
      <c r="G19" s="98">
        <v>0</v>
      </c>
      <c r="H19" s="97">
        <v>302.90686821245703</v>
      </c>
      <c r="I19" s="97">
        <v>32.630615054046899</v>
      </c>
      <c r="J19" s="97">
        <v>42.683652593779001</v>
      </c>
      <c r="K19" s="97">
        <v>18.622351447157602</v>
      </c>
      <c r="L19" s="97">
        <v>23.751326390174601</v>
      </c>
      <c r="M19" s="97">
        <v>28.675388986889701</v>
      </c>
      <c r="N19" s="97">
        <v>26.213357688532099</v>
      </c>
      <c r="O19" s="97">
        <v>11.9056181759343</v>
      </c>
      <c r="P19" s="97">
        <v>33.148659202293302</v>
      </c>
      <c r="Q19" s="97">
        <v>38.176756494908197</v>
      </c>
      <c r="R19" s="97">
        <v>37.171137036385197</v>
      </c>
      <c r="S19" s="97">
        <v>9.9280051423556905</v>
      </c>
      <c r="T19" s="100">
        <f t="shared" si="2"/>
        <v>24</v>
      </c>
      <c r="U19" s="101">
        <f t="shared" si="3"/>
        <v>31</v>
      </c>
      <c r="V19" s="97">
        <f t="shared" si="4"/>
        <v>14</v>
      </c>
      <c r="W19" s="97">
        <f t="shared" si="5"/>
        <v>17</v>
      </c>
      <c r="X19" s="97">
        <f t="shared" si="6"/>
        <v>21</v>
      </c>
      <c r="Y19" s="100">
        <f t="shared" si="7"/>
        <v>19</v>
      </c>
      <c r="Z19" s="97">
        <f t="shared" si="8"/>
        <v>9</v>
      </c>
      <c r="AA19" s="100">
        <f t="shared" si="9"/>
        <v>24</v>
      </c>
      <c r="AB19" s="101">
        <f t="shared" si="10"/>
        <v>28</v>
      </c>
      <c r="AC19" s="101">
        <f t="shared" si="11"/>
        <v>27</v>
      </c>
      <c r="AD19" s="97">
        <f t="shared" si="12"/>
        <v>8</v>
      </c>
    </row>
    <row r="20" spans="1:30" x14ac:dyDescent="0.25">
      <c r="A20" s="94">
        <f t="shared" si="13"/>
        <v>1.1559999999999999</v>
      </c>
      <c r="B20" s="94">
        <f t="shared" si="13"/>
        <v>1.08</v>
      </c>
      <c r="C20" s="94">
        <f t="shared" si="13"/>
        <v>1.0144</v>
      </c>
      <c r="D20" s="94">
        <f t="shared" si="13"/>
        <v>1.1104000000000001</v>
      </c>
      <c r="E20" s="94">
        <f t="shared" si="13"/>
        <v>1.0244</v>
      </c>
      <c r="F20" s="99" t="s">
        <v>58</v>
      </c>
      <c r="G20" s="98">
        <v>0</v>
      </c>
      <c r="H20" s="97">
        <v>238.73047105188999</v>
      </c>
      <c r="I20" s="97">
        <v>21.9423090681708</v>
      </c>
      <c r="J20" s="97">
        <v>44.280457678263801</v>
      </c>
      <c r="K20" s="97">
        <v>15.329790714758801</v>
      </c>
      <c r="L20" s="97">
        <v>16.519260875561201</v>
      </c>
      <c r="M20" s="97">
        <v>17.349379957405201</v>
      </c>
      <c r="N20" s="97">
        <v>14.1744787308181</v>
      </c>
      <c r="O20" s="97">
        <v>14.651607157488799</v>
      </c>
      <c r="P20" s="97">
        <v>27.204204574796499</v>
      </c>
      <c r="Q20" s="97">
        <v>35.609173145291201</v>
      </c>
      <c r="R20" s="97">
        <v>18.865202102108601</v>
      </c>
      <c r="S20" s="97">
        <v>12.804607047226501</v>
      </c>
      <c r="T20" s="97">
        <f t="shared" si="2"/>
        <v>16</v>
      </c>
      <c r="U20" s="101">
        <f t="shared" si="3"/>
        <v>32</v>
      </c>
      <c r="V20" s="97">
        <f t="shared" si="4"/>
        <v>11</v>
      </c>
      <c r="W20" s="97">
        <f t="shared" si="5"/>
        <v>12</v>
      </c>
      <c r="X20" s="97">
        <f t="shared" si="6"/>
        <v>13</v>
      </c>
      <c r="Y20" s="97">
        <f t="shared" si="7"/>
        <v>11</v>
      </c>
      <c r="Z20" s="97">
        <f t="shared" si="8"/>
        <v>11</v>
      </c>
      <c r="AA20" s="100">
        <f t="shared" si="9"/>
        <v>20</v>
      </c>
      <c r="AB20" s="100">
        <f t="shared" si="10"/>
        <v>26</v>
      </c>
      <c r="AC20" s="97">
        <f t="shared" si="11"/>
        <v>14</v>
      </c>
      <c r="AD20" s="97">
        <f t="shared" si="12"/>
        <v>10</v>
      </c>
    </row>
    <row r="21" spans="1:30" x14ac:dyDescent="0.25">
      <c r="A21" s="94">
        <f t="shared" si="13"/>
        <v>1.1559999999999999</v>
      </c>
      <c r="B21" s="94">
        <f t="shared" si="13"/>
        <v>1.08</v>
      </c>
      <c r="C21" s="94">
        <f t="shared" si="13"/>
        <v>1.0144</v>
      </c>
      <c r="D21" s="94">
        <f t="shared" si="13"/>
        <v>1.1104000000000001</v>
      </c>
      <c r="E21" s="94">
        <f t="shared" si="13"/>
        <v>1.0244</v>
      </c>
      <c r="F21" s="99" t="s">
        <v>55</v>
      </c>
      <c r="G21" s="98">
        <v>40</v>
      </c>
      <c r="H21" s="97">
        <v>235.75095033031801</v>
      </c>
      <c r="I21" s="97">
        <v>16.3396164270833</v>
      </c>
      <c r="J21" s="97">
        <v>37.721022938843397</v>
      </c>
      <c r="K21" s="97">
        <v>21.6669967467354</v>
      </c>
      <c r="L21" s="97">
        <v>18.616639519058399</v>
      </c>
      <c r="M21" s="97">
        <v>20.686343008519099</v>
      </c>
      <c r="N21" s="97">
        <v>14.3511876623764</v>
      </c>
      <c r="O21" s="97">
        <v>10.850259919645699</v>
      </c>
      <c r="P21" s="97">
        <v>27.665212011863002</v>
      </c>
      <c r="Q21" s="97">
        <v>32.847235527304903</v>
      </c>
      <c r="R21" s="97">
        <v>24.824292846198102</v>
      </c>
      <c r="S21" s="97">
        <v>10.182143722690499</v>
      </c>
      <c r="T21" s="97">
        <f t="shared" si="2"/>
        <v>15</v>
      </c>
      <c r="U21" s="101">
        <f t="shared" si="3"/>
        <v>34</v>
      </c>
      <c r="V21" s="97">
        <f t="shared" si="4"/>
        <v>19</v>
      </c>
      <c r="W21" s="97">
        <f t="shared" si="5"/>
        <v>16</v>
      </c>
      <c r="X21" s="97">
        <f t="shared" si="6"/>
        <v>18</v>
      </c>
      <c r="Y21" s="97">
        <f t="shared" si="7"/>
        <v>13</v>
      </c>
      <c r="Z21" s="97">
        <f t="shared" si="8"/>
        <v>10</v>
      </c>
      <c r="AA21" s="100">
        <f t="shared" si="9"/>
        <v>25</v>
      </c>
      <c r="AB21" s="100">
        <f t="shared" si="10"/>
        <v>30</v>
      </c>
      <c r="AC21" s="100">
        <f t="shared" si="11"/>
        <v>22</v>
      </c>
      <c r="AD21" s="97">
        <f t="shared" si="12"/>
        <v>10</v>
      </c>
    </row>
    <row r="22" spans="1:30" x14ac:dyDescent="0.25">
      <c r="A22" s="94">
        <f t="shared" si="13"/>
        <v>1.1559999999999999</v>
      </c>
      <c r="B22" s="94">
        <f t="shared" si="13"/>
        <v>1.08</v>
      </c>
      <c r="C22" s="94">
        <f t="shared" si="13"/>
        <v>1.0144</v>
      </c>
      <c r="D22" s="94">
        <f t="shared" si="13"/>
        <v>1.1104000000000001</v>
      </c>
      <c r="E22" s="94">
        <f t="shared" si="13"/>
        <v>1.0244</v>
      </c>
      <c r="F22" s="99" t="s">
        <v>49</v>
      </c>
      <c r="G22" s="98">
        <v>40</v>
      </c>
      <c r="H22" s="97">
        <v>242.88965104067501</v>
      </c>
      <c r="I22" s="97">
        <v>27.611885309806201</v>
      </c>
      <c r="J22" s="97">
        <v>14.3613446970295</v>
      </c>
      <c r="K22" s="97">
        <v>28.886643641276901</v>
      </c>
      <c r="L22" s="97">
        <v>34.2298635523222</v>
      </c>
      <c r="M22" s="97">
        <v>31.179053007073399</v>
      </c>
      <c r="N22" s="97">
        <v>18.940363005429401</v>
      </c>
      <c r="O22" s="97">
        <v>22.047157405830699</v>
      </c>
      <c r="P22" s="97">
        <v>21.323113913192401</v>
      </c>
      <c r="Q22" s="97">
        <v>17.360114815478902</v>
      </c>
      <c r="R22" s="97">
        <v>11.1321009547434</v>
      </c>
      <c r="S22" s="97">
        <v>15.818010738492299</v>
      </c>
      <c r="T22" s="100">
        <f t="shared" si="2"/>
        <v>25</v>
      </c>
      <c r="U22" s="97">
        <f t="shared" si="3"/>
        <v>13</v>
      </c>
      <c r="V22" s="100">
        <f t="shared" si="4"/>
        <v>25</v>
      </c>
      <c r="W22" s="100">
        <f t="shared" si="5"/>
        <v>30</v>
      </c>
      <c r="X22" s="100">
        <f t="shared" si="6"/>
        <v>27</v>
      </c>
      <c r="Y22" s="97">
        <f t="shared" si="7"/>
        <v>17</v>
      </c>
      <c r="Z22" s="97">
        <f t="shared" si="8"/>
        <v>19</v>
      </c>
      <c r="AA22" s="97">
        <f t="shared" si="9"/>
        <v>19</v>
      </c>
      <c r="AB22" s="97">
        <f t="shared" si="10"/>
        <v>16</v>
      </c>
      <c r="AC22" s="97">
        <f t="shared" si="11"/>
        <v>10</v>
      </c>
      <c r="AD22" s="97">
        <f t="shared" si="12"/>
        <v>15</v>
      </c>
    </row>
    <row r="23" spans="1:30" x14ac:dyDescent="0.25">
      <c r="A23" s="94">
        <f t="shared" si="13"/>
        <v>1.1559999999999999</v>
      </c>
      <c r="B23" s="94">
        <f t="shared" si="13"/>
        <v>1.08</v>
      </c>
      <c r="C23" s="94">
        <f t="shared" si="13"/>
        <v>1.0144</v>
      </c>
      <c r="D23" s="94">
        <f t="shared" si="13"/>
        <v>1.1104000000000001</v>
      </c>
      <c r="E23" s="94">
        <f t="shared" si="13"/>
        <v>1.0244</v>
      </c>
      <c r="F23" s="99" t="s">
        <v>65</v>
      </c>
      <c r="G23" s="98">
        <v>0</v>
      </c>
      <c r="H23" s="97">
        <v>232.001607325484</v>
      </c>
      <c r="I23" s="97">
        <v>16.337304460021901</v>
      </c>
      <c r="J23" s="97">
        <v>23.726333750941301</v>
      </c>
      <c r="K23" s="97">
        <v>25.695673250901901</v>
      </c>
      <c r="L23" s="97">
        <v>28.991388759642501</v>
      </c>
      <c r="M23" s="97">
        <v>14.5418210954972</v>
      </c>
      <c r="N23" s="97">
        <v>12.9113796082897</v>
      </c>
      <c r="O23" s="97">
        <v>23.3905341817424</v>
      </c>
      <c r="P23" s="97">
        <v>33.560354565652297</v>
      </c>
      <c r="Q23" s="97">
        <v>20.0865829410521</v>
      </c>
      <c r="R23" s="97">
        <v>17.436583789372001</v>
      </c>
      <c r="S23" s="97">
        <v>15.323650922371201</v>
      </c>
      <c r="T23" s="97">
        <f t="shared" si="2"/>
        <v>12</v>
      </c>
      <c r="U23" s="97">
        <f t="shared" si="3"/>
        <v>17</v>
      </c>
      <c r="V23" s="100">
        <f t="shared" si="4"/>
        <v>19</v>
      </c>
      <c r="W23" s="100">
        <f t="shared" si="5"/>
        <v>21</v>
      </c>
      <c r="X23" s="97">
        <f t="shared" si="6"/>
        <v>11</v>
      </c>
      <c r="Y23" s="97">
        <f t="shared" si="7"/>
        <v>10</v>
      </c>
      <c r="Z23" s="97">
        <f t="shared" si="8"/>
        <v>17</v>
      </c>
      <c r="AA23" s="100">
        <f t="shared" si="9"/>
        <v>24</v>
      </c>
      <c r="AB23" s="97">
        <f t="shared" si="10"/>
        <v>15</v>
      </c>
      <c r="AC23" s="97">
        <f t="shared" si="11"/>
        <v>13</v>
      </c>
      <c r="AD23" s="97">
        <f t="shared" si="12"/>
        <v>11</v>
      </c>
    </row>
    <row r="24" spans="1:30" x14ac:dyDescent="0.25">
      <c r="A24" s="94">
        <f t="shared" ref="A24:E33" si="14">1+A$2*A$3</f>
        <v>1.1559999999999999</v>
      </c>
      <c r="B24" s="94">
        <f t="shared" si="14"/>
        <v>1.08</v>
      </c>
      <c r="C24" s="94">
        <f t="shared" si="14"/>
        <v>1.0144</v>
      </c>
      <c r="D24" s="94">
        <f t="shared" si="14"/>
        <v>1.1104000000000001</v>
      </c>
      <c r="E24" s="94">
        <f t="shared" si="14"/>
        <v>1.0244</v>
      </c>
      <c r="F24" s="99" t="s">
        <v>74</v>
      </c>
      <c r="G24" s="98">
        <v>20</v>
      </c>
      <c r="H24" s="97">
        <v>253.11294913794299</v>
      </c>
      <c r="I24" s="97">
        <v>23.191552627527699</v>
      </c>
      <c r="J24" s="97">
        <v>34.398251132389497</v>
      </c>
      <c r="K24" s="97">
        <v>19.664328528489001</v>
      </c>
      <c r="L24" s="97">
        <v>25.715547810903299</v>
      </c>
      <c r="M24" s="97">
        <v>21.409967117389598</v>
      </c>
      <c r="N24" s="97">
        <v>12.240677661672001</v>
      </c>
      <c r="O24" s="97">
        <v>12.4825395441363</v>
      </c>
      <c r="P24" s="97">
        <v>23.245398763395499</v>
      </c>
      <c r="Q24" s="97">
        <v>37.816180727552897</v>
      </c>
      <c r="R24" s="97">
        <v>34.331282306828797</v>
      </c>
      <c r="S24" s="97">
        <v>8.6172229176585002</v>
      </c>
      <c r="T24" s="97">
        <f t="shared" si="2"/>
        <v>19</v>
      </c>
      <c r="U24" s="100">
        <f t="shared" si="3"/>
        <v>28</v>
      </c>
      <c r="V24" s="97">
        <f t="shared" si="4"/>
        <v>16</v>
      </c>
      <c r="W24" s="100">
        <f t="shared" si="5"/>
        <v>21</v>
      </c>
      <c r="X24" s="97">
        <f t="shared" si="6"/>
        <v>17</v>
      </c>
      <c r="Y24" s="97">
        <f t="shared" si="7"/>
        <v>10</v>
      </c>
      <c r="Z24" s="97">
        <f t="shared" si="8"/>
        <v>10</v>
      </c>
      <c r="AA24" s="97">
        <f t="shared" si="9"/>
        <v>19</v>
      </c>
      <c r="AB24" s="101">
        <f t="shared" si="10"/>
        <v>31</v>
      </c>
      <c r="AC24" s="100">
        <f t="shared" si="11"/>
        <v>28</v>
      </c>
      <c r="AD24" s="97">
        <f t="shared" si="12"/>
        <v>7</v>
      </c>
    </row>
    <row r="25" spans="1:30" x14ac:dyDescent="0.25">
      <c r="A25" s="94">
        <f t="shared" si="14"/>
        <v>1.1559999999999999</v>
      </c>
      <c r="B25" s="94">
        <f t="shared" si="14"/>
        <v>1.08</v>
      </c>
      <c r="C25" s="94">
        <f t="shared" si="14"/>
        <v>1.0144</v>
      </c>
      <c r="D25" s="94">
        <f t="shared" si="14"/>
        <v>1.1104000000000001</v>
      </c>
      <c r="E25" s="94">
        <f t="shared" si="14"/>
        <v>1.0244</v>
      </c>
      <c r="F25" s="99" t="s">
        <v>69</v>
      </c>
      <c r="G25" s="98">
        <v>40</v>
      </c>
      <c r="H25" s="97">
        <v>167.14481761715501</v>
      </c>
      <c r="I25" s="97">
        <v>9.8621868050441694</v>
      </c>
      <c r="J25" s="97">
        <v>18.281885148902401</v>
      </c>
      <c r="K25" s="97">
        <v>12.5352128363914</v>
      </c>
      <c r="L25" s="97">
        <v>11.0861241383425</v>
      </c>
      <c r="M25" s="97">
        <v>15.1658179857642</v>
      </c>
      <c r="N25" s="97">
        <v>10.8251665390233</v>
      </c>
      <c r="O25" s="97">
        <v>14.7048180130316</v>
      </c>
      <c r="P25" s="97">
        <v>23.484163898476101</v>
      </c>
      <c r="Q25" s="97">
        <v>10.220000866338101</v>
      </c>
      <c r="R25" s="97">
        <v>28.088040400950501</v>
      </c>
      <c r="S25" s="97">
        <v>12.891400984890399</v>
      </c>
      <c r="T25" s="97">
        <f t="shared" si="2"/>
        <v>9</v>
      </c>
      <c r="U25" s="97">
        <f t="shared" si="3"/>
        <v>17</v>
      </c>
      <c r="V25" s="97">
        <f t="shared" si="4"/>
        <v>11</v>
      </c>
      <c r="W25" s="97">
        <f t="shared" si="5"/>
        <v>10</v>
      </c>
      <c r="X25" s="97">
        <f t="shared" si="6"/>
        <v>13</v>
      </c>
      <c r="Y25" s="97">
        <f t="shared" si="7"/>
        <v>10</v>
      </c>
      <c r="Z25" s="97">
        <f t="shared" si="8"/>
        <v>13</v>
      </c>
      <c r="AA25" s="97">
        <f t="shared" si="9"/>
        <v>21</v>
      </c>
      <c r="AB25" s="97">
        <f t="shared" si="10"/>
        <v>10</v>
      </c>
      <c r="AC25" s="100">
        <f t="shared" si="11"/>
        <v>25</v>
      </c>
      <c r="AD25" s="97">
        <f t="shared" si="12"/>
        <v>12</v>
      </c>
    </row>
    <row r="26" spans="1:30" x14ac:dyDescent="0.25">
      <c r="A26" s="94">
        <f t="shared" si="14"/>
        <v>1.1559999999999999</v>
      </c>
      <c r="B26" s="94">
        <f t="shared" si="14"/>
        <v>1.08</v>
      </c>
      <c r="C26" s="94">
        <f t="shared" si="14"/>
        <v>1.0144</v>
      </c>
      <c r="D26" s="94">
        <f t="shared" si="14"/>
        <v>1.1104000000000001</v>
      </c>
      <c r="E26" s="94">
        <f t="shared" si="14"/>
        <v>1.0244</v>
      </c>
      <c r="F26" s="99" t="s">
        <v>52</v>
      </c>
      <c r="G26" s="98">
        <v>40</v>
      </c>
      <c r="H26" s="97">
        <v>198.98062611056801</v>
      </c>
      <c r="I26" s="97">
        <v>9.4655391209844506</v>
      </c>
      <c r="J26" s="97">
        <v>23.768157532819298</v>
      </c>
      <c r="K26" s="97">
        <v>15.6703706134321</v>
      </c>
      <c r="L26" s="97">
        <v>18.8698860559353</v>
      </c>
      <c r="M26" s="97">
        <v>20.325586439405502</v>
      </c>
      <c r="N26" s="97">
        <v>12.4545013555885</v>
      </c>
      <c r="O26" s="97">
        <v>10.485501844011401</v>
      </c>
      <c r="P26" s="97">
        <v>16.678482198506899</v>
      </c>
      <c r="Q26" s="97">
        <v>28.415533670524699</v>
      </c>
      <c r="R26" s="97">
        <v>27.6846858576607</v>
      </c>
      <c r="S26" s="97">
        <v>15.1623814216991</v>
      </c>
      <c r="T26" s="97">
        <f t="shared" si="2"/>
        <v>9</v>
      </c>
      <c r="U26" s="97">
        <f t="shared" si="3"/>
        <v>22</v>
      </c>
      <c r="V26" s="97">
        <f t="shared" si="4"/>
        <v>14</v>
      </c>
      <c r="W26" s="97">
        <f t="shared" si="5"/>
        <v>17</v>
      </c>
      <c r="X26" s="97">
        <f t="shared" si="6"/>
        <v>18</v>
      </c>
      <c r="Y26" s="97">
        <f t="shared" si="7"/>
        <v>11</v>
      </c>
      <c r="Z26" s="97">
        <f t="shared" si="8"/>
        <v>9</v>
      </c>
      <c r="AA26" s="97">
        <f t="shared" si="9"/>
        <v>15</v>
      </c>
      <c r="AB26" s="100">
        <f t="shared" si="10"/>
        <v>26</v>
      </c>
      <c r="AC26" s="100">
        <f t="shared" si="11"/>
        <v>25</v>
      </c>
      <c r="AD26" s="97">
        <f t="shared" si="12"/>
        <v>14</v>
      </c>
    </row>
    <row r="27" spans="1:30" x14ac:dyDescent="0.25">
      <c r="A27" s="94">
        <f t="shared" si="14"/>
        <v>1.1559999999999999</v>
      </c>
      <c r="B27" s="94">
        <f t="shared" si="14"/>
        <v>1.08</v>
      </c>
      <c r="C27" s="94">
        <f t="shared" si="14"/>
        <v>1.0144</v>
      </c>
      <c r="D27" s="94">
        <f t="shared" si="14"/>
        <v>1.1104000000000001</v>
      </c>
      <c r="E27" s="94">
        <f t="shared" si="14"/>
        <v>1.0244</v>
      </c>
      <c r="F27" s="99" t="s">
        <v>75</v>
      </c>
      <c r="G27" s="98">
        <v>0</v>
      </c>
      <c r="H27" s="97">
        <v>223.98935818812001</v>
      </c>
      <c r="I27" s="97">
        <v>16.3210051231199</v>
      </c>
      <c r="J27" s="97">
        <v>35.960603152398001</v>
      </c>
      <c r="K27" s="97">
        <v>21.021655309862599</v>
      </c>
      <c r="L27" s="97">
        <v>23.788563022397</v>
      </c>
      <c r="M27" s="97">
        <v>17.6044659355723</v>
      </c>
      <c r="N27" s="97">
        <v>15.2759901046189</v>
      </c>
      <c r="O27" s="97">
        <v>17.234006277476901</v>
      </c>
      <c r="P27" s="97">
        <v>20.174060975371098</v>
      </c>
      <c r="Q27" s="97">
        <v>28.9431894359921</v>
      </c>
      <c r="R27" s="97">
        <v>17.155044234594801</v>
      </c>
      <c r="S27" s="97">
        <v>10.5107746167167</v>
      </c>
      <c r="T27" s="97">
        <f t="shared" si="2"/>
        <v>12</v>
      </c>
      <c r="U27" s="100">
        <f t="shared" si="3"/>
        <v>26</v>
      </c>
      <c r="V27" s="97">
        <f t="shared" si="4"/>
        <v>16</v>
      </c>
      <c r="W27" s="97">
        <f t="shared" si="5"/>
        <v>17</v>
      </c>
      <c r="X27" s="97">
        <f t="shared" si="6"/>
        <v>13</v>
      </c>
      <c r="Y27" s="97">
        <f t="shared" si="7"/>
        <v>11</v>
      </c>
      <c r="Z27" s="97">
        <f t="shared" si="8"/>
        <v>13</v>
      </c>
      <c r="AA27" s="97">
        <f t="shared" si="9"/>
        <v>15</v>
      </c>
      <c r="AB27" s="100">
        <f t="shared" si="10"/>
        <v>21</v>
      </c>
      <c r="AC27" s="97">
        <f t="shared" si="11"/>
        <v>13</v>
      </c>
      <c r="AD27" s="97">
        <f t="shared" si="12"/>
        <v>8</v>
      </c>
    </row>
    <row r="28" spans="1:30" x14ac:dyDescent="0.25">
      <c r="A28" s="94">
        <f t="shared" si="14"/>
        <v>1.1559999999999999</v>
      </c>
      <c r="B28" s="94">
        <f t="shared" si="14"/>
        <v>1.08</v>
      </c>
      <c r="C28" s="94">
        <f t="shared" si="14"/>
        <v>1.0144</v>
      </c>
      <c r="D28" s="94">
        <f t="shared" si="14"/>
        <v>1.1104000000000001</v>
      </c>
      <c r="E28" s="94">
        <f t="shared" si="14"/>
        <v>1.0244</v>
      </c>
      <c r="F28" s="99" t="s">
        <v>76</v>
      </c>
      <c r="G28" s="98">
        <v>40</v>
      </c>
      <c r="H28" s="97">
        <v>255.27565344039701</v>
      </c>
      <c r="I28" s="97">
        <v>20.7993831955113</v>
      </c>
      <c r="J28" s="97">
        <v>44.879972864842102</v>
      </c>
      <c r="K28" s="97">
        <v>21.159882328080101</v>
      </c>
      <c r="L28" s="97">
        <v>27.243946180228299</v>
      </c>
      <c r="M28" s="97">
        <v>24.201168852242802</v>
      </c>
      <c r="N28" s="97">
        <v>12.241611176052301</v>
      </c>
      <c r="O28" s="97">
        <v>14.882855032221</v>
      </c>
      <c r="P28" s="97">
        <v>23.470618949482201</v>
      </c>
      <c r="Q28" s="97">
        <v>37.948758254862</v>
      </c>
      <c r="R28" s="97">
        <v>19.2527304936945</v>
      </c>
      <c r="S28" s="97">
        <v>9.1947261131800193</v>
      </c>
      <c r="T28" s="97">
        <f t="shared" si="2"/>
        <v>19</v>
      </c>
      <c r="U28" s="101">
        <f t="shared" si="3"/>
        <v>40</v>
      </c>
      <c r="V28" s="97">
        <f t="shared" si="4"/>
        <v>19</v>
      </c>
      <c r="W28" s="100">
        <f t="shared" si="5"/>
        <v>24</v>
      </c>
      <c r="X28" s="97">
        <f t="shared" si="6"/>
        <v>21</v>
      </c>
      <c r="Y28" s="97">
        <f t="shared" si="7"/>
        <v>11</v>
      </c>
      <c r="Z28" s="97">
        <f t="shared" si="8"/>
        <v>13</v>
      </c>
      <c r="AA28" s="97">
        <f t="shared" si="9"/>
        <v>21</v>
      </c>
      <c r="AB28" s="101">
        <f t="shared" si="10"/>
        <v>34</v>
      </c>
      <c r="AC28" s="97">
        <f t="shared" si="11"/>
        <v>18</v>
      </c>
      <c r="AD28" s="97">
        <f t="shared" si="12"/>
        <v>9</v>
      </c>
    </row>
    <row r="29" spans="1:30" x14ac:dyDescent="0.25">
      <c r="A29" s="94">
        <f t="shared" si="14"/>
        <v>1.1559999999999999</v>
      </c>
      <c r="B29" s="94">
        <f t="shared" si="14"/>
        <v>1.08</v>
      </c>
      <c r="C29" s="94">
        <f t="shared" si="14"/>
        <v>1.0144</v>
      </c>
      <c r="D29" s="94">
        <f t="shared" si="14"/>
        <v>1.1104000000000001</v>
      </c>
      <c r="E29" s="94">
        <f t="shared" si="14"/>
        <v>1.0244</v>
      </c>
      <c r="F29" s="99" t="s">
        <v>86</v>
      </c>
      <c r="G29" s="98">
        <v>40</v>
      </c>
      <c r="H29" s="97">
        <f t="shared" ref="H29:H64" si="15">SUM(I29:S29)</f>
        <v>215.32285502421621</v>
      </c>
      <c r="I29" s="97">
        <v>14.560913798684</v>
      </c>
      <c r="J29" s="97">
        <v>15.584593127869301</v>
      </c>
      <c r="K29" s="97">
        <v>20.104330144568902</v>
      </c>
      <c r="L29" s="97">
        <v>18.318006110852298</v>
      </c>
      <c r="M29" s="97">
        <v>16.569652439384999</v>
      </c>
      <c r="N29" s="97">
        <v>18.576444418950501</v>
      </c>
      <c r="O29" s="97">
        <v>17.338028422121202</v>
      </c>
      <c r="P29" s="97">
        <v>31.106528899553499</v>
      </c>
      <c r="Q29" s="97">
        <v>22.705060266532001</v>
      </c>
      <c r="R29" s="97">
        <v>25.165184555894101</v>
      </c>
      <c r="S29" s="97">
        <v>15.2941128398054</v>
      </c>
      <c r="T29" s="97">
        <f t="shared" si="2"/>
        <v>13</v>
      </c>
      <c r="U29" s="97">
        <f t="shared" si="3"/>
        <v>14</v>
      </c>
      <c r="V29" s="97">
        <f t="shared" si="4"/>
        <v>18</v>
      </c>
      <c r="W29" s="97">
        <f t="shared" si="5"/>
        <v>16</v>
      </c>
      <c r="X29" s="97">
        <f t="shared" si="6"/>
        <v>15</v>
      </c>
      <c r="Y29" s="97">
        <f t="shared" si="7"/>
        <v>16</v>
      </c>
      <c r="Z29" s="97">
        <f t="shared" si="8"/>
        <v>15</v>
      </c>
      <c r="AA29" s="100">
        <f t="shared" si="9"/>
        <v>28</v>
      </c>
      <c r="AB29" s="97">
        <f t="shared" si="10"/>
        <v>21</v>
      </c>
      <c r="AC29" s="100">
        <f t="shared" si="11"/>
        <v>23</v>
      </c>
      <c r="AD29" s="97">
        <f t="shared" si="12"/>
        <v>14</v>
      </c>
    </row>
    <row r="30" spans="1:30" x14ac:dyDescent="0.25">
      <c r="A30" s="94">
        <f t="shared" si="14"/>
        <v>1.1559999999999999</v>
      </c>
      <c r="B30" s="94">
        <f t="shared" si="14"/>
        <v>1.08</v>
      </c>
      <c r="C30" s="94">
        <f t="shared" si="14"/>
        <v>1.0144</v>
      </c>
      <c r="D30" s="94">
        <f t="shared" si="14"/>
        <v>1.1104000000000001</v>
      </c>
      <c r="E30" s="94">
        <f t="shared" si="14"/>
        <v>1.0244</v>
      </c>
      <c r="F30" s="99" t="s">
        <v>85</v>
      </c>
      <c r="G30" s="98">
        <v>20</v>
      </c>
      <c r="H30" s="97">
        <f t="shared" si="15"/>
        <v>336.35607266326144</v>
      </c>
      <c r="I30" s="97">
        <v>28.7760814094291</v>
      </c>
      <c r="J30" s="97">
        <v>47.460134086519901</v>
      </c>
      <c r="K30" s="97">
        <v>35.376151986478703</v>
      </c>
      <c r="L30" s="97">
        <v>27.542298277366399</v>
      </c>
      <c r="M30" s="97">
        <v>24.155620840443799</v>
      </c>
      <c r="N30" s="97">
        <v>20.229072907115299</v>
      </c>
      <c r="O30" s="97">
        <v>17.984197003533701</v>
      </c>
      <c r="P30" s="97">
        <v>26.429103929431001</v>
      </c>
      <c r="Q30" s="97">
        <v>52.669114895881798</v>
      </c>
      <c r="R30" s="97">
        <v>40.469339027733902</v>
      </c>
      <c r="S30" s="97">
        <v>15.264958299327899</v>
      </c>
      <c r="T30" s="100">
        <f t="shared" si="2"/>
        <v>24</v>
      </c>
      <c r="U30" s="101">
        <f t="shared" si="3"/>
        <v>38</v>
      </c>
      <c r="V30" s="100">
        <f t="shared" si="4"/>
        <v>28</v>
      </c>
      <c r="W30" s="100">
        <f t="shared" si="5"/>
        <v>22</v>
      </c>
      <c r="X30" s="97">
        <f t="shared" si="6"/>
        <v>19</v>
      </c>
      <c r="Y30" s="97">
        <f t="shared" si="7"/>
        <v>16</v>
      </c>
      <c r="Z30" s="97">
        <f t="shared" si="8"/>
        <v>15</v>
      </c>
      <c r="AA30" s="100">
        <f t="shared" si="9"/>
        <v>22</v>
      </c>
      <c r="AB30" s="101">
        <f t="shared" si="10"/>
        <v>43</v>
      </c>
      <c r="AC30" s="101">
        <f t="shared" si="11"/>
        <v>33</v>
      </c>
      <c r="AD30" s="97">
        <f t="shared" si="12"/>
        <v>13</v>
      </c>
    </row>
    <row r="31" spans="1:30" x14ac:dyDescent="0.25">
      <c r="A31" s="94">
        <f t="shared" si="14"/>
        <v>1.1559999999999999</v>
      </c>
      <c r="B31" s="94">
        <f t="shared" si="14"/>
        <v>1.08</v>
      </c>
      <c r="C31" s="94">
        <f t="shared" si="14"/>
        <v>1.0144</v>
      </c>
      <c r="D31" s="94">
        <f t="shared" si="14"/>
        <v>1.1104000000000001</v>
      </c>
      <c r="E31" s="94">
        <f t="shared" si="14"/>
        <v>1.0244</v>
      </c>
      <c r="F31" s="99" t="s">
        <v>73</v>
      </c>
      <c r="G31" s="98">
        <v>0</v>
      </c>
      <c r="H31" s="97">
        <f t="shared" si="15"/>
        <v>212.8875767539013</v>
      </c>
      <c r="I31" s="97">
        <v>16.176477208863801</v>
      </c>
      <c r="J31" s="97">
        <v>15.3361465058205</v>
      </c>
      <c r="K31" s="97">
        <v>19.159817588454899</v>
      </c>
      <c r="L31" s="97">
        <v>13.360795384743099</v>
      </c>
      <c r="M31" s="97">
        <v>19.673806994748801</v>
      </c>
      <c r="N31" s="97">
        <v>22.2850986791377</v>
      </c>
      <c r="O31" s="97">
        <v>23.500116182591</v>
      </c>
      <c r="P31" s="97">
        <v>26.852294663832701</v>
      </c>
      <c r="Q31" s="97">
        <v>24.418942015518098</v>
      </c>
      <c r="R31" s="97">
        <v>20.027332662901198</v>
      </c>
      <c r="S31" s="97">
        <v>12.0967488672895</v>
      </c>
      <c r="T31" s="97">
        <f t="shared" si="2"/>
        <v>12</v>
      </c>
      <c r="U31" s="97">
        <f t="shared" si="3"/>
        <v>11</v>
      </c>
      <c r="V31" s="97">
        <f t="shared" si="4"/>
        <v>14</v>
      </c>
      <c r="W31" s="97">
        <f t="shared" si="5"/>
        <v>10</v>
      </c>
      <c r="X31" s="97">
        <f t="shared" si="6"/>
        <v>15</v>
      </c>
      <c r="Y31" s="97">
        <f t="shared" si="7"/>
        <v>16</v>
      </c>
      <c r="Z31" s="97">
        <f t="shared" si="8"/>
        <v>17</v>
      </c>
      <c r="AA31" s="100">
        <f t="shared" si="9"/>
        <v>20</v>
      </c>
      <c r="AB31" s="100">
        <f t="shared" si="10"/>
        <v>18</v>
      </c>
      <c r="AC31" s="97">
        <f t="shared" si="11"/>
        <v>15</v>
      </c>
      <c r="AD31" s="97">
        <f t="shared" si="12"/>
        <v>9</v>
      </c>
    </row>
    <row r="32" spans="1:30" x14ac:dyDescent="0.25">
      <c r="A32" s="94">
        <f t="shared" si="14"/>
        <v>1.1559999999999999</v>
      </c>
      <c r="B32" s="94">
        <f t="shared" si="14"/>
        <v>1.08</v>
      </c>
      <c r="C32" s="94">
        <f t="shared" si="14"/>
        <v>1.0144</v>
      </c>
      <c r="D32" s="94">
        <f t="shared" si="14"/>
        <v>1.1104000000000001</v>
      </c>
      <c r="E32" s="94">
        <f t="shared" si="14"/>
        <v>1.0244</v>
      </c>
      <c r="F32" s="99" t="s">
        <v>77</v>
      </c>
      <c r="G32" s="98">
        <v>40</v>
      </c>
      <c r="H32" s="97">
        <f t="shared" si="15"/>
        <v>264.30618341501895</v>
      </c>
      <c r="I32" s="97">
        <v>20.136528633113901</v>
      </c>
      <c r="J32" s="97">
        <v>44.821645660898</v>
      </c>
      <c r="K32" s="97">
        <v>24.608750221639699</v>
      </c>
      <c r="L32" s="97">
        <v>18.908530258688</v>
      </c>
      <c r="M32" s="97">
        <v>18.570330272116401</v>
      </c>
      <c r="N32" s="97">
        <v>22.660842664718</v>
      </c>
      <c r="O32" s="97">
        <v>26.4612919020866</v>
      </c>
      <c r="P32" s="97">
        <v>22.6521814059472</v>
      </c>
      <c r="Q32" s="97">
        <v>26.392629709165</v>
      </c>
      <c r="R32" s="97">
        <v>26.4515637467169</v>
      </c>
      <c r="S32" s="97">
        <v>12.6418889399293</v>
      </c>
      <c r="T32" s="97">
        <f t="shared" si="2"/>
        <v>18</v>
      </c>
      <c r="U32" s="101">
        <f t="shared" si="3"/>
        <v>40</v>
      </c>
      <c r="V32" s="100">
        <f t="shared" si="4"/>
        <v>22</v>
      </c>
      <c r="W32" s="97">
        <f t="shared" si="5"/>
        <v>17</v>
      </c>
      <c r="X32" s="97">
        <f t="shared" si="6"/>
        <v>16</v>
      </c>
      <c r="Y32" s="97">
        <f t="shared" si="7"/>
        <v>20</v>
      </c>
      <c r="Z32" s="100">
        <f t="shared" si="8"/>
        <v>23</v>
      </c>
      <c r="AA32" s="97">
        <f t="shared" si="9"/>
        <v>21</v>
      </c>
      <c r="AB32" s="100">
        <f t="shared" si="10"/>
        <v>24</v>
      </c>
      <c r="AC32" s="100">
        <f t="shared" si="11"/>
        <v>24</v>
      </c>
      <c r="AD32" s="97">
        <f t="shared" si="12"/>
        <v>12</v>
      </c>
    </row>
    <row r="33" spans="1:30" x14ac:dyDescent="0.25">
      <c r="A33" s="94">
        <f t="shared" si="14"/>
        <v>1.1559999999999999</v>
      </c>
      <c r="B33" s="94">
        <f t="shared" si="14"/>
        <v>1.08</v>
      </c>
      <c r="C33" s="94">
        <f t="shared" si="14"/>
        <v>1.0144</v>
      </c>
      <c r="D33" s="94">
        <f t="shared" si="14"/>
        <v>1.1104000000000001</v>
      </c>
      <c r="E33" s="94">
        <f t="shared" si="14"/>
        <v>1.0244</v>
      </c>
      <c r="F33" s="99" t="s">
        <v>50</v>
      </c>
      <c r="G33" s="98">
        <v>50</v>
      </c>
      <c r="H33" s="97">
        <f t="shared" si="15"/>
        <v>247.3988011905976</v>
      </c>
      <c r="I33" s="97">
        <v>19.130462623477602</v>
      </c>
      <c r="J33" s="97">
        <v>36.653142944705102</v>
      </c>
      <c r="K33" s="97">
        <v>15.6857929979149</v>
      </c>
      <c r="L33" s="97">
        <v>14.8110734009931</v>
      </c>
      <c r="M33" s="97">
        <v>31.3356506117164</v>
      </c>
      <c r="N33" s="97">
        <v>20.714147737193301</v>
      </c>
      <c r="O33" s="97">
        <v>12.373190504993</v>
      </c>
      <c r="P33" s="97">
        <v>30.4392988514441</v>
      </c>
      <c r="Q33" s="97">
        <v>38.586936438062203</v>
      </c>
      <c r="R33" s="97">
        <v>16.8983497716474</v>
      </c>
      <c r="S33" s="97">
        <v>10.7707553084505</v>
      </c>
      <c r="T33" s="97">
        <f t="shared" si="2"/>
        <v>18</v>
      </c>
      <c r="U33" s="100">
        <f t="shared" si="3"/>
        <v>35</v>
      </c>
      <c r="V33" s="97">
        <f t="shared" si="4"/>
        <v>15</v>
      </c>
      <c r="W33" s="97">
        <f t="shared" si="5"/>
        <v>14</v>
      </c>
      <c r="X33" s="100">
        <f t="shared" si="6"/>
        <v>28</v>
      </c>
      <c r="Y33" s="97">
        <f t="shared" si="7"/>
        <v>19</v>
      </c>
      <c r="Z33" s="97">
        <f t="shared" si="8"/>
        <v>12</v>
      </c>
      <c r="AA33" s="100">
        <f t="shared" si="9"/>
        <v>29</v>
      </c>
      <c r="AB33" s="101">
        <f t="shared" si="10"/>
        <v>36</v>
      </c>
      <c r="AC33" s="97">
        <f t="shared" si="11"/>
        <v>16</v>
      </c>
      <c r="AD33" s="97">
        <f t="shared" si="12"/>
        <v>11</v>
      </c>
    </row>
    <row r="34" spans="1:30" x14ac:dyDescent="0.25">
      <c r="A34" s="94">
        <f t="shared" ref="A34:E43" si="16">1+A$2*A$3</f>
        <v>1.1559999999999999</v>
      </c>
      <c r="B34" s="94">
        <f t="shared" si="16"/>
        <v>1.08</v>
      </c>
      <c r="C34" s="94">
        <f t="shared" si="16"/>
        <v>1.0144</v>
      </c>
      <c r="D34" s="94">
        <f t="shared" si="16"/>
        <v>1.1104000000000001</v>
      </c>
      <c r="E34" s="94">
        <f t="shared" si="16"/>
        <v>1.0244</v>
      </c>
      <c r="F34" s="99" t="s">
        <v>53</v>
      </c>
      <c r="G34" s="98">
        <v>40</v>
      </c>
      <c r="H34" s="97">
        <f t="shared" si="15"/>
        <v>194.7165445989927</v>
      </c>
      <c r="I34" s="97">
        <v>13.164105265763601</v>
      </c>
      <c r="J34" s="97">
        <v>25.760297274658502</v>
      </c>
      <c r="K34" s="97">
        <v>17.2310773851333</v>
      </c>
      <c r="L34" s="97">
        <v>20.894061370653599</v>
      </c>
      <c r="M34" s="97">
        <v>13.6575552693362</v>
      </c>
      <c r="N34" s="97">
        <v>12.636858213297501</v>
      </c>
      <c r="O34" s="97">
        <v>14.658690521981599</v>
      </c>
      <c r="P34" s="97">
        <v>22.202824357292101</v>
      </c>
      <c r="Q34" s="97">
        <v>29.803645590895702</v>
      </c>
      <c r="R34" s="97">
        <v>13.401123439293199</v>
      </c>
      <c r="S34" s="97">
        <v>11.306305910687399</v>
      </c>
      <c r="T34" s="97">
        <f t="shared" si="2"/>
        <v>12</v>
      </c>
      <c r="U34" s="100">
        <f t="shared" si="3"/>
        <v>23</v>
      </c>
      <c r="V34" s="97">
        <f t="shared" si="4"/>
        <v>15</v>
      </c>
      <c r="W34" s="97">
        <f t="shared" si="5"/>
        <v>18</v>
      </c>
      <c r="X34" s="97">
        <f t="shared" si="6"/>
        <v>12</v>
      </c>
      <c r="Y34" s="97">
        <f t="shared" si="7"/>
        <v>11</v>
      </c>
      <c r="Z34" s="97">
        <f t="shared" si="8"/>
        <v>13</v>
      </c>
      <c r="AA34" s="97">
        <f t="shared" si="9"/>
        <v>20</v>
      </c>
      <c r="AB34" s="100">
        <f t="shared" si="10"/>
        <v>27</v>
      </c>
      <c r="AC34" s="97">
        <f t="shared" si="11"/>
        <v>12</v>
      </c>
      <c r="AD34" s="97">
        <f t="shared" si="12"/>
        <v>11</v>
      </c>
    </row>
    <row r="35" spans="1:30" x14ac:dyDescent="0.25">
      <c r="A35" s="94">
        <f t="shared" si="16"/>
        <v>1.1559999999999999</v>
      </c>
      <c r="B35" s="94">
        <f t="shared" si="16"/>
        <v>1.08</v>
      </c>
      <c r="C35" s="94">
        <f t="shared" si="16"/>
        <v>1.0144</v>
      </c>
      <c r="D35" s="94">
        <f t="shared" si="16"/>
        <v>1.1104000000000001</v>
      </c>
      <c r="E35" s="94">
        <f t="shared" si="16"/>
        <v>1.0244</v>
      </c>
      <c r="F35" s="99" t="s">
        <v>56</v>
      </c>
      <c r="G35" s="98">
        <v>20</v>
      </c>
      <c r="H35" s="97">
        <f t="shared" si="15"/>
        <v>237.79228500147121</v>
      </c>
      <c r="I35" s="97">
        <v>19.6064995231179</v>
      </c>
      <c r="J35" s="97">
        <v>32.342425678711201</v>
      </c>
      <c r="K35" s="97">
        <v>19.558050377755599</v>
      </c>
      <c r="L35" s="97">
        <v>22.013869766701699</v>
      </c>
      <c r="M35" s="97">
        <v>16.238967207981901</v>
      </c>
      <c r="N35" s="97">
        <v>13.296569777359499</v>
      </c>
      <c r="O35" s="97">
        <v>15.5837944308846</v>
      </c>
      <c r="P35" s="97">
        <v>26.364415401078301</v>
      </c>
      <c r="Q35" s="97">
        <v>34.160697697473999</v>
      </c>
      <c r="R35" s="97">
        <v>22.901598441537999</v>
      </c>
      <c r="S35" s="97">
        <v>15.725396698868501</v>
      </c>
      <c r="T35" s="97">
        <f t="shared" si="2"/>
        <v>16</v>
      </c>
      <c r="U35" s="100">
        <f t="shared" si="3"/>
        <v>26</v>
      </c>
      <c r="V35" s="97">
        <f t="shared" si="4"/>
        <v>16</v>
      </c>
      <c r="W35" s="97">
        <f t="shared" si="5"/>
        <v>18</v>
      </c>
      <c r="X35" s="97">
        <f t="shared" si="6"/>
        <v>13</v>
      </c>
      <c r="Y35" s="97">
        <f t="shared" si="7"/>
        <v>11</v>
      </c>
      <c r="Z35" s="97">
        <f t="shared" si="8"/>
        <v>13</v>
      </c>
      <c r="AA35" s="100">
        <f t="shared" si="9"/>
        <v>22</v>
      </c>
      <c r="AB35" s="100">
        <f t="shared" si="10"/>
        <v>28</v>
      </c>
      <c r="AC35" s="97">
        <f t="shared" si="11"/>
        <v>19</v>
      </c>
      <c r="AD35" s="97">
        <f t="shared" si="12"/>
        <v>13</v>
      </c>
    </row>
    <row r="36" spans="1:30" x14ac:dyDescent="0.25">
      <c r="A36" s="94">
        <f t="shared" si="16"/>
        <v>1.1559999999999999</v>
      </c>
      <c r="B36" s="94">
        <f t="shared" si="16"/>
        <v>1.08</v>
      </c>
      <c r="C36" s="94">
        <f t="shared" si="16"/>
        <v>1.0144</v>
      </c>
      <c r="D36" s="94">
        <f t="shared" si="16"/>
        <v>1.1104000000000001</v>
      </c>
      <c r="E36" s="94">
        <f t="shared" si="16"/>
        <v>1.0244</v>
      </c>
      <c r="F36" s="99" t="s">
        <v>79</v>
      </c>
      <c r="G36" s="98">
        <v>30</v>
      </c>
      <c r="H36" s="97">
        <f t="shared" si="15"/>
        <v>295.71300456387934</v>
      </c>
      <c r="I36" s="97">
        <v>15.7142082738397</v>
      </c>
      <c r="J36" s="97">
        <v>44.076538370909098</v>
      </c>
      <c r="K36" s="97">
        <v>25.982280029264398</v>
      </c>
      <c r="L36" s="97">
        <v>29.7816407519473</v>
      </c>
      <c r="M36" s="97">
        <v>26.0408244677668</v>
      </c>
      <c r="N36" s="97">
        <v>20.942731785907</v>
      </c>
      <c r="O36" s="97">
        <v>19.813467042180001</v>
      </c>
      <c r="P36" s="97">
        <v>29.078091097805299</v>
      </c>
      <c r="Q36" s="97">
        <v>33.037172753186198</v>
      </c>
      <c r="R36" s="97">
        <v>36.9986030632666</v>
      </c>
      <c r="S36" s="97">
        <v>14.2474469278069</v>
      </c>
      <c r="T36" s="97">
        <f t="shared" ref="T36:T64" si="17">ROUNDUP(I36*$C36*(1+$G36*T$3)/($A36*$B36*$D36*$E36),0)</f>
        <v>14</v>
      </c>
      <c r="U36" s="101">
        <f t="shared" ref="U36:U64" si="18">ROUNDUP(J36*$C36*(1+$G36*U$3)/($A36*$B36*$D36*$E36),0)</f>
        <v>38</v>
      </c>
      <c r="V36" s="100">
        <f t="shared" ref="V36:V64" si="19">ROUNDUP(K36*$C36*(1+$G36*V$3)/($A36*$B36*$D36*$E36),0)</f>
        <v>22</v>
      </c>
      <c r="W36" s="100">
        <f t="shared" ref="W36:W64" si="20">ROUNDUP(L36*$C36*(1+$G36*W$3)/($A36*$B36*$D36*$E36),0)</f>
        <v>25</v>
      </c>
      <c r="X36" s="100">
        <f t="shared" ref="X36:X64" si="21">ROUNDUP(M36*$C36*(1+$G36*X$3)/($A36*$B36*$D36*$E36),0)</f>
        <v>22</v>
      </c>
      <c r="Y36" s="97">
        <f t="shared" ref="Y36:Y64" si="22">ROUNDUP(N36*$C36*(1+$G36*Y$3)/($A36*$B36*$D36*$E36),0)</f>
        <v>18</v>
      </c>
      <c r="Z36" s="97">
        <f t="shared" ref="Z36:Z64" si="23">ROUNDUP(O36*$C36*(1+$G36*Z$3)/($A36*$B36*$D36*$E36),0)</f>
        <v>17</v>
      </c>
      <c r="AA36" s="100">
        <f t="shared" ref="AA36:AA64" si="24">ROUNDUP(P36*$C36*(1+$G36*AA$3)/($A36*$B36*$D36*$E36),0)</f>
        <v>25</v>
      </c>
      <c r="AB36" s="100">
        <f t="shared" ref="AB36:AB64" si="25">ROUNDUP(Q36*$C36*(1+$G36*AB$3)/($A36*$B36*$D36*$E36),0)</f>
        <v>28</v>
      </c>
      <c r="AC36" s="100">
        <f t="shared" ref="AC36:AC64" si="26">ROUNDUP(R36*$C36*(1+$G36*AC$3)/($A36*$B36*$D36*$E36),0)</f>
        <v>32</v>
      </c>
      <c r="AD36" s="97">
        <f t="shared" ref="AD36:AD64" si="27">ROUNDUP(S36*$C36*(1+$G36*AD$3)/($A36*$B36*$D36*$E36),0)</f>
        <v>13</v>
      </c>
    </row>
    <row r="37" spans="1:30" x14ac:dyDescent="0.25">
      <c r="A37" s="94">
        <f t="shared" si="16"/>
        <v>1.1559999999999999</v>
      </c>
      <c r="B37" s="94">
        <f t="shared" si="16"/>
        <v>1.08</v>
      </c>
      <c r="C37" s="94">
        <f t="shared" si="16"/>
        <v>1.0144</v>
      </c>
      <c r="D37" s="94">
        <f t="shared" si="16"/>
        <v>1.1104000000000001</v>
      </c>
      <c r="E37" s="94">
        <f t="shared" si="16"/>
        <v>1.0244</v>
      </c>
      <c r="F37" s="99" t="s">
        <v>68</v>
      </c>
      <c r="G37" s="98">
        <v>40</v>
      </c>
      <c r="H37" s="97">
        <f t="shared" si="15"/>
        <v>218.54807513192702</v>
      </c>
      <c r="I37" s="97">
        <v>16.595563395537098</v>
      </c>
      <c r="J37" s="97">
        <v>34.522556524128397</v>
      </c>
      <c r="K37" s="97">
        <v>19.4811739752212</v>
      </c>
      <c r="L37" s="97">
        <v>21.460585098452</v>
      </c>
      <c r="M37" s="97">
        <v>16.227443888984201</v>
      </c>
      <c r="N37" s="97">
        <v>15.8409390080351</v>
      </c>
      <c r="O37" s="97">
        <v>14.8201540689591</v>
      </c>
      <c r="P37" s="97">
        <v>23.469090922853599</v>
      </c>
      <c r="Q37" s="97">
        <v>26.864359201479999</v>
      </c>
      <c r="R37" s="97">
        <v>16.271332531723999</v>
      </c>
      <c r="S37" s="97">
        <v>12.994876516552299</v>
      </c>
      <c r="T37" s="97">
        <f t="shared" si="17"/>
        <v>15</v>
      </c>
      <c r="U37" s="100">
        <f t="shared" si="18"/>
        <v>31</v>
      </c>
      <c r="V37" s="97">
        <f t="shared" si="19"/>
        <v>17</v>
      </c>
      <c r="W37" s="97">
        <f t="shared" si="20"/>
        <v>19</v>
      </c>
      <c r="X37" s="97">
        <f t="shared" si="21"/>
        <v>14</v>
      </c>
      <c r="Y37" s="97">
        <f t="shared" si="22"/>
        <v>14</v>
      </c>
      <c r="Z37" s="97">
        <f t="shared" si="23"/>
        <v>13</v>
      </c>
      <c r="AA37" s="97">
        <f t="shared" si="24"/>
        <v>21</v>
      </c>
      <c r="AB37" s="100">
        <f t="shared" si="25"/>
        <v>24</v>
      </c>
      <c r="AC37" s="97">
        <f t="shared" si="26"/>
        <v>15</v>
      </c>
      <c r="AD37" s="97">
        <f t="shared" si="27"/>
        <v>12</v>
      </c>
    </row>
    <row r="38" spans="1:30" x14ac:dyDescent="0.25">
      <c r="A38" s="94">
        <f t="shared" si="16"/>
        <v>1.1559999999999999</v>
      </c>
      <c r="B38" s="94">
        <f t="shared" si="16"/>
        <v>1.08</v>
      </c>
      <c r="C38" s="94">
        <f t="shared" si="16"/>
        <v>1.0144</v>
      </c>
      <c r="D38" s="94">
        <f t="shared" si="16"/>
        <v>1.1104000000000001</v>
      </c>
      <c r="E38" s="94">
        <f t="shared" si="16"/>
        <v>1.0244</v>
      </c>
      <c r="F38" s="99" t="s">
        <v>66</v>
      </c>
      <c r="G38" s="98">
        <v>40</v>
      </c>
      <c r="H38" s="97">
        <f t="shared" si="15"/>
        <v>216.94273527768493</v>
      </c>
      <c r="I38" s="97">
        <v>22.4383222915489</v>
      </c>
      <c r="J38" s="97">
        <v>28.030734617256101</v>
      </c>
      <c r="K38" s="97">
        <v>19.299286552301201</v>
      </c>
      <c r="L38" s="97">
        <v>12.6425512619378</v>
      </c>
      <c r="M38" s="97">
        <v>12.0411801730541</v>
      </c>
      <c r="N38" s="97">
        <v>11.1029186576011</v>
      </c>
      <c r="O38" s="97">
        <v>17.6983069159512</v>
      </c>
      <c r="P38" s="97">
        <v>29.463391974125599</v>
      </c>
      <c r="Q38" s="97">
        <v>32.102218845009503</v>
      </c>
      <c r="R38" s="97">
        <v>25.971678474521301</v>
      </c>
      <c r="S38" s="97">
        <v>6.1521455143781498</v>
      </c>
      <c r="T38" s="97">
        <f t="shared" si="17"/>
        <v>20</v>
      </c>
      <c r="U38" s="100">
        <f t="shared" si="18"/>
        <v>25</v>
      </c>
      <c r="V38" s="97">
        <f t="shared" si="19"/>
        <v>17</v>
      </c>
      <c r="W38" s="97">
        <f t="shared" si="20"/>
        <v>11</v>
      </c>
      <c r="X38" s="97">
        <f t="shared" si="21"/>
        <v>11</v>
      </c>
      <c r="Y38" s="97">
        <f t="shared" si="22"/>
        <v>10</v>
      </c>
      <c r="Z38" s="97">
        <f t="shared" si="23"/>
        <v>16</v>
      </c>
      <c r="AA38" s="100">
        <f t="shared" si="24"/>
        <v>27</v>
      </c>
      <c r="AB38" s="100">
        <f t="shared" si="25"/>
        <v>29</v>
      </c>
      <c r="AC38" s="100">
        <f t="shared" si="26"/>
        <v>24</v>
      </c>
      <c r="AD38" s="97">
        <f t="shared" si="27"/>
        <v>6</v>
      </c>
    </row>
    <row r="39" spans="1:30" x14ac:dyDescent="0.25">
      <c r="A39" s="94">
        <f t="shared" si="16"/>
        <v>1.1559999999999999</v>
      </c>
      <c r="B39" s="94">
        <f t="shared" si="16"/>
        <v>1.08</v>
      </c>
      <c r="C39" s="94">
        <f t="shared" si="16"/>
        <v>1.0144</v>
      </c>
      <c r="D39" s="94">
        <f t="shared" si="16"/>
        <v>1.1104000000000001</v>
      </c>
      <c r="E39" s="94">
        <f t="shared" si="16"/>
        <v>1.0244</v>
      </c>
      <c r="F39" s="99" t="s">
        <v>63</v>
      </c>
      <c r="G39" s="98">
        <v>40</v>
      </c>
      <c r="H39" s="97">
        <f t="shared" si="15"/>
        <v>194.5156664324746</v>
      </c>
      <c r="I39" s="97">
        <v>20.089868427058999</v>
      </c>
      <c r="J39" s="97">
        <v>21.830444908453199</v>
      </c>
      <c r="K39" s="97">
        <v>12.901877447176499</v>
      </c>
      <c r="L39" s="97">
        <v>14.368454695604999</v>
      </c>
      <c r="M39" s="97">
        <v>14.8192021145209</v>
      </c>
      <c r="N39" s="97">
        <v>15.3385704608892</v>
      </c>
      <c r="O39" s="97">
        <v>19.687593090355101</v>
      </c>
      <c r="P39" s="97">
        <v>15.743652509320199</v>
      </c>
      <c r="Q39" s="97">
        <v>32.298365133451099</v>
      </c>
      <c r="R39" s="97">
        <v>14.538912260878799</v>
      </c>
      <c r="S39" s="97">
        <v>12.8987253847656</v>
      </c>
      <c r="T39" s="97">
        <f t="shared" si="17"/>
        <v>18</v>
      </c>
      <c r="U39" s="97">
        <f t="shared" si="18"/>
        <v>20</v>
      </c>
      <c r="V39" s="97">
        <f t="shared" si="19"/>
        <v>12</v>
      </c>
      <c r="W39" s="97">
        <f t="shared" si="20"/>
        <v>13</v>
      </c>
      <c r="X39" s="97">
        <f t="shared" si="21"/>
        <v>13</v>
      </c>
      <c r="Y39" s="97">
        <f t="shared" si="22"/>
        <v>14</v>
      </c>
      <c r="Z39" s="97">
        <f t="shared" si="23"/>
        <v>17</v>
      </c>
      <c r="AA39" s="97">
        <f t="shared" si="24"/>
        <v>14</v>
      </c>
      <c r="AB39" s="100">
        <f t="shared" si="25"/>
        <v>29</v>
      </c>
      <c r="AC39" s="97">
        <f t="shared" si="26"/>
        <v>13</v>
      </c>
      <c r="AD39" s="97">
        <f t="shared" si="27"/>
        <v>12</v>
      </c>
    </row>
    <row r="40" spans="1:30" x14ac:dyDescent="0.25">
      <c r="A40" s="94">
        <f t="shared" si="16"/>
        <v>1.1559999999999999</v>
      </c>
      <c r="B40" s="94">
        <f t="shared" si="16"/>
        <v>1.08</v>
      </c>
      <c r="C40" s="94">
        <f t="shared" si="16"/>
        <v>1.0144</v>
      </c>
      <c r="D40" s="94">
        <f t="shared" si="16"/>
        <v>1.1104000000000001</v>
      </c>
      <c r="E40" s="94">
        <f t="shared" si="16"/>
        <v>1.0244</v>
      </c>
      <c r="F40" s="99" t="s">
        <v>57</v>
      </c>
      <c r="G40" s="98">
        <v>40</v>
      </c>
      <c r="H40" s="97">
        <f t="shared" si="15"/>
        <v>233.59615534694782</v>
      </c>
      <c r="I40" s="97">
        <v>23.875753808709799</v>
      </c>
      <c r="J40" s="97">
        <v>27.192549574931899</v>
      </c>
      <c r="K40" s="97">
        <v>15.242245755965399</v>
      </c>
      <c r="L40" s="97">
        <v>17.710905283405701</v>
      </c>
      <c r="M40" s="97">
        <v>17.7190960459961</v>
      </c>
      <c r="N40" s="97">
        <v>17.263739924643001</v>
      </c>
      <c r="O40" s="97">
        <v>23.416019286028</v>
      </c>
      <c r="P40" s="97">
        <v>20.799672569254099</v>
      </c>
      <c r="Q40" s="97">
        <v>38.4892796920808</v>
      </c>
      <c r="R40" s="97">
        <v>16.6030358759884</v>
      </c>
      <c r="S40" s="97">
        <v>15.2838575299446</v>
      </c>
      <c r="T40" s="97">
        <f t="shared" si="17"/>
        <v>22</v>
      </c>
      <c r="U40" s="100">
        <f t="shared" si="18"/>
        <v>25</v>
      </c>
      <c r="V40" s="97">
        <f t="shared" si="19"/>
        <v>14</v>
      </c>
      <c r="W40" s="97">
        <f t="shared" si="20"/>
        <v>16</v>
      </c>
      <c r="X40" s="97">
        <f t="shared" si="21"/>
        <v>16</v>
      </c>
      <c r="Y40" s="97">
        <f t="shared" si="22"/>
        <v>15</v>
      </c>
      <c r="Z40" s="97">
        <f t="shared" si="23"/>
        <v>21</v>
      </c>
      <c r="AA40" s="97">
        <f t="shared" si="24"/>
        <v>19</v>
      </c>
      <c r="AB40" s="101">
        <f t="shared" si="25"/>
        <v>35</v>
      </c>
      <c r="AC40" s="97">
        <f t="shared" si="26"/>
        <v>15</v>
      </c>
      <c r="AD40" s="97">
        <f t="shared" si="27"/>
        <v>14</v>
      </c>
    </row>
    <row r="41" spans="1:30" x14ac:dyDescent="0.25">
      <c r="A41" s="94">
        <f t="shared" si="16"/>
        <v>1.1559999999999999</v>
      </c>
      <c r="B41" s="94">
        <f t="shared" si="16"/>
        <v>1.08</v>
      </c>
      <c r="C41" s="94">
        <f t="shared" si="16"/>
        <v>1.0144</v>
      </c>
      <c r="D41" s="94">
        <f t="shared" si="16"/>
        <v>1.1104000000000001</v>
      </c>
      <c r="E41" s="94">
        <f t="shared" si="16"/>
        <v>1.0244</v>
      </c>
      <c r="F41" s="99" t="s">
        <v>81</v>
      </c>
      <c r="G41" s="98">
        <v>40</v>
      </c>
      <c r="H41" s="97">
        <f t="shared" si="15"/>
        <v>243.0662345261471</v>
      </c>
      <c r="I41" s="97">
        <v>21.474382392386602</v>
      </c>
      <c r="J41" s="97">
        <v>16.018899807821398</v>
      </c>
      <c r="K41" s="97">
        <v>25.737128137739798</v>
      </c>
      <c r="L41" s="97">
        <v>22.5898619615777</v>
      </c>
      <c r="M41" s="97">
        <v>25.159541285503099</v>
      </c>
      <c r="N41" s="97">
        <v>17.480692916455801</v>
      </c>
      <c r="O41" s="97">
        <v>21.45045462741</v>
      </c>
      <c r="P41" s="97">
        <v>21.516213751560102</v>
      </c>
      <c r="Q41" s="97">
        <v>33.002377628908199</v>
      </c>
      <c r="R41" s="97">
        <v>19.540892352201499</v>
      </c>
      <c r="S41" s="97">
        <v>19.095789664582899</v>
      </c>
      <c r="T41" s="97">
        <f t="shared" si="17"/>
        <v>20</v>
      </c>
      <c r="U41" s="97">
        <f t="shared" si="18"/>
        <v>15</v>
      </c>
      <c r="V41" s="100">
        <f t="shared" si="19"/>
        <v>23</v>
      </c>
      <c r="W41" s="97">
        <f t="shared" si="20"/>
        <v>20</v>
      </c>
      <c r="X41" s="100">
        <f t="shared" si="21"/>
        <v>22</v>
      </c>
      <c r="Y41" s="97">
        <f t="shared" si="22"/>
        <v>15</v>
      </c>
      <c r="Z41" s="97">
        <f t="shared" si="23"/>
        <v>19</v>
      </c>
      <c r="AA41" s="97">
        <f t="shared" si="24"/>
        <v>20</v>
      </c>
      <c r="AB41" s="100">
        <f t="shared" si="25"/>
        <v>30</v>
      </c>
      <c r="AC41" s="97">
        <f t="shared" si="26"/>
        <v>18</v>
      </c>
      <c r="AD41" s="97">
        <f t="shared" si="27"/>
        <v>17</v>
      </c>
    </row>
    <row r="42" spans="1:30" x14ac:dyDescent="0.25">
      <c r="A42" s="94">
        <f t="shared" si="16"/>
        <v>1.1559999999999999</v>
      </c>
      <c r="B42" s="94">
        <f t="shared" si="16"/>
        <v>1.08</v>
      </c>
      <c r="C42" s="94">
        <f t="shared" si="16"/>
        <v>1.0144</v>
      </c>
      <c r="D42" s="94">
        <f t="shared" si="16"/>
        <v>1.1104000000000001</v>
      </c>
      <c r="E42" s="94">
        <f t="shared" si="16"/>
        <v>1.0244</v>
      </c>
      <c r="F42" s="99" t="s">
        <v>84</v>
      </c>
      <c r="G42" s="98">
        <v>0</v>
      </c>
      <c r="H42" s="97">
        <f t="shared" si="15"/>
        <v>247.80691389940839</v>
      </c>
      <c r="I42" s="97">
        <v>19.892118701725</v>
      </c>
      <c r="J42" s="97">
        <v>20.1574289127696</v>
      </c>
      <c r="K42" s="97">
        <v>34.351774440880199</v>
      </c>
      <c r="L42" s="97">
        <v>34.3103895817355</v>
      </c>
      <c r="M42" s="97">
        <v>16.1662753881158</v>
      </c>
      <c r="N42" s="97">
        <v>23.478834025581602</v>
      </c>
      <c r="O42" s="97">
        <v>12.398310074438999</v>
      </c>
      <c r="P42" s="97">
        <v>19.858643570775001</v>
      </c>
      <c r="Q42" s="97">
        <v>23.802188040703498</v>
      </c>
      <c r="R42" s="97">
        <v>27.1854570770072</v>
      </c>
      <c r="S42" s="97">
        <v>16.205494085676001</v>
      </c>
      <c r="T42" s="97">
        <f t="shared" si="17"/>
        <v>15</v>
      </c>
      <c r="U42" s="97">
        <f t="shared" si="18"/>
        <v>15</v>
      </c>
      <c r="V42" s="100">
        <f t="shared" si="19"/>
        <v>25</v>
      </c>
      <c r="W42" s="100">
        <f t="shared" si="20"/>
        <v>25</v>
      </c>
      <c r="X42" s="97">
        <f t="shared" si="21"/>
        <v>12</v>
      </c>
      <c r="Y42" s="97">
        <f t="shared" si="22"/>
        <v>17</v>
      </c>
      <c r="Z42" s="97">
        <f t="shared" si="23"/>
        <v>9</v>
      </c>
      <c r="AA42" s="97">
        <f t="shared" si="24"/>
        <v>15</v>
      </c>
      <c r="AB42" s="97">
        <f t="shared" si="25"/>
        <v>18</v>
      </c>
      <c r="AC42" s="100">
        <f t="shared" si="26"/>
        <v>20</v>
      </c>
      <c r="AD42" s="97">
        <f t="shared" si="27"/>
        <v>12</v>
      </c>
    </row>
    <row r="43" spans="1:30" x14ac:dyDescent="0.25">
      <c r="A43" s="94">
        <f t="shared" si="16"/>
        <v>1.1559999999999999</v>
      </c>
      <c r="B43" s="94">
        <f t="shared" si="16"/>
        <v>1.08</v>
      </c>
      <c r="C43" s="94">
        <f t="shared" si="16"/>
        <v>1.0144</v>
      </c>
      <c r="D43" s="94">
        <f t="shared" si="16"/>
        <v>1.1104000000000001</v>
      </c>
      <c r="E43" s="94">
        <f t="shared" si="16"/>
        <v>1.0244</v>
      </c>
      <c r="F43" s="99" t="s">
        <v>88</v>
      </c>
      <c r="G43" s="98">
        <v>40</v>
      </c>
      <c r="H43" s="97">
        <f t="shared" si="15"/>
        <v>232.02343335203358</v>
      </c>
      <c r="I43" s="97">
        <v>16.608513129874002</v>
      </c>
      <c r="J43" s="97">
        <v>10.7969360534419</v>
      </c>
      <c r="K43" s="97">
        <v>25.504969891600901</v>
      </c>
      <c r="L43" s="97">
        <v>29.051437356528901</v>
      </c>
      <c r="M43" s="97">
        <v>20.460107296432099</v>
      </c>
      <c r="N43" s="97">
        <v>15.4626753795635</v>
      </c>
      <c r="O43" s="97">
        <v>21.256123514219901</v>
      </c>
      <c r="P43" s="97">
        <v>25.950913922573001</v>
      </c>
      <c r="Q43" s="97">
        <v>29.591008231613198</v>
      </c>
      <c r="R43" s="97">
        <v>22.080008989499198</v>
      </c>
      <c r="S43" s="97">
        <v>15.260739586687</v>
      </c>
      <c r="T43" s="97">
        <f t="shared" si="17"/>
        <v>15</v>
      </c>
      <c r="U43" s="97">
        <f t="shared" si="18"/>
        <v>10</v>
      </c>
      <c r="V43" s="100">
        <f t="shared" si="19"/>
        <v>22</v>
      </c>
      <c r="W43" s="100">
        <f t="shared" si="20"/>
        <v>25</v>
      </c>
      <c r="X43" s="97">
        <f t="shared" si="21"/>
        <v>18</v>
      </c>
      <c r="Y43" s="97">
        <f t="shared" si="22"/>
        <v>14</v>
      </c>
      <c r="Z43" s="97">
        <f t="shared" si="23"/>
        <v>19</v>
      </c>
      <c r="AA43" s="100">
        <f t="shared" si="24"/>
        <v>23</v>
      </c>
      <c r="AB43" s="100">
        <f t="shared" si="25"/>
        <v>27</v>
      </c>
      <c r="AC43" s="97">
        <f t="shared" si="26"/>
        <v>20</v>
      </c>
      <c r="AD43" s="97">
        <f t="shared" si="27"/>
        <v>14</v>
      </c>
    </row>
    <row r="44" spans="1:30" x14ac:dyDescent="0.25">
      <c r="A44" s="94">
        <f t="shared" ref="A44:E53" si="28">1+A$2*A$3</f>
        <v>1.1559999999999999</v>
      </c>
      <c r="B44" s="94">
        <f t="shared" si="28"/>
        <v>1.08</v>
      </c>
      <c r="C44" s="94">
        <f t="shared" si="28"/>
        <v>1.0144</v>
      </c>
      <c r="D44" s="94">
        <f t="shared" si="28"/>
        <v>1.1104000000000001</v>
      </c>
      <c r="E44" s="94">
        <f t="shared" si="28"/>
        <v>1.0244</v>
      </c>
      <c r="F44" s="99" t="s">
        <v>159</v>
      </c>
      <c r="G44" s="98">
        <v>30</v>
      </c>
      <c r="H44" s="97">
        <f t="shared" si="15"/>
        <v>233.70975864339172</v>
      </c>
      <c r="I44" s="97">
        <v>19.295603330403999</v>
      </c>
      <c r="J44" s="97">
        <v>32.734071115647801</v>
      </c>
      <c r="K44" s="97">
        <v>21.019810125755701</v>
      </c>
      <c r="L44" s="97">
        <v>17.416374410925499</v>
      </c>
      <c r="M44" s="97">
        <v>20.721385803183299</v>
      </c>
      <c r="N44" s="97">
        <v>19.7666166041992</v>
      </c>
      <c r="O44" s="97">
        <v>18.4819864302425</v>
      </c>
      <c r="P44" s="97">
        <v>22.708700516122601</v>
      </c>
      <c r="Q44" s="97">
        <v>25.831199376222301</v>
      </c>
      <c r="R44" s="97">
        <v>20.809682538920299</v>
      </c>
      <c r="S44" s="97">
        <v>14.924328391768499</v>
      </c>
      <c r="T44" s="97">
        <f t="shared" si="17"/>
        <v>17</v>
      </c>
      <c r="U44" s="100">
        <f t="shared" si="18"/>
        <v>28</v>
      </c>
      <c r="V44" s="97">
        <f t="shared" si="19"/>
        <v>18</v>
      </c>
      <c r="W44" s="97">
        <f t="shared" si="20"/>
        <v>15</v>
      </c>
      <c r="X44" s="97">
        <f t="shared" si="21"/>
        <v>18</v>
      </c>
      <c r="Y44" s="97">
        <f t="shared" si="22"/>
        <v>17</v>
      </c>
      <c r="Z44" s="97">
        <f t="shared" si="23"/>
        <v>16</v>
      </c>
      <c r="AA44" s="97">
        <f t="shared" si="24"/>
        <v>20</v>
      </c>
      <c r="AB44" s="100">
        <f t="shared" si="25"/>
        <v>22</v>
      </c>
      <c r="AC44" s="97">
        <f t="shared" si="26"/>
        <v>18</v>
      </c>
      <c r="AD44" s="97">
        <f t="shared" si="27"/>
        <v>13</v>
      </c>
    </row>
    <row r="45" spans="1:30" x14ac:dyDescent="0.25">
      <c r="A45" s="94">
        <f t="shared" si="28"/>
        <v>1.1559999999999999</v>
      </c>
      <c r="B45" s="94">
        <f t="shared" si="28"/>
        <v>1.08</v>
      </c>
      <c r="C45" s="94">
        <f t="shared" si="28"/>
        <v>1.0144</v>
      </c>
      <c r="D45" s="94">
        <f t="shared" si="28"/>
        <v>1.1104000000000001</v>
      </c>
      <c r="E45" s="94">
        <f t="shared" si="28"/>
        <v>1.0244</v>
      </c>
      <c r="F45" s="99" t="s">
        <v>89</v>
      </c>
      <c r="G45" s="98">
        <v>20</v>
      </c>
      <c r="H45" s="97">
        <f t="shared" si="15"/>
        <v>250.83778688820385</v>
      </c>
      <c r="I45" s="97">
        <v>21.437136354775301</v>
      </c>
      <c r="J45" s="97">
        <v>29.5474087172331</v>
      </c>
      <c r="K45" s="97">
        <v>25.015706395898</v>
      </c>
      <c r="L45" s="97">
        <v>29.918942440527001</v>
      </c>
      <c r="M45" s="97">
        <v>25.469259900039901</v>
      </c>
      <c r="N45" s="97">
        <v>20.812669851400202</v>
      </c>
      <c r="O45" s="97">
        <v>18.018269810618001</v>
      </c>
      <c r="P45" s="97">
        <v>22.8111847745642</v>
      </c>
      <c r="Q45" s="97">
        <v>23.550764787428001</v>
      </c>
      <c r="R45" s="97">
        <v>18.6898852154726</v>
      </c>
      <c r="S45" s="97">
        <v>15.566558640247599</v>
      </c>
      <c r="T45" s="97">
        <f t="shared" si="17"/>
        <v>18</v>
      </c>
      <c r="U45" s="100">
        <f t="shared" si="18"/>
        <v>24</v>
      </c>
      <c r="V45" s="100">
        <f t="shared" si="19"/>
        <v>20</v>
      </c>
      <c r="W45" s="100">
        <f t="shared" si="20"/>
        <v>24</v>
      </c>
      <c r="X45" s="100">
        <f t="shared" si="21"/>
        <v>21</v>
      </c>
      <c r="Y45" s="97">
        <f t="shared" si="22"/>
        <v>17</v>
      </c>
      <c r="Z45" s="97">
        <f t="shared" si="23"/>
        <v>15</v>
      </c>
      <c r="AA45" s="97">
        <f t="shared" si="24"/>
        <v>19</v>
      </c>
      <c r="AB45" s="97">
        <f t="shared" si="25"/>
        <v>19</v>
      </c>
      <c r="AC45" s="97">
        <f t="shared" si="26"/>
        <v>15</v>
      </c>
      <c r="AD45" s="97">
        <f t="shared" si="27"/>
        <v>13</v>
      </c>
    </row>
    <row r="46" spans="1:30" x14ac:dyDescent="0.25">
      <c r="A46" s="94">
        <f t="shared" si="28"/>
        <v>1.1559999999999999</v>
      </c>
      <c r="B46" s="94">
        <f t="shared" si="28"/>
        <v>1.08</v>
      </c>
      <c r="C46" s="94">
        <f t="shared" si="28"/>
        <v>1.0144</v>
      </c>
      <c r="D46" s="94">
        <f t="shared" si="28"/>
        <v>1.1104000000000001</v>
      </c>
      <c r="E46" s="94">
        <f t="shared" si="28"/>
        <v>1.0244</v>
      </c>
      <c r="F46" s="99" t="s">
        <v>125</v>
      </c>
      <c r="G46" s="98">
        <v>40</v>
      </c>
      <c r="H46" s="97">
        <f t="shared" si="15"/>
        <v>307.21973670700731</v>
      </c>
      <c r="I46" s="97">
        <v>20.187859505119398</v>
      </c>
      <c r="J46" s="97">
        <v>37.328246412933403</v>
      </c>
      <c r="K46" s="97">
        <v>32.231487596060099</v>
      </c>
      <c r="L46" s="97">
        <v>30.545424431962498</v>
      </c>
      <c r="M46" s="97">
        <v>26.556793098028301</v>
      </c>
      <c r="N46" s="97">
        <v>23.548931757089701</v>
      </c>
      <c r="O46" s="97">
        <v>25.8016752970446</v>
      </c>
      <c r="P46" s="97">
        <v>33.226967055963399</v>
      </c>
      <c r="Q46" s="97">
        <v>37.906072573124803</v>
      </c>
      <c r="R46" s="97">
        <v>25.481693622144501</v>
      </c>
      <c r="S46" s="97">
        <v>14.4045853575366</v>
      </c>
      <c r="T46" s="97">
        <f t="shared" si="17"/>
        <v>18</v>
      </c>
      <c r="U46" s="101">
        <f t="shared" si="18"/>
        <v>34</v>
      </c>
      <c r="V46" s="100">
        <f t="shared" si="19"/>
        <v>28</v>
      </c>
      <c r="W46" s="100">
        <f t="shared" si="20"/>
        <v>27</v>
      </c>
      <c r="X46" s="100">
        <f t="shared" si="21"/>
        <v>23</v>
      </c>
      <c r="Y46" s="97">
        <f t="shared" si="22"/>
        <v>21</v>
      </c>
      <c r="Z46" s="100">
        <f t="shared" si="23"/>
        <v>23</v>
      </c>
      <c r="AA46" s="100">
        <f t="shared" si="24"/>
        <v>30</v>
      </c>
      <c r="AB46" s="101">
        <f t="shared" si="25"/>
        <v>34</v>
      </c>
      <c r="AC46" s="100">
        <f t="shared" si="26"/>
        <v>23</v>
      </c>
      <c r="AD46" s="97">
        <f t="shared" si="27"/>
        <v>13</v>
      </c>
    </row>
    <row r="47" spans="1:30" x14ac:dyDescent="0.25">
      <c r="A47" s="94">
        <f t="shared" si="28"/>
        <v>1.1559999999999999</v>
      </c>
      <c r="B47" s="94">
        <f t="shared" si="28"/>
        <v>1.08</v>
      </c>
      <c r="C47" s="94">
        <f t="shared" si="28"/>
        <v>1.0144</v>
      </c>
      <c r="D47" s="94">
        <f t="shared" si="28"/>
        <v>1.1104000000000001</v>
      </c>
      <c r="E47" s="94">
        <f t="shared" si="28"/>
        <v>1.0244</v>
      </c>
      <c r="F47" s="99" t="s">
        <v>87</v>
      </c>
      <c r="G47" s="98">
        <v>0</v>
      </c>
      <c r="H47" s="97">
        <f t="shared" si="15"/>
        <v>231.49695654889192</v>
      </c>
      <c r="I47" s="97">
        <v>21.476416770432198</v>
      </c>
      <c r="J47" s="97">
        <v>32.762041722642003</v>
      </c>
      <c r="K47" s="97">
        <v>22.7246275619353</v>
      </c>
      <c r="L47" s="97">
        <v>25.379476250422599</v>
      </c>
      <c r="M47" s="97">
        <v>15.916630650094501</v>
      </c>
      <c r="N47" s="97">
        <v>16.889408484495601</v>
      </c>
      <c r="O47" s="97">
        <v>17.487522899660298</v>
      </c>
      <c r="P47" s="97">
        <v>19.441303502697199</v>
      </c>
      <c r="Q47" s="97">
        <v>24.353392998219601</v>
      </c>
      <c r="R47" s="97">
        <v>20.590037381901901</v>
      </c>
      <c r="S47" s="97">
        <v>14.4760983263907</v>
      </c>
      <c r="T47" s="97">
        <f t="shared" si="17"/>
        <v>16</v>
      </c>
      <c r="U47" s="100">
        <f t="shared" si="18"/>
        <v>24</v>
      </c>
      <c r="V47" s="97">
        <f t="shared" si="19"/>
        <v>17</v>
      </c>
      <c r="W47" s="100">
        <f t="shared" si="20"/>
        <v>19</v>
      </c>
      <c r="X47" s="97">
        <f t="shared" si="21"/>
        <v>12</v>
      </c>
      <c r="Y47" s="97">
        <f t="shared" si="22"/>
        <v>13</v>
      </c>
      <c r="Z47" s="97">
        <f t="shared" si="23"/>
        <v>13</v>
      </c>
      <c r="AA47" s="97">
        <f t="shared" si="24"/>
        <v>14</v>
      </c>
      <c r="AB47" s="100">
        <f t="shared" si="25"/>
        <v>18</v>
      </c>
      <c r="AC47" s="97">
        <f t="shared" si="26"/>
        <v>15</v>
      </c>
      <c r="AD47" s="97">
        <f t="shared" si="27"/>
        <v>11</v>
      </c>
    </row>
    <row r="48" spans="1:30" x14ac:dyDescent="0.25">
      <c r="A48" s="94">
        <f t="shared" si="28"/>
        <v>1.1559999999999999</v>
      </c>
      <c r="B48" s="94">
        <f t="shared" si="28"/>
        <v>1.08</v>
      </c>
      <c r="C48" s="94">
        <f t="shared" si="28"/>
        <v>1.0144</v>
      </c>
      <c r="D48" s="94">
        <f t="shared" si="28"/>
        <v>1.1104000000000001</v>
      </c>
      <c r="E48" s="94">
        <f t="shared" si="28"/>
        <v>1.0244</v>
      </c>
      <c r="F48" s="99" t="s">
        <v>156</v>
      </c>
      <c r="G48" s="98">
        <v>0</v>
      </c>
      <c r="H48" s="97">
        <f t="shared" si="15"/>
        <v>301.56874646252749</v>
      </c>
      <c r="I48" s="97">
        <v>21.866391361989301</v>
      </c>
      <c r="J48" s="97">
        <v>46.905503864189498</v>
      </c>
      <c r="K48" s="97">
        <v>21.942032613327701</v>
      </c>
      <c r="L48" s="97">
        <v>23.635980202728199</v>
      </c>
      <c r="M48" s="97">
        <v>28.537268753308201</v>
      </c>
      <c r="N48" s="97">
        <v>20.262379454792899</v>
      </c>
      <c r="O48" s="97">
        <v>16.842633755913202</v>
      </c>
      <c r="P48" s="97">
        <v>33.9675164152763</v>
      </c>
      <c r="Q48" s="97">
        <v>42.547136537357403</v>
      </c>
      <c r="R48" s="97">
        <v>24.8400050785331</v>
      </c>
      <c r="S48" s="97">
        <v>20.2218984251117</v>
      </c>
      <c r="T48" s="97">
        <f t="shared" si="17"/>
        <v>16</v>
      </c>
      <c r="U48" s="101">
        <f t="shared" si="18"/>
        <v>34</v>
      </c>
      <c r="V48" s="97">
        <f t="shared" si="19"/>
        <v>16</v>
      </c>
      <c r="W48" s="97">
        <f t="shared" si="20"/>
        <v>17</v>
      </c>
      <c r="X48" s="97">
        <f t="shared" si="21"/>
        <v>21</v>
      </c>
      <c r="Y48" s="97">
        <f t="shared" si="22"/>
        <v>15</v>
      </c>
      <c r="Z48" s="97">
        <f t="shared" si="23"/>
        <v>13</v>
      </c>
      <c r="AA48" s="100">
        <f t="shared" si="24"/>
        <v>25</v>
      </c>
      <c r="AB48" s="101">
        <f t="shared" si="25"/>
        <v>31</v>
      </c>
      <c r="AC48" s="100">
        <f t="shared" si="26"/>
        <v>18</v>
      </c>
      <c r="AD48" s="97">
        <f t="shared" si="27"/>
        <v>15</v>
      </c>
    </row>
    <row r="49" spans="1:30" x14ac:dyDescent="0.25">
      <c r="A49" s="94">
        <f t="shared" si="28"/>
        <v>1.1559999999999999</v>
      </c>
      <c r="B49" s="94">
        <f t="shared" si="28"/>
        <v>1.08</v>
      </c>
      <c r="C49" s="94">
        <f t="shared" si="28"/>
        <v>1.0144</v>
      </c>
      <c r="D49" s="94">
        <f t="shared" si="28"/>
        <v>1.1104000000000001</v>
      </c>
      <c r="E49" s="94">
        <f t="shared" si="28"/>
        <v>1.0244</v>
      </c>
      <c r="F49" s="99" t="s">
        <v>301</v>
      </c>
      <c r="G49" s="98">
        <v>50</v>
      </c>
      <c r="H49" s="97">
        <f t="shared" si="15"/>
        <v>244.17633443128423</v>
      </c>
      <c r="I49" s="97">
        <v>20.958355619667699</v>
      </c>
      <c r="J49" s="97">
        <v>76.0056624478391</v>
      </c>
      <c r="K49" s="97">
        <v>12.883789926241899</v>
      </c>
      <c r="L49" s="97">
        <v>15.5275030749804</v>
      </c>
      <c r="M49" s="97">
        <v>25.223579488593298</v>
      </c>
      <c r="N49" s="97">
        <v>16.491508473055202</v>
      </c>
      <c r="O49" s="97">
        <v>19.606968470129001</v>
      </c>
      <c r="P49" s="97">
        <v>11.950596004560399</v>
      </c>
      <c r="Q49" s="97">
        <v>8.5276798201701407</v>
      </c>
      <c r="R49" s="97">
        <v>22.9054874351203</v>
      </c>
      <c r="S49" s="97">
        <v>14.0952036709268</v>
      </c>
      <c r="T49" s="97">
        <f t="shared" si="17"/>
        <v>20</v>
      </c>
      <c r="U49" s="101">
        <f t="shared" si="18"/>
        <v>71</v>
      </c>
      <c r="V49" s="97">
        <f t="shared" si="19"/>
        <v>12</v>
      </c>
      <c r="W49" s="97">
        <f t="shared" si="20"/>
        <v>14</v>
      </c>
      <c r="X49" s="100">
        <f t="shared" si="21"/>
        <v>23</v>
      </c>
      <c r="Y49" s="97">
        <f t="shared" si="22"/>
        <v>15</v>
      </c>
      <c r="Z49" s="97">
        <f t="shared" si="23"/>
        <v>18</v>
      </c>
      <c r="AA49" s="97">
        <f t="shared" si="24"/>
        <v>12</v>
      </c>
      <c r="AB49" s="97">
        <f t="shared" si="25"/>
        <v>8</v>
      </c>
      <c r="AC49" s="97">
        <f t="shared" si="26"/>
        <v>22</v>
      </c>
      <c r="AD49" s="97">
        <f t="shared" si="27"/>
        <v>14</v>
      </c>
    </row>
    <row r="50" spans="1:30" x14ac:dyDescent="0.25">
      <c r="A50" s="94">
        <f t="shared" si="28"/>
        <v>1.1559999999999999</v>
      </c>
      <c r="B50" s="94">
        <f t="shared" si="28"/>
        <v>1.08</v>
      </c>
      <c r="C50" s="94">
        <f t="shared" si="28"/>
        <v>1.0144</v>
      </c>
      <c r="D50" s="94">
        <f t="shared" si="28"/>
        <v>1.1104000000000001</v>
      </c>
      <c r="E50" s="94">
        <f t="shared" si="28"/>
        <v>1.0244</v>
      </c>
      <c r="F50" s="99" t="s">
        <v>257</v>
      </c>
      <c r="G50" s="98">
        <v>0</v>
      </c>
      <c r="H50" s="97">
        <f t="shared" si="15"/>
        <v>171</v>
      </c>
      <c r="I50" s="97">
        <v>13</v>
      </c>
      <c r="J50" s="97">
        <v>20</v>
      </c>
      <c r="K50" s="97">
        <v>19</v>
      </c>
      <c r="L50" s="97">
        <v>19</v>
      </c>
      <c r="M50" s="97">
        <v>15</v>
      </c>
      <c r="N50" s="97">
        <v>13</v>
      </c>
      <c r="O50" s="97">
        <v>10</v>
      </c>
      <c r="P50" s="97">
        <v>18</v>
      </c>
      <c r="Q50" s="97">
        <v>21</v>
      </c>
      <c r="R50" s="97">
        <v>16</v>
      </c>
      <c r="S50" s="97">
        <v>7</v>
      </c>
      <c r="T50" s="97">
        <f t="shared" si="17"/>
        <v>10</v>
      </c>
      <c r="U50" s="97">
        <f t="shared" si="18"/>
        <v>15</v>
      </c>
      <c r="V50" s="97">
        <f t="shared" si="19"/>
        <v>14</v>
      </c>
      <c r="W50" s="97">
        <f t="shared" si="20"/>
        <v>14</v>
      </c>
      <c r="X50" s="97">
        <f t="shared" si="21"/>
        <v>11</v>
      </c>
      <c r="Y50" s="97">
        <f t="shared" si="22"/>
        <v>10</v>
      </c>
      <c r="Z50" s="97">
        <f t="shared" si="23"/>
        <v>8</v>
      </c>
      <c r="AA50" s="97">
        <f t="shared" si="24"/>
        <v>13</v>
      </c>
      <c r="AB50" s="97">
        <f t="shared" si="25"/>
        <v>16</v>
      </c>
      <c r="AC50" s="97">
        <f t="shared" si="26"/>
        <v>12</v>
      </c>
      <c r="AD50" s="97">
        <f t="shared" si="27"/>
        <v>6</v>
      </c>
    </row>
    <row r="51" spans="1:30" x14ac:dyDescent="0.25">
      <c r="A51" s="94">
        <f t="shared" si="28"/>
        <v>1.1559999999999999</v>
      </c>
      <c r="B51" s="94">
        <f t="shared" si="28"/>
        <v>1.08</v>
      </c>
      <c r="C51" s="94">
        <f t="shared" si="28"/>
        <v>1.0144</v>
      </c>
      <c r="D51" s="94">
        <f t="shared" si="28"/>
        <v>1.1104000000000001</v>
      </c>
      <c r="E51" s="94">
        <f t="shared" si="28"/>
        <v>1.0244</v>
      </c>
      <c r="F51" s="99" t="s">
        <v>252</v>
      </c>
      <c r="G51" s="98">
        <v>0</v>
      </c>
      <c r="H51" s="97">
        <f t="shared" si="15"/>
        <v>253</v>
      </c>
      <c r="I51" s="97">
        <v>19</v>
      </c>
      <c r="J51" s="97">
        <v>18</v>
      </c>
      <c r="K51" s="97">
        <v>20</v>
      </c>
      <c r="L51" s="97">
        <v>22</v>
      </c>
      <c r="M51" s="97">
        <v>37</v>
      </c>
      <c r="N51" s="97">
        <v>18</v>
      </c>
      <c r="O51" s="97">
        <v>18</v>
      </c>
      <c r="P51" s="97">
        <v>19</v>
      </c>
      <c r="Q51" s="97">
        <v>27</v>
      </c>
      <c r="R51" s="97">
        <v>40</v>
      </c>
      <c r="S51" s="97">
        <v>15</v>
      </c>
      <c r="T51" s="97">
        <f t="shared" si="17"/>
        <v>14</v>
      </c>
      <c r="U51" s="97">
        <f t="shared" si="18"/>
        <v>13</v>
      </c>
      <c r="V51" s="97">
        <f t="shared" si="19"/>
        <v>15</v>
      </c>
      <c r="W51" s="97">
        <f t="shared" si="20"/>
        <v>16</v>
      </c>
      <c r="X51" s="97">
        <f t="shared" si="21"/>
        <v>27</v>
      </c>
      <c r="Y51" s="97">
        <f t="shared" si="22"/>
        <v>13</v>
      </c>
      <c r="Z51" s="97">
        <f t="shared" si="23"/>
        <v>13</v>
      </c>
      <c r="AA51" s="97">
        <f t="shared" si="24"/>
        <v>14</v>
      </c>
      <c r="AB51" s="97">
        <f t="shared" si="25"/>
        <v>20</v>
      </c>
      <c r="AC51" s="97">
        <f t="shared" si="26"/>
        <v>29</v>
      </c>
      <c r="AD51" s="97">
        <f t="shared" si="27"/>
        <v>11</v>
      </c>
    </row>
    <row r="52" spans="1:30" x14ac:dyDescent="0.25">
      <c r="A52" s="94">
        <f t="shared" si="28"/>
        <v>1.1559999999999999</v>
      </c>
      <c r="B52" s="94">
        <f t="shared" si="28"/>
        <v>1.08</v>
      </c>
      <c r="C52" s="94">
        <f t="shared" si="28"/>
        <v>1.0144</v>
      </c>
      <c r="D52" s="94">
        <f t="shared" si="28"/>
        <v>1.1104000000000001</v>
      </c>
      <c r="E52" s="94">
        <f t="shared" si="28"/>
        <v>1.0244</v>
      </c>
      <c r="F52" s="99" t="s">
        <v>253</v>
      </c>
      <c r="G52" s="98">
        <v>0</v>
      </c>
      <c r="H52" s="97">
        <f t="shared" si="15"/>
        <v>254</v>
      </c>
      <c r="I52" s="97">
        <v>20</v>
      </c>
      <c r="J52" s="97">
        <v>40</v>
      </c>
      <c r="K52" s="97">
        <v>29</v>
      </c>
      <c r="L52" s="97">
        <v>24</v>
      </c>
      <c r="M52" s="97">
        <v>17</v>
      </c>
      <c r="N52" s="97">
        <v>11</v>
      </c>
      <c r="O52" s="97">
        <v>14</v>
      </c>
      <c r="P52" s="97">
        <v>25</v>
      </c>
      <c r="Q52" s="97">
        <v>35</v>
      </c>
      <c r="R52" s="97">
        <v>31</v>
      </c>
      <c r="S52" s="97">
        <v>8</v>
      </c>
      <c r="T52" s="97">
        <f t="shared" si="17"/>
        <v>15</v>
      </c>
      <c r="U52" s="97">
        <f t="shared" si="18"/>
        <v>29</v>
      </c>
      <c r="V52" s="97">
        <f t="shared" si="19"/>
        <v>21</v>
      </c>
      <c r="W52" s="97">
        <f t="shared" si="20"/>
        <v>18</v>
      </c>
      <c r="X52" s="97">
        <f t="shared" si="21"/>
        <v>13</v>
      </c>
      <c r="Y52" s="97">
        <f t="shared" si="22"/>
        <v>8</v>
      </c>
      <c r="Z52" s="97">
        <f t="shared" si="23"/>
        <v>11</v>
      </c>
      <c r="AA52" s="97">
        <f t="shared" si="24"/>
        <v>18</v>
      </c>
      <c r="AB52" s="97">
        <f t="shared" si="25"/>
        <v>26</v>
      </c>
      <c r="AC52" s="97">
        <f t="shared" si="26"/>
        <v>23</v>
      </c>
      <c r="AD52" s="97">
        <f t="shared" si="27"/>
        <v>6</v>
      </c>
    </row>
    <row r="53" spans="1:30" x14ac:dyDescent="0.25">
      <c r="A53" s="94">
        <f t="shared" si="28"/>
        <v>1.1559999999999999</v>
      </c>
      <c r="B53" s="94">
        <f t="shared" si="28"/>
        <v>1.08</v>
      </c>
      <c r="C53" s="94">
        <f t="shared" si="28"/>
        <v>1.0144</v>
      </c>
      <c r="D53" s="94">
        <f t="shared" si="28"/>
        <v>1.1104000000000001</v>
      </c>
      <c r="E53" s="94">
        <f t="shared" si="28"/>
        <v>1.0244</v>
      </c>
      <c r="F53" s="99" t="s">
        <v>245</v>
      </c>
      <c r="G53" s="98">
        <v>20</v>
      </c>
      <c r="H53" s="97">
        <f t="shared" si="15"/>
        <v>217.29672603559831</v>
      </c>
      <c r="I53" s="97">
        <v>19</v>
      </c>
      <c r="J53" s="97">
        <v>36</v>
      </c>
      <c r="K53" s="97">
        <v>22</v>
      </c>
      <c r="L53" s="97">
        <v>20</v>
      </c>
      <c r="M53" s="97">
        <v>24</v>
      </c>
      <c r="N53" s="97">
        <v>16</v>
      </c>
      <c r="O53" s="97">
        <v>11.296726035598301</v>
      </c>
      <c r="P53" s="97">
        <v>16</v>
      </c>
      <c r="Q53" s="97">
        <v>10</v>
      </c>
      <c r="R53" s="97">
        <v>33</v>
      </c>
      <c r="S53" s="97">
        <v>10</v>
      </c>
      <c r="T53" s="97">
        <f t="shared" si="17"/>
        <v>16</v>
      </c>
      <c r="U53" s="97">
        <f t="shared" si="18"/>
        <v>29</v>
      </c>
      <c r="V53" s="97">
        <f t="shared" si="19"/>
        <v>18</v>
      </c>
      <c r="W53" s="97">
        <f t="shared" si="20"/>
        <v>16</v>
      </c>
      <c r="X53" s="97">
        <f t="shared" si="21"/>
        <v>19</v>
      </c>
      <c r="Y53" s="97">
        <f t="shared" si="22"/>
        <v>13</v>
      </c>
      <c r="Z53" s="97">
        <f t="shared" si="23"/>
        <v>9</v>
      </c>
      <c r="AA53" s="97">
        <f t="shared" si="24"/>
        <v>13</v>
      </c>
      <c r="AB53" s="97">
        <f t="shared" si="25"/>
        <v>9</v>
      </c>
      <c r="AC53" s="97">
        <f t="shared" si="26"/>
        <v>27</v>
      </c>
      <c r="AD53" s="97">
        <f t="shared" si="27"/>
        <v>9</v>
      </c>
    </row>
    <row r="54" spans="1:30" x14ac:dyDescent="0.25">
      <c r="A54" s="94">
        <f t="shared" ref="A54:E66" si="29">1+A$2*A$3</f>
        <v>1.1559999999999999</v>
      </c>
      <c r="B54" s="94">
        <f t="shared" si="29"/>
        <v>1.08</v>
      </c>
      <c r="C54" s="94">
        <f t="shared" si="29"/>
        <v>1.0144</v>
      </c>
      <c r="D54" s="94">
        <f t="shared" si="29"/>
        <v>1.1104000000000001</v>
      </c>
      <c r="E54" s="94">
        <f t="shared" si="29"/>
        <v>1.0244</v>
      </c>
      <c r="F54" s="390" t="s">
        <v>687</v>
      </c>
      <c r="G54" s="391">
        <v>40</v>
      </c>
      <c r="H54" s="97">
        <f t="shared" si="15"/>
        <v>192</v>
      </c>
      <c r="I54" s="392">
        <v>13</v>
      </c>
      <c r="J54" s="392">
        <v>27</v>
      </c>
      <c r="K54" s="392">
        <v>20</v>
      </c>
      <c r="L54" s="392">
        <v>20</v>
      </c>
      <c r="M54" s="392">
        <v>14</v>
      </c>
      <c r="N54" s="392">
        <v>14</v>
      </c>
      <c r="O54" s="392">
        <v>15</v>
      </c>
      <c r="P54" s="392">
        <v>21</v>
      </c>
      <c r="Q54" s="392">
        <v>24</v>
      </c>
      <c r="R54" s="392">
        <v>12</v>
      </c>
      <c r="S54" s="392">
        <v>12</v>
      </c>
      <c r="T54" s="392">
        <f t="shared" si="17"/>
        <v>12</v>
      </c>
      <c r="U54" s="392">
        <f t="shared" si="18"/>
        <v>24</v>
      </c>
      <c r="V54" s="392">
        <f t="shared" si="19"/>
        <v>18</v>
      </c>
      <c r="W54" s="392">
        <f t="shared" si="20"/>
        <v>18</v>
      </c>
      <c r="X54" s="392">
        <f t="shared" si="21"/>
        <v>13</v>
      </c>
      <c r="Y54" s="392">
        <f t="shared" si="22"/>
        <v>13</v>
      </c>
      <c r="Z54" s="392">
        <f t="shared" si="23"/>
        <v>13</v>
      </c>
      <c r="AA54" s="392">
        <f t="shared" si="24"/>
        <v>19</v>
      </c>
      <c r="AB54" s="392">
        <f t="shared" si="25"/>
        <v>22</v>
      </c>
      <c r="AC54" s="392">
        <f t="shared" si="26"/>
        <v>11</v>
      </c>
      <c r="AD54" s="392">
        <f t="shared" si="27"/>
        <v>11</v>
      </c>
    </row>
    <row r="55" spans="1:30" x14ac:dyDescent="0.25">
      <c r="A55" s="94">
        <f t="shared" si="29"/>
        <v>1.1559999999999999</v>
      </c>
      <c r="B55" s="94">
        <f t="shared" si="29"/>
        <v>1.08</v>
      </c>
      <c r="C55" s="94">
        <f t="shared" si="29"/>
        <v>1.0144</v>
      </c>
      <c r="D55" s="94">
        <f t="shared" si="29"/>
        <v>1.1104000000000001</v>
      </c>
      <c r="E55" s="94">
        <f t="shared" si="29"/>
        <v>1.0244</v>
      </c>
      <c r="F55" s="390" t="s">
        <v>829</v>
      </c>
      <c r="G55" s="673">
        <v>60</v>
      </c>
      <c r="H55" s="97">
        <f t="shared" si="15"/>
        <v>224</v>
      </c>
      <c r="I55" s="675">
        <v>30</v>
      </c>
      <c r="J55" s="675">
        <v>17</v>
      </c>
      <c r="K55" s="675">
        <v>16</v>
      </c>
      <c r="L55" s="675">
        <v>16</v>
      </c>
      <c r="M55" s="675">
        <v>23</v>
      </c>
      <c r="N55" s="675">
        <v>23</v>
      </c>
      <c r="O55" s="675">
        <v>11</v>
      </c>
      <c r="P55" s="675">
        <v>27</v>
      </c>
      <c r="Q55" s="675">
        <v>23</v>
      </c>
      <c r="R55" s="675">
        <v>27</v>
      </c>
      <c r="S55" s="675">
        <v>11</v>
      </c>
      <c r="T55" s="674">
        <f t="shared" si="17"/>
        <v>30</v>
      </c>
      <c r="U55" s="392">
        <f t="shared" si="18"/>
        <v>17</v>
      </c>
      <c r="V55" s="392">
        <f t="shared" si="19"/>
        <v>15</v>
      </c>
      <c r="W55" s="392">
        <f t="shared" si="20"/>
        <v>15</v>
      </c>
      <c r="X55" s="392">
        <f t="shared" si="21"/>
        <v>22</v>
      </c>
      <c r="Y55" s="392">
        <f t="shared" si="22"/>
        <v>22</v>
      </c>
      <c r="Z55" s="392">
        <f t="shared" si="23"/>
        <v>11</v>
      </c>
      <c r="AA55" s="392">
        <f t="shared" si="24"/>
        <v>27</v>
      </c>
      <c r="AB55" s="392">
        <f t="shared" si="25"/>
        <v>23</v>
      </c>
      <c r="AC55" s="392">
        <f t="shared" si="26"/>
        <v>27</v>
      </c>
      <c r="AD55" s="392">
        <f t="shared" si="27"/>
        <v>11</v>
      </c>
    </row>
    <row r="56" spans="1:30" x14ac:dyDescent="0.25">
      <c r="A56" s="94">
        <f t="shared" si="29"/>
        <v>1.1559999999999999</v>
      </c>
      <c r="B56" s="94">
        <f t="shared" si="29"/>
        <v>1.08</v>
      </c>
      <c r="C56" s="94">
        <f t="shared" si="29"/>
        <v>1.0144</v>
      </c>
      <c r="D56" s="94">
        <f t="shared" si="29"/>
        <v>1.1104000000000001</v>
      </c>
      <c r="E56" s="94">
        <f t="shared" si="29"/>
        <v>1.0244</v>
      </c>
      <c r="F56" s="390" t="s">
        <v>844</v>
      </c>
      <c r="G56" s="673">
        <v>40</v>
      </c>
      <c r="H56" s="97">
        <f t="shared" si="15"/>
        <v>238</v>
      </c>
      <c r="I56" s="675">
        <v>21</v>
      </c>
      <c r="J56" s="675">
        <v>27</v>
      </c>
      <c r="K56" s="675">
        <v>21</v>
      </c>
      <c r="L56" s="675">
        <v>22</v>
      </c>
      <c r="M56" s="675">
        <v>20</v>
      </c>
      <c r="N56" s="675">
        <v>16</v>
      </c>
      <c r="O56" s="675">
        <v>18</v>
      </c>
      <c r="P56" s="675">
        <v>30</v>
      </c>
      <c r="Q56" s="675">
        <v>23</v>
      </c>
      <c r="R56" s="675">
        <v>23</v>
      </c>
      <c r="S56" s="675">
        <v>17</v>
      </c>
      <c r="T56" s="674">
        <f t="shared" si="17"/>
        <v>19</v>
      </c>
      <c r="U56" s="680">
        <f t="shared" si="18"/>
        <v>24</v>
      </c>
      <c r="V56" s="392">
        <f t="shared" si="19"/>
        <v>19</v>
      </c>
      <c r="W56" s="392">
        <f t="shared" si="20"/>
        <v>19</v>
      </c>
      <c r="X56" s="392">
        <f t="shared" si="21"/>
        <v>18</v>
      </c>
      <c r="Y56" s="392">
        <f t="shared" si="22"/>
        <v>14</v>
      </c>
      <c r="Z56" s="392">
        <f t="shared" si="23"/>
        <v>16</v>
      </c>
      <c r="AA56" s="680">
        <f t="shared" si="24"/>
        <v>27</v>
      </c>
      <c r="AB56" s="392">
        <f t="shared" si="25"/>
        <v>21</v>
      </c>
      <c r="AC56" s="392">
        <f t="shared" si="26"/>
        <v>21</v>
      </c>
      <c r="AD56" s="392">
        <f t="shared" si="27"/>
        <v>16</v>
      </c>
    </row>
    <row r="57" spans="1:30" x14ac:dyDescent="0.25">
      <c r="A57" s="94">
        <f t="shared" si="29"/>
        <v>1.1559999999999999</v>
      </c>
      <c r="B57" s="94">
        <f t="shared" si="29"/>
        <v>1.08</v>
      </c>
      <c r="C57" s="94">
        <f t="shared" si="29"/>
        <v>1.0144</v>
      </c>
      <c r="D57" s="94">
        <f t="shared" si="29"/>
        <v>1.1104000000000001</v>
      </c>
      <c r="E57" s="94">
        <f t="shared" si="29"/>
        <v>1.0244</v>
      </c>
      <c r="F57" s="390" t="s">
        <v>834</v>
      </c>
      <c r="G57" s="698">
        <v>40</v>
      </c>
      <c r="H57" s="97">
        <f t="shared" si="15"/>
        <v>215</v>
      </c>
      <c r="I57" s="696">
        <v>22</v>
      </c>
      <c r="J57" s="696">
        <v>26</v>
      </c>
      <c r="K57" s="696">
        <v>15</v>
      </c>
      <c r="L57" s="696">
        <v>14</v>
      </c>
      <c r="M57" s="696">
        <v>15</v>
      </c>
      <c r="N57" s="696">
        <v>21</v>
      </c>
      <c r="O57" s="696">
        <v>18</v>
      </c>
      <c r="P57" s="696">
        <v>28</v>
      </c>
      <c r="Q57" s="696">
        <v>14</v>
      </c>
      <c r="R57" s="696">
        <v>31</v>
      </c>
      <c r="S57" s="696">
        <v>11</v>
      </c>
      <c r="T57" s="674">
        <f t="shared" si="17"/>
        <v>20</v>
      </c>
      <c r="U57" s="680">
        <f t="shared" si="18"/>
        <v>24</v>
      </c>
      <c r="V57" s="392">
        <f t="shared" si="19"/>
        <v>13</v>
      </c>
      <c r="W57" s="392">
        <f t="shared" si="20"/>
        <v>13</v>
      </c>
      <c r="X57" s="392">
        <f t="shared" si="21"/>
        <v>13</v>
      </c>
      <c r="Y57" s="392">
        <f t="shared" si="22"/>
        <v>19</v>
      </c>
      <c r="Z57" s="392">
        <f t="shared" si="23"/>
        <v>16</v>
      </c>
      <c r="AA57" s="680">
        <f t="shared" si="24"/>
        <v>25</v>
      </c>
      <c r="AB57" s="392">
        <f t="shared" si="25"/>
        <v>13</v>
      </c>
      <c r="AC57" s="392">
        <f t="shared" si="26"/>
        <v>28</v>
      </c>
      <c r="AD57" s="392">
        <f t="shared" si="27"/>
        <v>10</v>
      </c>
    </row>
    <row r="58" spans="1:30" x14ac:dyDescent="0.25">
      <c r="A58" s="94">
        <f t="shared" si="29"/>
        <v>1.1559999999999999</v>
      </c>
      <c r="B58" s="94">
        <f t="shared" si="29"/>
        <v>1.08</v>
      </c>
      <c r="C58" s="94">
        <f t="shared" si="29"/>
        <v>1.0144</v>
      </c>
      <c r="D58" s="94">
        <f t="shared" si="29"/>
        <v>1.1104000000000001</v>
      </c>
      <c r="E58" s="94">
        <f t="shared" si="29"/>
        <v>1.0244</v>
      </c>
      <c r="F58" s="390" t="s">
        <v>841</v>
      </c>
      <c r="G58" s="698">
        <v>0</v>
      </c>
      <c r="H58" s="97">
        <f t="shared" si="15"/>
        <v>206</v>
      </c>
      <c r="I58" s="696">
        <v>14</v>
      </c>
      <c r="J58" s="696">
        <v>49</v>
      </c>
      <c r="K58" s="696">
        <v>13</v>
      </c>
      <c r="L58" s="696">
        <v>14</v>
      </c>
      <c r="M58" s="696">
        <v>12</v>
      </c>
      <c r="N58" s="696">
        <v>17</v>
      </c>
      <c r="O58" s="696">
        <v>12</v>
      </c>
      <c r="P58" s="696">
        <v>19</v>
      </c>
      <c r="Q58" s="696">
        <v>35</v>
      </c>
      <c r="R58" s="696">
        <v>12</v>
      </c>
      <c r="S58" s="696">
        <v>9</v>
      </c>
      <c r="T58" s="674">
        <f t="shared" si="17"/>
        <v>11</v>
      </c>
      <c r="U58" s="680">
        <f t="shared" si="18"/>
        <v>36</v>
      </c>
      <c r="V58" s="392">
        <f t="shared" si="19"/>
        <v>10</v>
      </c>
      <c r="W58" s="392">
        <f t="shared" si="20"/>
        <v>11</v>
      </c>
      <c r="X58" s="392">
        <f t="shared" si="21"/>
        <v>9</v>
      </c>
      <c r="Y58" s="392">
        <f t="shared" si="22"/>
        <v>13</v>
      </c>
      <c r="Z58" s="392">
        <f t="shared" si="23"/>
        <v>9</v>
      </c>
      <c r="AA58" s="680">
        <f t="shared" si="24"/>
        <v>14</v>
      </c>
      <c r="AB58" s="392">
        <f t="shared" si="25"/>
        <v>26</v>
      </c>
      <c r="AC58" s="392">
        <f t="shared" si="26"/>
        <v>9</v>
      </c>
      <c r="AD58" s="392">
        <f t="shared" si="27"/>
        <v>7</v>
      </c>
    </row>
    <row r="59" spans="1:30" x14ac:dyDescent="0.25">
      <c r="A59" s="94">
        <f t="shared" si="29"/>
        <v>1.1559999999999999</v>
      </c>
      <c r="B59" s="94">
        <f t="shared" si="29"/>
        <v>1.08</v>
      </c>
      <c r="C59" s="94">
        <f t="shared" si="29"/>
        <v>1.0144</v>
      </c>
      <c r="D59" s="94">
        <f t="shared" si="29"/>
        <v>1.1104000000000001</v>
      </c>
      <c r="E59" s="94">
        <f t="shared" si="29"/>
        <v>1.0244</v>
      </c>
      <c r="F59" s="390" t="s">
        <v>870</v>
      </c>
      <c r="G59" s="673">
        <v>0</v>
      </c>
      <c r="H59" s="97">
        <f t="shared" si="15"/>
        <v>172</v>
      </c>
      <c r="I59" s="697">
        <v>16</v>
      </c>
      <c r="J59" s="697">
        <v>37</v>
      </c>
      <c r="K59" s="697">
        <v>13</v>
      </c>
      <c r="L59" s="697">
        <v>12</v>
      </c>
      <c r="M59" s="697">
        <v>8</v>
      </c>
      <c r="N59" s="697">
        <v>7</v>
      </c>
      <c r="O59" s="697">
        <v>24</v>
      </c>
      <c r="P59" s="697">
        <v>15</v>
      </c>
      <c r="Q59" s="697">
        <v>19</v>
      </c>
      <c r="R59" s="697">
        <v>13</v>
      </c>
      <c r="S59" s="697">
        <v>8</v>
      </c>
      <c r="T59" s="674">
        <f t="shared" si="17"/>
        <v>12</v>
      </c>
      <c r="U59" s="680">
        <f t="shared" si="18"/>
        <v>27</v>
      </c>
      <c r="V59" s="392">
        <f t="shared" si="19"/>
        <v>10</v>
      </c>
      <c r="W59" s="392">
        <f t="shared" si="20"/>
        <v>9</v>
      </c>
      <c r="X59" s="392">
        <f t="shared" si="21"/>
        <v>6</v>
      </c>
      <c r="Y59" s="392">
        <f t="shared" si="22"/>
        <v>6</v>
      </c>
      <c r="Z59" s="392">
        <f t="shared" si="23"/>
        <v>18</v>
      </c>
      <c r="AA59" s="680">
        <f t="shared" si="24"/>
        <v>11</v>
      </c>
      <c r="AB59" s="392">
        <f t="shared" si="25"/>
        <v>14</v>
      </c>
      <c r="AC59" s="392">
        <f t="shared" si="26"/>
        <v>10</v>
      </c>
      <c r="AD59" s="392">
        <f t="shared" si="27"/>
        <v>6</v>
      </c>
    </row>
    <row r="60" spans="1:30" x14ac:dyDescent="0.25">
      <c r="A60" s="94">
        <f t="shared" si="29"/>
        <v>1.1559999999999999</v>
      </c>
      <c r="B60" s="94">
        <f t="shared" si="29"/>
        <v>1.08</v>
      </c>
      <c r="C60" s="94">
        <f t="shared" si="29"/>
        <v>1.0144</v>
      </c>
      <c r="D60" s="94">
        <f t="shared" si="29"/>
        <v>1.1104000000000001</v>
      </c>
      <c r="E60" s="94">
        <f t="shared" si="29"/>
        <v>1.0244</v>
      </c>
      <c r="F60" s="699" t="s">
        <v>848</v>
      </c>
      <c r="G60" s="698">
        <v>40</v>
      </c>
      <c r="H60" s="97">
        <f t="shared" si="15"/>
        <v>255</v>
      </c>
      <c r="I60" s="675">
        <v>19</v>
      </c>
      <c r="J60" s="675">
        <v>81</v>
      </c>
      <c r="K60" s="675">
        <v>10</v>
      </c>
      <c r="L60" s="675">
        <v>13</v>
      </c>
      <c r="M60" s="675">
        <v>22</v>
      </c>
      <c r="N60" s="675">
        <v>13</v>
      </c>
      <c r="O60" s="675">
        <v>18</v>
      </c>
      <c r="P60" s="675">
        <v>20</v>
      </c>
      <c r="Q60" s="675">
        <v>19</v>
      </c>
      <c r="R60" s="675">
        <v>27</v>
      </c>
      <c r="S60" s="675">
        <v>13</v>
      </c>
      <c r="T60" s="674">
        <f t="shared" si="17"/>
        <v>17</v>
      </c>
      <c r="U60" s="680">
        <f t="shared" si="18"/>
        <v>72</v>
      </c>
      <c r="V60" s="392">
        <f t="shared" si="19"/>
        <v>9</v>
      </c>
      <c r="W60" s="392">
        <f t="shared" si="20"/>
        <v>12</v>
      </c>
      <c r="X60" s="392">
        <f t="shared" si="21"/>
        <v>19</v>
      </c>
      <c r="Y60" s="392">
        <f t="shared" si="22"/>
        <v>12</v>
      </c>
      <c r="Z60" s="392">
        <f t="shared" si="23"/>
        <v>16</v>
      </c>
      <c r="AA60" s="680">
        <f t="shared" si="24"/>
        <v>18</v>
      </c>
      <c r="AB60" s="392">
        <f t="shared" si="25"/>
        <v>17</v>
      </c>
      <c r="AC60" s="392">
        <f t="shared" si="26"/>
        <v>24</v>
      </c>
      <c r="AD60" s="392">
        <f t="shared" si="27"/>
        <v>12</v>
      </c>
    </row>
    <row r="61" spans="1:30" x14ac:dyDescent="0.25">
      <c r="A61" s="94">
        <f t="shared" si="29"/>
        <v>1.1559999999999999</v>
      </c>
      <c r="B61" s="94">
        <f t="shared" si="29"/>
        <v>1.08</v>
      </c>
      <c r="C61" s="94">
        <f t="shared" si="29"/>
        <v>1.0144</v>
      </c>
      <c r="D61" s="94">
        <f t="shared" si="29"/>
        <v>1.1104000000000001</v>
      </c>
      <c r="E61" s="94">
        <f t="shared" si="29"/>
        <v>1.0244</v>
      </c>
      <c r="F61" s="699" t="s">
        <v>839</v>
      </c>
      <c r="G61" s="698">
        <v>50</v>
      </c>
      <c r="H61" s="97">
        <f t="shared" si="15"/>
        <v>197</v>
      </c>
      <c r="I61" s="675">
        <v>13</v>
      </c>
      <c r="J61" s="675">
        <v>40</v>
      </c>
      <c r="K61" s="675">
        <v>18</v>
      </c>
      <c r="L61" s="675">
        <v>17</v>
      </c>
      <c r="M61" s="675">
        <v>15</v>
      </c>
      <c r="N61" s="675">
        <v>9</v>
      </c>
      <c r="O61" s="675">
        <v>11</v>
      </c>
      <c r="P61" s="675">
        <v>21</v>
      </c>
      <c r="Q61" s="675">
        <v>29</v>
      </c>
      <c r="R61" s="675">
        <v>14</v>
      </c>
      <c r="S61" s="675">
        <v>10</v>
      </c>
      <c r="T61" s="674">
        <f t="shared" si="17"/>
        <v>13</v>
      </c>
      <c r="U61" s="680">
        <f t="shared" si="18"/>
        <v>38</v>
      </c>
      <c r="V61" s="392">
        <f t="shared" si="19"/>
        <v>17</v>
      </c>
      <c r="W61" s="392">
        <f t="shared" si="20"/>
        <v>16</v>
      </c>
      <c r="X61" s="392">
        <f t="shared" si="21"/>
        <v>14</v>
      </c>
      <c r="Y61" s="392">
        <f t="shared" si="22"/>
        <v>9</v>
      </c>
      <c r="Z61" s="392">
        <f t="shared" si="23"/>
        <v>10</v>
      </c>
      <c r="AA61" s="680">
        <f t="shared" si="24"/>
        <v>20</v>
      </c>
      <c r="AB61" s="392">
        <f t="shared" si="25"/>
        <v>27</v>
      </c>
      <c r="AC61" s="392">
        <f t="shared" si="26"/>
        <v>14</v>
      </c>
      <c r="AD61" s="392">
        <f t="shared" si="27"/>
        <v>10</v>
      </c>
    </row>
    <row r="62" spans="1:30" x14ac:dyDescent="0.25">
      <c r="A62" s="94">
        <f t="shared" si="29"/>
        <v>1.1559999999999999</v>
      </c>
      <c r="B62" s="94">
        <f t="shared" si="29"/>
        <v>1.08</v>
      </c>
      <c r="C62" s="94">
        <f t="shared" si="29"/>
        <v>1.0144</v>
      </c>
      <c r="D62" s="94">
        <f t="shared" si="29"/>
        <v>1.1104000000000001</v>
      </c>
      <c r="E62" s="94">
        <f t="shared" si="29"/>
        <v>1.0244</v>
      </c>
      <c r="F62" s="699" t="s">
        <v>837</v>
      </c>
      <c r="G62" s="698">
        <v>0</v>
      </c>
      <c r="H62" s="97">
        <f t="shared" si="15"/>
        <v>182</v>
      </c>
      <c r="I62" s="675">
        <v>13</v>
      </c>
      <c r="J62" s="675">
        <v>18</v>
      </c>
      <c r="K62" s="675">
        <v>24</v>
      </c>
      <c r="L62" s="675">
        <v>22</v>
      </c>
      <c r="M62" s="675">
        <v>12</v>
      </c>
      <c r="N62" s="675">
        <v>11</v>
      </c>
      <c r="O62" s="675">
        <v>10</v>
      </c>
      <c r="P62" s="675">
        <v>20</v>
      </c>
      <c r="Q62" s="675">
        <v>27</v>
      </c>
      <c r="R62" s="675">
        <v>13</v>
      </c>
      <c r="S62" s="675">
        <v>12</v>
      </c>
      <c r="T62" s="674">
        <f t="shared" si="17"/>
        <v>10</v>
      </c>
      <c r="U62" s="680">
        <f t="shared" si="18"/>
        <v>13</v>
      </c>
      <c r="V62" s="392">
        <f t="shared" si="19"/>
        <v>18</v>
      </c>
      <c r="W62" s="392">
        <f t="shared" si="20"/>
        <v>16</v>
      </c>
      <c r="X62" s="392">
        <f t="shared" si="21"/>
        <v>9</v>
      </c>
      <c r="Y62" s="392">
        <f t="shared" si="22"/>
        <v>8</v>
      </c>
      <c r="Z62" s="392">
        <f t="shared" si="23"/>
        <v>8</v>
      </c>
      <c r="AA62" s="680">
        <f t="shared" si="24"/>
        <v>15</v>
      </c>
      <c r="AB62" s="392">
        <f t="shared" si="25"/>
        <v>20</v>
      </c>
      <c r="AC62" s="392">
        <f t="shared" si="26"/>
        <v>10</v>
      </c>
      <c r="AD62" s="392">
        <f t="shared" si="27"/>
        <v>9</v>
      </c>
    </row>
    <row r="63" spans="1:30" x14ac:dyDescent="0.25">
      <c r="A63" s="94">
        <f t="shared" si="29"/>
        <v>1.1559999999999999</v>
      </c>
      <c r="B63" s="94">
        <f t="shared" si="29"/>
        <v>1.08</v>
      </c>
      <c r="C63" s="94">
        <f t="shared" si="29"/>
        <v>1.0144</v>
      </c>
      <c r="D63" s="94">
        <f t="shared" si="29"/>
        <v>1.1104000000000001</v>
      </c>
      <c r="E63" s="94">
        <f t="shared" si="29"/>
        <v>1.0244</v>
      </c>
      <c r="F63" s="699" t="s">
        <v>847</v>
      </c>
      <c r="G63" s="698">
        <v>0</v>
      </c>
      <c r="H63" s="97">
        <f t="shared" si="15"/>
        <v>231</v>
      </c>
      <c r="I63" s="675">
        <v>14</v>
      </c>
      <c r="J63" s="675">
        <v>38</v>
      </c>
      <c r="K63" s="675">
        <v>18</v>
      </c>
      <c r="L63" s="675">
        <v>21</v>
      </c>
      <c r="M63" s="675">
        <v>21</v>
      </c>
      <c r="N63" s="675">
        <v>13</v>
      </c>
      <c r="O63" s="675">
        <v>11</v>
      </c>
      <c r="P63" s="675">
        <v>34</v>
      </c>
      <c r="Q63" s="675">
        <v>22</v>
      </c>
      <c r="R63" s="675">
        <v>29</v>
      </c>
      <c r="S63" s="675">
        <v>10</v>
      </c>
      <c r="T63" s="674">
        <f t="shared" si="17"/>
        <v>11</v>
      </c>
      <c r="U63" s="680">
        <f t="shared" si="18"/>
        <v>28</v>
      </c>
      <c r="V63" s="392">
        <f t="shared" si="19"/>
        <v>13</v>
      </c>
      <c r="W63" s="392">
        <f t="shared" si="20"/>
        <v>16</v>
      </c>
      <c r="X63" s="392">
        <f t="shared" si="21"/>
        <v>16</v>
      </c>
      <c r="Y63" s="392">
        <f t="shared" si="22"/>
        <v>10</v>
      </c>
      <c r="Z63" s="392">
        <f t="shared" si="23"/>
        <v>8</v>
      </c>
      <c r="AA63" s="680">
        <f t="shared" si="24"/>
        <v>25</v>
      </c>
      <c r="AB63" s="392">
        <f t="shared" si="25"/>
        <v>16</v>
      </c>
      <c r="AC63" s="392">
        <f t="shared" si="26"/>
        <v>21</v>
      </c>
      <c r="AD63" s="392">
        <f t="shared" si="27"/>
        <v>8</v>
      </c>
    </row>
    <row r="64" spans="1:30" x14ac:dyDescent="0.25">
      <c r="A64" s="94">
        <f t="shared" si="29"/>
        <v>1.1559999999999999</v>
      </c>
      <c r="B64" s="94">
        <f t="shared" si="29"/>
        <v>1.08</v>
      </c>
      <c r="C64" s="94">
        <f t="shared" si="29"/>
        <v>1.0144</v>
      </c>
      <c r="D64" s="94">
        <f t="shared" si="29"/>
        <v>1.1104000000000001</v>
      </c>
      <c r="E64" s="94">
        <f t="shared" si="29"/>
        <v>1.0244</v>
      </c>
      <c r="F64" s="699" t="s">
        <v>871</v>
      </c>
      <c r="G64" s="698">
        <v>40</v>
      </c>
      <c r="H64" s="97">
        <f t="shared" si="15"/>
        <v>278</v>
      </c>
      <c r="I64" s="675">
        <v>23</v>
      </c>
      <c r="J64" s="675">
        <v>78</v>
      </c>
      <c r="K64" s="675">
        <v>11</v>
      </c>
      <c r="L64" s="675">
        <v>12</v>
      </c>
      <c r="M64" s="675">
        <v>28</v>
      </c>
      <c r="N64" s="675">
        <v>12</v>
      </c>
      <c r="O64" s="675">
        <v>14</v>
      </c>
      <c r="P64" s="675">
        <v>20</v>
      </c>
      <c r="Q64" s="675">
        <v>18</v>
      </c>
      <c r="R64" s="675">
        <v>47</v>
      </c>
      <c r="S64" s="675">
        <v>15</v>
      </c>
      <c r="T64" s="674">
        <f t="shared" si="17"/>
        <v>21</v>
      </c>
      <c r="U64" s="680">
        <f t="shared" si="18"/>
        <v>70</v>
      </c>
      <c r="V64" s="392">
        <f t="shared" si="19"/>
        <v>10</v>
      </c>
      <c r="W64" s="392">
        <f t="shared" si="20"/>
        <v>11</v>
      </c>
      <c r="X64" s="392">
        <f t="shared" si="21"/>
        <v>25</v>
      </c>
      <c r="Y64" s="392">
        <f t="shared" si="22"/>
        <v>11</v>
      </c>
      <c r="Z64" s="392">
        <f t="shared" si="23"/>
        <v>13</v>
      </c>
      <c r="AA64" s="680">
        <f t="shared" si="24"/>
        <v>18</v>
      </c>
      <c r="AB64" s="392">
        <f t="shared" si="25"/>
        <v>16</v>
      </c>
      <c r="AC64" s="392">
        <f t="shared" si="26"/>
        <v>42</v>
      </c>
      <c r="AD64" s="392">
        <f t="shared" si="27"/>
        <v>14</v>
      </c>
    </row>
    <row r="65" spans="1:38" x14ac:dyDescent="0.25">
      <c r="A65" s="94">
        <f t="shared" si="29"/>
        <v>1.1559999999999999</v>
      </c>
      <c r="B65" s="94">
        <f t="shared" si="29"/>
        <v>1.08</v>
      </c>
      <c r="C65" s="94">
        <f t="shared" si="29"/>
        <v>1.0144</v>
      </c>
      <c r="D65" s="94">
        <f t="shared" si="29"/>
        <v>1.1104000000000001</v>
      </c>
      <c r="E65" s="94">
        <f t="shared" si="29"/>
        <v>1.0244</v>
      </c>
      <c r="F65" s="699" t="s">
        <v>873</v>
      </c>
      <c r="G65" s="698">
        <v>40</v>
      </c>
      <c r="H65" s="97">
        <f t="shared" ref="H65" si="30">SUM(I65:S65)</f>
        <v>217</v>
      </c>
      <c r="I65" s="675">
        <v>21</v>
      </c>
      <c r="J65" s="675">
        <v>35</v>
      </c>
      <c r="K65" s="675">
        <v>20</v>
      </c>
      <c r="L65" s="675">
        <v>22</v>
      </c>
      <c r="M65" s="675">
        <v>15</v>
      </c>
      <c r="N65" s="675">
        <v>13</v>
      </c>
      <c r="O65" s="675">
        <v>19</v>
      </c>
      <c r="P65" s="675">
        <v>21</v>
      </c>
      <c r="Q65" s="675">
        <v>25</v>
      </c>
      <c r="R65" s="675">
        <v>14</v>
      </c>
      <c r="S65" s="675">
        <v>12</v>
      </c>
      <c r="T65" s="674">
        <f t="shared" ref="T65" si="31">ROUNDUP(I65*$C65*(1+$G65*T$3)/($A65*$B65*$D65*$E65),0)</f>
        <v>19</v>
      </c>
      <c r="U65" s="680">
        <f t="shared" ref="U65" si="32">ROUNDUP(J65*$C65*(1+$G65*U$3)/($A65*$B65*$D65*$E65),0)</f>
        <v>32</v>
      </c>
      <c r="V65" s="392">
        <f t="shared" ref="V65" si="33">ROUNDUP(K65*$C65*(1+$G65*V$3)/($A65*$B65*$D65*$E65),0)</f>
        <v>18</v>
      </c>
      <c r="W65" s="392">
        <f t="shared" ref="W65" si="34">ROUNDUP(L65*$C65*(1+$G65*W$3)/($A65*$B65*$D65*$E65),0)</f>
        <v>19</v>
      </c>
      <c r="X65" s="392">
        <f t="shared" ref="X65" si="35">ROUNDUP(M65*$C65*(1+$G65*X$3)/($A65*$B65*$D65*$E65),0)</f>
        <v>13</v>
      </c>
      <c r="Y65" s="392">
        <f t="shared" ref="Y65" si="36">ROUNDUP(N65*$C65*(1+$G65*Y$3)/($A65*$B65*$D65*$E65),0)</f>
        <v>12</v>
      </c>
      <c r="Z65" s="392">
        <f t="shared" ref="Z65" si="37">ROUNDUP(O65*$C65*(1+$G65*Z$3)/($A65*$B65*$D65*$E65),0)</f>
        <v>17</v>
      </c>
      <c r="AA65" s="680">
        <f t="shared" ref="AA65" si="38">ROUNDUP(P65*$C65*(1+$G65*AA$3)/($A65*$B65*$D65*$E65),0)</f>
        <v>19</v>
      </c>
      <c r="AB65" s="392">
        <f t="shared" ref="AB65" si="39">ROUNDUP(Q65*$C65*(1+$G65*AB$3)/($A65*$B65*$D65*$E65),0)</f>
        <v>23</v>
      </c>
      <c r="AC65" s="392">
        <f t="shared" ref="AC65" si="40">ROUNDUP(R65*$C65*(1+$G65*AC$3)/($A65*$B65*$D65*$E65),0)</f>
        <v>13</v>
      </c>
      <c r="AD65" s="392">
        <f t="shared" ref="AD65" si="41">ROUNDUP(S65*$C65*(1+$G65*AD$3)/($A65*$B65*$D65*$E65),0)</f>
        <v>11</v>
      </c>
    </row>
    <row r="66" spans="1:38" x14ac:dyDescent="0.25">
      <c r="A66" s="94">
        <f t="shared" si="29"/>
        <v>1.1559999999999999</v>
      </c>
      <c r="B66" s="94">
        <f t="shared" si="29"/>
        <v>1.08</v>
      </c>
      <c r="C66" s="94">
        <f t="shared" si="29"/>
        <v>1.0144</v>
      </c>
      <c r="D66" s="94">
        <f t="shared" si="29"/>
        <v>1.1104000000000001</v>
      </c>
      <c r="E66" s="94">
        <f t="shared" si="29"/>
        <v>1.0244</v>
      </c>
      <c r="F66" s="768" t="s">
        <v>878</v>
      </c>
      <c r="G66" s="769">
        <v>0</v>
      </c>
      <c r="H66" s="96"/>
      <c r="I66" s="770">
        <v>21</v>
      </c>
      <c r="J66" s="770">
        <v>23</v>
      </c>
      <c r="K66" s="770">
        <v>15</v>
      </c>
      <c r="L66" s="770">
        <v>15</v>
      </c>
      <c r="M66" s="770">
        <v>14</v>
      </c>
      <c r="N66" s="770">
        <v>7</v>
      </c>
      <c r="O66" s="770">
        <v>17</v>
      </c>
      <c r="P66" s="770">
        <v>20</v>
      </c>
      <c r="Q66" s="770">
        <v>23</v>
      </c>
      <c r="R66" s="770">
        <v>11</v>
      </c>
      <c r="S66" s="770">
        <v>10</v>
      </c>
      <c r="T66" s="674">
        <f t="shared" ref="T66" si="42">ROUNDUP(I66*$C66*(1+$G66*T$3)/($A66*$B66*$D66*$E66),0)</f>
        <v>16</v>
      </c>
      <c r="U66" s="680">
        <f t="shared" ref="U66" si="43">ROUNDUP(J66*$C66*(1+$G66*U$3)/($A66*$B66*$D66*$E66),0)</f>
        <v>17</v>
      </c>
      <c r="V66" s="392">
        <f t="shared" ref="V66" si="44">ROUNDUP(K66*$C66*(1+$G66*V$3)/($A66*$B66*$D66*$E66),0)</f>
        <v>11</v>
      </c>
      <c r="W66" s="392">
        <f t="shared" ref="W66" si="45">ROUNDUP(L66*$C66*(1+$G66*W$3)/($A66*$B66*$D66*$E66),0)</f>
        <v>11</v>
      </c>
      <c r="X66" s="392">
        <f t="shared" ref="X66" si="46">ROUNDUP(M66*$C66*(1+$G66*X$3)/($A66*$B66*$D66*$E66),0)</f>
        <v>11</v>
      </c>
      <c r="Y66" s="392">
        <f t="shared" ref="Y66" si="47">ROUNDUP(N66*$C66*(1+$G66*Y$3)/($A66*$B66*$D66*$E66),0)</f>
        <v>6</v>
      </c>
      <c r="Z66" s="392">
        <f t="shared" ref="Z66" si="48">ROUNDUP(O66*$C66*(1+$G66*Z$3)/($A66*$B66*$D66*$E66),0)</f>
        <v>13</v>
      </c>
      <c r="AA66" s="680">
        <f t="shared" ref="AA66" si="49">ROUNDUP(P66*$C66*(1+$G66*AA$3)/($A66*$B66*$D66*$E66),0)</f>
        <v>15</v>
      </c>
      <c r="AB66" s="392">
        <f t="shared" ref="AB66" si="50">ROUNDUP(Q66*$C66*(1+$G66*AB$3)/($A66*$B66*$D66*$E66),0)</f>
        <v>17</v>
      </c>
      <c r="AC66" s="392">
        <f t="shared" ref="AC66" si="51">ROUNDUP(R66*$C66*(1+$G66*AC$3)/($A66*$B66*$D66*$E66),0)</f>
        <v>8</v>
      </c>
      <c r="AD66" s="392">
        <f t="shared" ref="AD66" si="52">ROUNDUP(S66*$C66*(1+$G66*AD$3)/($A66*$B66*$D66*$E66),0)</f>
        <v>8</v>
      </c>
    </row>
    <row r="67" spans="1:38" x14ac:dyDescent="0.25">
      <c r="C67" s="96"/>
      <c r="D67" s="96"/>
      <c r="E67" s="96"/>
      <c r="F67" s="96"/>
      <c r="G67" s="96"/>
      <c r="T67" s="96"/>
      <c r="U67" s="96"/>
      <c r="V67" s="96"/>
      <c r="W67" s="96"/>
      <c r="X67" s="96"/>
      <c r="Z67" s="96"/>
      <c r="AA67" s="96"/>
      <c r="AB67" s="96" t="s">
        <v>299</v>
      </c>
      <c r="AC67" s="96" t="s">
        <v>2</v>
      </c>
      <c r="AD67" s="96" t="s">
        <v>0</v>
      </c>
      <c r="AE67" s="683" t="s">
        <v>1</v>
      </c>
      <c r="AF67" s="683" t="s">
        <v>298</v>
      </c>
      <c r="AG67" s="683" t="s">
        <v>297</v>
      </c>
      <c r="AH67" s="683" t="s">
        <v>296</v>
      </c>
      <c r="AI67" s="683" t="s">
        <v>295</v>
      </c>
      <c r="AJ67" s="683" t="s">
        <v>3</v>
      </c>
      <c r="AK67" s="683" t="s">
        <v>5</v>
      </c>
      <c r="AL67" s="683" t="s">
        <v>294</v>
      </c>
    </row>
    <row r="68" spans="1:38" x14ac:dyDescent="0.25">
      <c r="C68" s="96"/>
      <c r="D68" s="96"/>
      <c r="E68" s="96"/>
      <c r="F68" s="96"/>
      <c r="G68" s="96"/>
      <c r="T68" s="96"/>
      <c r="U68" s="96"/>
      <c r="V68" s="96"/>
      <c r="W68" s="96"/>
      <c r="X68" s="96"/>
      <c r="Z68" s="94" t="str">
        <f t="shared" ref="Z68:Z115" si="53">F4</f>
        <v>Interlagos</v>
      </c>
      <c r="AA68" s="94">
        <v>1</v>
      </c>
      <c r="AB68" s="96">
        <f t="shared" ref="AB68:AB115" si="54">T4</f>
        <v>26</v>
      </c>
      <c r="AC68" s="96">
        <f t="shared" ref="AC68:AC115" si="55">U4</f>
        <v>36</v>
      </c>
      <c r="AD68" s="96">
        <f t="shared" ref="AD68:AD115" si="56">V4</f>
        <v>20</v>
      </c>
      <c r="AE68" s="96">
        <f t="shared" ref="AE68:AE115" si="57">W4</f>
        <v>16</v>
      </c>
      <c r="AF68" s="96">
        <f t="shared" ref="AF68:AF115" si="58">X4</f>
        <v>30</v>
      </c>
      <c r="AG68" s="96">
        <f t="shared" ref="AG68:AG115" si="59">Y4</f>
        <v>15</v>
      </c>
      <c r="AH68" s="96">
        <f t="shared" ref="AH68:AH115" si="60">Z4</f>
        <v>14</v>
      </c>
      <c r="AI68" s="96">
        <f t="shared" ref="AI68:AI115" si="61">AA4</f>
        <v>22</v>
      </c>
      <c r="AJ68" s="96">
        <f t="shared" ref="AJ68:AJ115" si="62">AB4</f>
        <v>38</v>
      </c>
      <c r="AK68" s="96">
        <f t="shared" ref="AK68:AK115" si="63">AC4</f>
        <v>27</v>
      </c>
      <c r="AL68" s="96">
        <f t="shared" ref="AL68:AL115" si="64">AD4</f>
        <v>14</v>
      </c>
    </row>
    <row r="69" spans="1:38" x14ac:dyDescent="0.25">
      <c r="C69" s="96"/>
      <c r="D69" s="96"/>
      <c r="E69" s="96"/>
      <c r="F69" s="96"/>
      <c r="G69" s="96"/>
      <c r="T69" s="96"/>
      <c r="U69" s="96"/>
      <c r="V69" s="96"/>
      <c r="W69" s="96"/>
      <c r="X69" s="96"/>
      <c r="Z69" s="94" t="str">
        <f t="shared" si="53"/>
        <v>Buenos Aires</v>
      </c>
      <c r="AA69" s="94">
        <f t="shared" ref="AA69:AA115" si="65">AA68+1</f>
        <v>2</v>
      </c>
      <c r="AB69" s="96">
        <f t="shared" si="54"/>
        <v>20</v>
      </c>
      <c r="AC69" s="96">
        <f t="shared" si="55"/>
        <v>35</v>
      </c>
      <c r="AD69" s="96">
        <f t="shared" si="56"/>
        <v>15</v>
      </c>
      <c r="AE69" s="96">
        <f t="shared" si="57"/>
        <v>19</v>
      </c>
      <c r="AF69" s="96">
        <f t="shared" si="58"/>
        <v>14</v>
      </c>
      <c r="AG69" s="96">
        <f t="shared" si="59"/>
        <v>12</v>
      </c>
      <c r="AH69" s="96">
        <f t="shared" si="60"/>
        <v>17</v>
      </c>
      <c r="AI69" s="96">
        <f t="shared" si="61"/>
        <v>37</v>
      </c>
      <c r="AJ69" s="96">
        <f t="shared" si="62"/>
        <v>46</v>
      </c>
      <c r="AK69" s="96">
        <f t="shared" si="63"/>
        <v>33</v>
      </c>
      <c r="AL69" s="96">
        <f t="shared" si="64"/>
        <v>14</v>
      </c>
    </row>
    <row r="70" spans="1:38" x14ac:dyDescent="0.25">
      <c r="C70" s="96"/>
      <c r="D70" s="96"/>
      <c r="E70" s="96"/>
      <c r="F70" s="96"/>
      <c r="G70" s="96"/>
      <c r="T70" s="96"/>
      <c r="U70" s="96"/>
      <c r="V70" s="96"/>
      <c r="W70" s="96"/>
      <c r="X70" s="96"/>
      <c r="Z70" s="94" t="str">
        <f t="shared" si="53"/>
        <v>Imola</v>
      </c>
      <c r="AA70" s="94">
        <f t="shared" si="65"/>
        <v>3</v>
      </c>
      <c r="AB70" s="96">
        <f t="shared" si="54"/>
        <v>12</v>
      </c>
      <c r="AC70" s="96">
        <f t="shared" si="55"/>
        <v>22</v>
      </c>
      <c r="AD70" s="96">
        <f t="shared" si="56"/>
        <v>21</v>
      </c>
      <c r="AE70" s="96">
        <f t="shared" si="57"/>
        <v>23</v>
      </c>
      <c r="AF70" s="96">
        <f t="shared" si="58"/>
        <v>18</v>
      </c>
      <c r="AG70" s="96">
        <f t="shared" si="59"/>
        <v>9</v>
      </c>
      <c r="AH70" s="96">
        <f t="shared" si="60"/>
        <v>11</v>
      </c>
      <c r="AI70" s="96">
        <f t="shared" si="61"/>
        <v>21</v>
      </c>
      <c r="AJ70" s="96">
        <f t="shared" si="62"/>
        <v>25</v>
      </c>
      <c r="AK70" s="96">
        <f t="shared" si="63"/>
        <v>21</v>
      </c>
      <c r="AL70" s="96">
        <f t="shared" si="64"/>
        <v>10</v>
      </c>
    </row>
    <row r="71" spans="1:38" x14ac:dyDescent="0.25">
      <c r="C71" s="96"/>
      <c r="D71" s="96"/>
      <c r="E71" s="96" t="s">
        <v>875</v>
      </c>
      <c r="F71" s="96"/>
      <c r="G71" s="96"/>
      <c r="T71" s="96"/>
      <c r="U71" s="96"/>
      <c r="V71" s="96"/>
      <c r="W71" s="96"/>
      <c r="X71" s="96"/>
      <c r="Z71" s="94" t="str">
        <f t="shared" si="53"/>
        <v>Monte Carlo</v>
      </c>
      <c r="AA71" s="94">
        <f t="shared" si="65"/>
        <v>4</v>
      </c>
      <c r="AB71" s="96">
        <f t="shared" si="54"/>
        <v>8</v>
      </c>
      <c r="AC71" s="96">
        <f t="shared" si="55"/>
        <v>10</v>
      </c>
      <c r="AD71" s="96">
        <f t="shared" si="56"/>
        <v>30</v>
      </c>
      <c r="AE71" s="96">
        <f t="shared" si="57"/>
        <v>30</v>
      </c>
      <c r="AF71" s="96">
        <f t="shared" si="58"/>
        <v>16</v>
      </c>
      <c r="AG71" s="96">
        <f t="shared" si="59"/>
        <v>6</v>
      </c>
      <c r="AH71" s="96">
        <f t="shared" si="60"/>
        <v>8</v>
      </c>
      <c r="AI71" s="96">
        <f t="shared" si="61"/>
        <v>16</v>
      </c>
      <c r="AJ71" s="96">
        <f t="shared" si="62"/>
        <v>26</v>
      </c>
      <c r="AK71" s="96">
        <f t="shared" si="63"/>
        <v>21</v>
      </c>
      <c r="AL71" s="96">
        <f t="shared" si="64"/>
        <v>7</v>
      </c>
    </row>
    <row r="72" spans="1:38" x14ac:dyDescent="0.25">
      <c r="C72" s="96"/>
      <c r="D72" s="96" t="s">
        <v>32</v>
      </c>
      <c r="E72" s="96" t="s">
        <v>876</v>
      </c>
      <c r="F72" s="96"/>
      <c r="G72" s="96"/>
      <c r="T72" s="96"/>
      <c r="U72" s="96"/>
      <c r="V72" s="96"/>
      <c r="W72" s="96"/>
      <c r="X72" s="96"/>
      <c r="Z72" s="94" t="str">
        <f t="shared" si="53"/>
        <v>Barcelona</v>
      </c>
      <c r="AA72" s="94">
        <f t="shared" si="65"/>
        <v>5</v>
      </c>
      <c r="AB72" s="96">
        <f t="shared" si="54"/>
        <v>18</v>
      </c>
      <c r="AC72" s="96">
        <f t="shared" si="55"/>
        <v>39</v>
      </c>
      <c r="AD72" s="96">
        <f t="shared" si="56"/>
        <v>29</v>
      </c>
      <c r="AE72" s="96">
        <f t="shared" si="57"/>
        <v>33</v>
      </c>
      <c r="AF72" s="96">
        <f t="shared" si="58"/>
        <v>21</v>
      </c>
      <c r="AG72" s="96">
        <f t="shared" si="59"/>
        <v>16</v>
      </c>
      <c r="AH72" s="96">
        <f t="shared" si="60"/>
        <v>15</v>
      </c>
      <c r="AI72" s="96">
        <f t="shared" si="61"/>
        <v>24</v>
      </c>
      <c r="AJ72" s="96">
        <f t="shared" si="62"/>
        <v>35</v>
      </c>
      <c r="AK72" s="96">
        <f t="shared" si="63"/>
        <v>28</v>
      </c>
      <c r="AL72" s="96">
        <f t="shared" si="64"/>
        <v>14</v>
      </c>
    </row>
    <row r="73" spans="1:38" x14ac:dyDescent="0.25">
      <c r="C73" s="96"/>
      <c r="D73" s="96"/>
      <c r="E73" s="96"/>
      <c r="F73" s="96"/>
      <c r="G73" s="96"/>
      <c r="T73" s="96"/>
      <c r="U73" s="96"/>
      <c r="V73" s="96"/>
      <c r="W73" s="96"/>
      <c r="X73" s="96"/>
      <c r="Z73" s="94" t="str">
        <f t="shared" si="53"/>
        <v>Montreal</v>
      </c>
      <c r="AA73" s="94">
        <f t="shared" si="65"/>
        <v>6</v>
      </c>
      <c r="AB73" s="96">
        <f t="shared" si="54"/>
        <v>17</v>
      </c>
      <c r="AC73" s="96">
        <f t="shared" si="55"/>
        <v>31</v>
      </c>
      <c r="AD73" s="96">
        <f t="shared" si="56"/>
        <v>17</v>
      </c>
      <c r="AE73" s="96">
        <f t="shared" si="57"/>
        <v>11</v>
      </c>
      <c r="AF73" s="96">
        <f t="shared" si="58"/>
        <v>16</v>
      </c>
      <c r="AG73" s="96">
        <f t="shared" si="59"/>
        <v>12</v>
      </c>
      <c r="AH73" s="96">
        <f t="shared" si="60"/>
        <v>9</v>
      </c>
      <c r="AI73" s="96">
        <f t="shared" si="61"/>
        <v>25</v>
      </c>
      <c r="AJ73" s="96">
        <f t="shared" si="62"/>
        <v>33</v>
      </c>
      <c r="AK73" s="96">
        <f t="shared" si="63"/>
        <v>29</v>
      </c>
      <c r="AL73" s="96">
        <f t="shared" si="64"/>
        <v>9</v>
      </c>
    </row>
    <row r="74" spans="1:38" x14ac:dyDescent="0.25">
      <c r="C74" s="96"/>
      <c r="D74" s="96"/>
      <c r="E74" s="96"/>
      <c r="F74" s="96"/>
      <c r="G74" s="96"/>
      <c r="T74" s="96"/>
      <c r="U74" s="96"/>
      <c r="V74" s="96"/>
      <c r="W74" s="96"/>
      <c r="X74" s="96"/>
      <c r="Z74" s="94" t="str">
        <f t="shared" si="53"/>
        <v>Magny Cours</v>
      </c>
      <c r="AA74" s="94">
        <f t="shared" si="65"/>
        <v>7</v>
      </c>
      <c r="AB74" s="96">
        <f t="shared" si="54"/>
        <v>15</v>
      </c>
      <c r="AC74" s="96">
        <f t="shared" si="55"/>
        <v>29</v>
      </c>
      <c r="AD74" s="96">
        <f t="shared" si="56"/>
        <v>18</v>
      </c>
      <c r="AE74" s="96">
        <f t="shared" si="57"/>
        <v>16</v>
      </c>
      <c r="AF74" s="96">
        <f t="shared" si="58"/>
        <v>17</v>
      </c>
      <c r="AG74" s="96">
        <f t="shared" si="59"/>
        <v>12</v>
      </c>
      <c r="AH74" s="96">
        <f t="shared" si="60"/>
        <v>13</v>
      </c>
      <c r="AI74" s="96">
        <f t="shared" si="61"/>
        <v>24</v>
      </c>
      <c r="AJ74" s="96">
        <f t="shared" si="62"/>
        <v>32</v>
      </c>
      <c r="AK74" s="96">
        <f t="shared" si="63"/>
        <v>25</v>
      </c>
      <c r="AL74" s="96">
        <f t="shared" si="64"/>
        <v>8</v>
      </c>
    </row>
    <row r="75" spans="1:38" x14ac:dyDescent="0.25">
      <c r="C75" s="96"/>
      <c r="D75" s="96"/>
      <c r="E75" s="96"/>
      <c r="F75" s="96"/>
      <c r="G75" s="96"/>
      <c r="T75" s="96"/>
      <c r="U75" s="96"/>
      <c r="V75" s="96"/>
      <c r="W75" s="96"/>
      <c r="X75" s="96"/>
      <c r="Z75" s="94" t="str">
        <f t="shared" si="53"/>
        <v>Silverstone</v>
      </c>
      <c r="AA75" s="94">
        <f t="shared" si="65"/>
        <v>8</v>
      </c>
      <c r="AB75" s="96">
        <f t="shared" si="54"/>
        <v>17</v>
      </c>
      <c r="AC75" s="96">
        <f t="shared" si="55"/>
        <v>36</v>
      </c>
      <c r="AD75" s="96">
        <f t="shared" si="56"/>
        <v>14</v>
      </c>
      <c r="AE75" s="96">
        <f t="shared" si="57"/>
        <v>17</v>
      </c>
      <c r="AF75" s="96">
        <f t="shared" si="58"/>
        <v>19</v>
      </c>
      <c r="AG75" s="96">
        <f t="shared" si="59"/>
        <v>11</v>
      </c>
      <c r="AH75" s="96">
        <f t="shared" si="60"/>
        <v>11</v>
      </c>
      <c r="AI75" s="96">
        <f t="shared" si="61"/>
        <v>25</v>
      </c>
      <c r="AJ75" s="96">
        <f t="shared" si="62"/>
        <v>18</v>
      </c>
      <c r="AK75" s="96">
        <f t="shared" si="63"/>
        <v>15</v>
      </c>
      <c r="AL75" s="96">
        <f t="shared" si="64"/>
        <v>8</v>
      </c>
    </row>
    <row r="76" spans="1:38" x14ac:dyDescent="0.25">
      <c r="C76" s="96"/>
      <c r="D76" s="96"/>
      <c r="E76" s="96"/>
      <c r="F76" s="96"/>
      <c r="G76" s="96"/>
      <c r="T76" s="96"/>
      <c r="U76" s="96"/>
      <c r="V76" s="96"/>
      <c r="W76" s="96"/>
      <c r="X76" s="96"/>
      <c r="Z76" s="94" t="str">
        <f t="shared" si="53"/>
        <v>Hungaroring</v>
      </c>
      <c r="AA76" s="94">
        <f t="shared" si="65"/>
        <v>9</v>
      </c>
      <c r="AB76" s="96">
        <f t="shared" si="54"/>
        <v>15</v>
      </c>
      <c r="AC76" s="96">
        <f t="shared" si="55"/>
        <v>21</v>
      </c>
      <c r="AD76" s="96">
        <f t="shared" si="56"/>
        <v>45</v>
      </c>
      <c r="AE76" s="96">
        <f t="shared" si="57"/>
        <v>41</v>
      </c>
      <c r="AF76" s="96">
        <f t="shared" si="58"/>
        <v>21</v>
      </c>
      <c r="AG76" s="96">
        <f t="shared" si="59"/>
        <v>11</v>
      </c>
      <c r="AH76" s="96">
        <f t="shared" si="60"/>
        <v>9</v>
      </c>
      <c r="AI76" s="96">
        <f t="shared" si="61"/>
        <v>29</v>
      </c>
      <c r="AJ76" s="96">
        <f t="shared" si="62"/>
        <v>20</v>
      </c>
      <c r="AK76" s="96">
        <f t="shared" si="63"/>
        <v>31</v>
      </c>
      <c r="AL76" s="96">
        <f t="shared" si="64"/>
        <v>8</v>
      </c>
    </row>
    <row r="77" spans="1:38" x14ac:dyDescent="0.25">
      <c r="C77" s="96"/>
      <c r="D77" s="96"/>
      <c r="E77" s="96"/>
      <c r="F77" s="96"/>
      <c r="G77" s="96"/>
      <c r="T77" s="96"/>
      <c r="U77" s="96"/>
      <c r="V77" s="96"/>
      <c r="W77" s="96"/>
      <c r="X77" s="96"/>
      <c r="Z77" s="94" t="str">
        <f t="shared" si="53"/>
        <v>Spa</v>
      </c>
      <c r="AA77" s="94">
        <f t="shared" si="65"/>
        <v>10</v>
      </c>
      <c r="AB77" s="96">
        <f t="shared" si="54"/>
        <v>19</v>
      </c>
      <c r="AC77" s="96">
        <f t="shared" si="55"/>
        <v>35</v>
      </c>
      <c r="AD77" s="96">
        <f t="shared" si="56"/>
        <v>19</v>
      </c>
      <c r="AE77" s="96">
        <f t="shared" si="57"/>
        <v>21</v>
      </c>
      <c r="AF77" s="96">
        <f t="shared" si="58"/>
        <v>21</v>
      </c>
      <c r="AG77" s="96">
        <f t="shared" si="59"/>
        <v>13</v>
      </c>
      <c r="AH77" s="96">
        <f t="shared" si="60"/>
        <v>11</v>
      </c>
      <c r="AI77" s="96">
        <f t="shared" si="61"/>
        <v>27</v>
      </c>
      <c r="AJ77" s="96">
        <f t="shared" si="62"/>
        <v>30</v>
      </c>
      <c r="AK77" s="96">
        <f t="shared" si="63"/>
        <v>34</v>
      </c>
      <c r="AL77" s="96">
        <f t="shared" si="64"/>
        <v>11</v>
      </c>
    </row>
    <row r="78" spans="1:38" x14ac:dyDescent="0.25">
      <c r="C78" s="96"/>
      <c r="D78" s="96"/>
      <c r="E78" s="96"/>
      <c r="F78" s="96"/>
      <c r="G78" s="96"/>
      <c r="T78" s="96"/>
      <c r="U78" s="96"/>
      <c r="V78" s="96"/>
      <c r="W78" s="96"/>
      <c r="X78" s="96"/>
      <c r="Z78" s="94" t="str">
        <f t="shared" si="53"/>
        <v>Monza</v>
      </c>
      <c r="AA78" s="94">
        <f t="shared" si="65"/>
        <v>11</v>
      </c>
      <c r="AB78" s="96">
        <f t="shared" si="54"/>
        <v>19</v>
      </c>
      <c r="AC78" s="96">
        <f t="shared" si="55"/>
        <v>36</v>
      </c>
      <c r="AD78" s="96">
        <f t="shared" si="56"/>
        <v>12</v>
      </c>
      <c r="AE78" s="96">
        <f t="shared" si="57"/>
        <v>10</v>
      </c>
      <c r="AF78" s="96">
        <f t="shared" si="58"/>
        <v>17</v>
      </c>
      <c r="AG78" s="96">
        <f t="shared" si="59"/>
        <v>15</v>
      </c>
      <c r="AH78" s="96">
        <f t="shared" si="60"/>
        <v>11</v>
      </c>
      <c r="AI78" s="96">
        <f t="shared" si="61"/>
        <v>27</v>
      </c>
      <c r="AJ78" s="96">
        <f t="shared" si="62"/>
        <v>33</v>
      </c>
      <c r="AK78" s="96">
        <f t="shared" si="63"/>
        <v>19</v>
      </c>
      <c r="AL78" s="96">
        <f t="shared" si="64"/>
        <v>13</v>
      </c>
    </row>
    <row r="79" spans="1:38" x14ac:dyDescent="0.25">
      <c r="C79" s="96"/>
      <c r="D79" s="96"/>
      <c r="E79" s="96"/>
      <c r="F79" s="96"/>
      <c r="G79" s="96"/>
      <c r="T79" s="96"/>
      <c r="U79" s="96"/>
      <c r="V79" s="96"/>
      <c r="W79" s="96"/>
      <c r="X79" s="96"/>
      <c r="Z79" s="94" t="str">
        <f t="shared" si="53"/>
        <v>A1-Ring</v>
      </c>
      <c r="AA79" s="94">
        <f t="shared" si="65"/>
        <v>12</v>
      </c>
      <c r="AB79" s="96">
        <f t="shared" si="54"/>
        <v>15</v>
      </c>
      <c r="AC79" s="96">
        <f t="shared" si="55"/>
        <v>27</v>
      </c>
      <c r="AD79" s="96">
        <f t="shared" si="56"/>
        <v>11</v>
      </c>
      <c r="AE79" s="96">
        <f t="shared" si="57"/>
        <v>11</v>
      </c>
      <c r="AF79" s="96">
        <f t="shared" si="58"/>
        <v>11</v>
      </c>
      <c r="AG79" s="96">
        <f t="shared" si="59"/>
        <v>13</v>
      </c>
      <c r="AH79" s="96">
        <f t="shared" si="60"/>
        <v>10</v>
      </c>
      <c r="AI79" s="96">
        <f t="shared" si="61"/>
        <v>19</v>
      </c>
      <c r="AJ79" s="96">
        <f t="shared" si="62"/>
        <v>23</v>
      </c>
      <c r="AK79" s="96">
        <f t="shared" si="63"/>
        <v>14</v>
      </c>
      <c r="AL79" s="96">
        <f t="shared" si="64"/>
        <v>11</v>
      </c>
    </row>
    <row r="80" spans="1:38" x14ac:dyDescent="0.25">
      <c r="C80" s="96"/>
      <c r="D80" s="96"/>
      <c r="E80" s="96"/>
      <c r="F80" s="96"/>
      <c r="G80" s="96"/>
      <c r="T80" s="96"/>
      <c r="U80" s="96"/>
      <c r="V80" s="96"/>
      <c r="W80" s="96"/>
      <c r="X80" s="96"/>
      <c r="Z80" s="94" t="str">
        <f t="shared" si="53"/>
        <v>Suzuka</v>
      </c>
      <c r="AA80" s="94">
        <f t="shared" si="65"/>
        <v>13</v>
      </c>
      <c r="AB80" s="96">
        <f t="shared" si="54"/>
        <v>12</v>
      </c>
      <c r="AC80" s="96">
        <f t="shared" si="55"/>
        <v>22</v>
      </c>
      <c r="AD80" s="96">
        <f t="shared" si="56"/>
        <v>15</v>
      </c>
      <c r="AE80" s="96">
        <f t="shared" si="57"/>
        <v>19</v>
      </c>
      <c r="AF80" s="96">
        <f t="shared" si="58"/>
        <v>15</v>
      </c>
      <c r="AG80" s="96">
        <f t="shared" si="59"/>
        <v>11</v>
      </c>
      <c r="AH80" s="96">
        <f t="shared" si="60"/>
        <v>10</v>
      </c>
      <c r="AI80" s="96">
        <f t="shared" si="61"/>
        <v>25</v>
      </c>
      <c r="AJ80" s="96">
        <f t="shared" si="62"/>
        <v>19</v>
      </c>
      <c r="AK80" s="96">
        <f t="shared" si="63"/>
        <v>21</v>
      </c>
      <c r="AL80" s="96">
        <f t="shared" si="64"/>
        <v>11</v>
      </c>
    </row>
    <row r="81" spans="3:38" x14ac:dyDescent="0.25">
      <c r="C81" s="96"/>
      <c r="D81" s="96"/>
      <c r="E81" s="96"/>
      <c r="F81" s="96"/>
      <c r="G81" s="96"/>
      <c r="T81" s="96"/>
      <c r="U81" s="96"/>
      <c r="V81" s="96"/>
      <c r="W81" s="96"/>
      <c r="X81" s="96"/>
      <c r="Z81" s="94" t="str">
        <f t="shared" si="53"/>
        <v>Jerez</v>
      </c>
      <c r="AA81" s="94">
        <f t="shared" si="65"/>
        <v>14</v>
      </c>
      <c r="AB81" s="96">
        <f t="shared" si="54"/>
        <v>24</v>
      </c>
      <c r="AC81" s="96">
        <f t="shared" si="55"/>
        <v>37</v>
      </c>
      <c r="AD81" s="96">
        <f t="shared" si="56"/>
        <v>24</v>
      </c>
      <c r="AE81" s="96">
        <f t="shared" si="57"/>
        <v>26</v>
      </c>
      <c r="AF81" s="96">
        <f t="shared" si="58"/>
        <v>22</v>
      </c>
      <c r="AG81" s="96">
        <f t="shared" si="59"/>
        <v>19</v>
      </c>
      <c r="AH81" s="96">
        <f t="shared" si="60"/>
        <v>13</v>
      </c>
      <c r="AI81" s="96">
        <f t="shared" si="61"/>
        <v>21</v>
      </c>
      <c r="AJ81" s="96">
        <f t="shared" si="62"/>
        <v>33</v>
      </c>
      <c r="AK81" s="96">
        <f t="shared" si="63"/>
        <v>31</v>
      </c>
      <c r="AL81" s="96">
        <f t="shared" si="64"/>
        <v>15</v>
      </c>
    </row>
    <row r="82" spans="3:38" x14ac:dyDescent="0.25">
      <c r="C82" s="96"/>
      <c r="D82" s="96"/>
      <c r="E82" s="96"/>
      <c r="F82" s="96"/>
      <c r="G82" s="96"/>
      <c r="T82" s="96"/>
      <c r="U82" s="96"/>
      <c r="V82" s="96"/>
      <c r="W82" s="96"/>
      <c r="X82" s="96"/>
      <c r="Z82" s="94" t="str">
        <f t="shared" si="53"/>
        <v>Sepang</v>
      </c>
      <c r="AA82" s="94">
        <f t="shared" si="65"/>
        <v>15</v>
      </c>
      <c r="AB82" s="96">
        <f t="shared" si="54"/>
        <v>13</v>
      </c>
      <c r="AC82" s="96">
        <f t="shared" si="55"/>
        <v>24</v>
      </c>
      <c r="AD82" s="96">
        <f t="shared" si="56"/>
        <v>18</v>
      </c>
      <c r="AE82" s="96">
        <f t="shared" si="57"/>
        <v>14</v>
      </c>
      <c r="AF82" s="96">
        <f t="shared" si="58"/>
        <v>17</v>
      </c>
      <c r="AG82" s="96">
        <f t="shared" si="59"/>
        <v>10</v>
      </c>
      <c r="AH82" s="96">
        <f t="shared" si="60"/>
        <v>17</v>
      </c>
      <c r="AI82" s="96">
        <f t="shared" si="61"/>
        <v>20</v>
      </c>
      <c r="AJ82" s="96">
        <f t="shared" si="62"/>
        <v>23</v>
      </c>
      <c r="AK82" s="96">
        <f t="shared" si="63"/>
        <v>14</v>
      </c>
      <c r="AL82" s="96">
        <f t="shared" si="64"/>
        <v>10</v>
      </c>
    </row>
    <row r="83" spans="3:38" x14ac:dyDescent="0.25">
      <c r="C83" s="96"/>
      <c r="D83" s="96"/>
      <c r="E83" s="96"/>
      <c r="F83" s="96"/>
      <c r="G83" s="96"/>
      <c r="T83" s="96"/>
      <c r="U83" s="96"/>
      <c r="V83" s="96"/>
      <c r="W83" s="96"/>
      <c r="X83" s="96"/>
      <c r="Z83" s="94" t="str">
        <f t="shared" si="53"/>
        <v>Indianapolis</v>
      </c>
      <c r="AA83" s="94">
        <f t="shared" si="65"/>
        <v>16</v>
      </c>
      <c r="AB83" s="96">
        <f t="shared" si="54"/>
        <v>24</v>
      </c>
      <c r="AC83" s="96">
        <f t="shared" si="55"/>
        <v>31</v>
      </c>
      <c r="AD83" s="96">
        <f t="shared" si="56"/>
        <v>14</v>
      </c>
      <c r="AE83" s="96">
        <f t="shared" si="57"/>
        <v>17</v>
      </c>
      <c r="AF83" s="96">
        <f t="shared" si="58"/>
        <v>21</v>
      </c>
      <c r="AG83" s="96">
        <f t="shared" si="59"/>
        <v>19</v>
      </c>
      <c r="AH83" s="96">
        <f t="shared" si="60"/>
        <v>9</v>
      </c>
      <c r="AI83" s="96">
        <f t="shared" si="61"/>
        <v>24</v>
      </c>
      <c r="AJ83" s="96">
        <f t="shared" si="62"/>
        <v>28</v>
      </c>
      <c r="AK83" s="96">
        <f t="shared" si="63"/>
        <v>27</v>
      </c>
      <c r="AL83" s="96">
        <f t="shared" si="64"/>
        <v>8</v>
      </c>
    </row>
    <row r="84" spans="3:38" x14ac:dyDescent="0.25">
      <c r="C84" s="96"/>
      <c r="D84" s="96"/>
      <c r="E84" s="96"/>
      <c r="F84" s="96"/>
      <c r="G84" s="96"/>
      <c r="T84" s="96"/>
      <c r="U84" s="96"/>
      <c r="V84" s="96"/>
      <c r="W84" s="96"/>
      <c r="X84" s="96"/>
      <c r="Z84" s="94" t="str">
        <f t="shared" si="53"/>
        <v>Hockenheim</v>
      </c>
      <c r="AA84" s="94">
        <f t="shared" si="65"/>
        <v>17</v>
      </c>
      <c r="AB84" s="96">
        <f t="shared" si="54"/>
        <v>16</v>
      </c>
      <c r="AC84" s="96">
        <f t="shared" si="55"/>
        <v>32</v>
      </c>
      <c r="AD84" s="96">
        <f t="shared" si="56"/>
        <v>11</v>
      </c>
      <c r="AE84" s="96">
        <f t="shared" si="57"/>
        <v>12</v>
      </c>
      <c r="AF84" s="96">
        <f t="shared" si="58"/>
        <v>13</v>
      </c>
      <c r="AG84" s="96">
        <f t="shared" si="59"/>
        <v>11</v>
      </c>
      <c r="AH84" s="96">
        <f t="shared" si="60"/>
        <v>11</v>
      </c>
      <c r="AI84" s="96">
        <f t="shared" si="61"/>
        <v>20</v>
      </c>
      <c r="AJ84" s="96">
        <f t="shared" si="62"/>
        <v>26</v>
      </c>
      <c r="AK84" s="96">
        <f t="shared" si="63"/>
        <v>14</v>
      </c>
      <c r="AL84" s="96">
        <f t="shared" si="64"/>
        <v>10</v>
      </c>
    </row>
    <row r="85" spans="3:38" x14ac:dyDescent="0.25">
      <c r="C85" s="96"/>
      <c r="D85" s="96"/>
      <c r="E85" s="96"/>
      <c r="F85" s="96"/>
      <c r="G85" s="96"/>
      <c r="T85" s="96"/>
      <c r="U85" s="96"/>
      <c r="V85" s="96"/>
      <c r="W85" s="96"/>
      <c r="X85" s="96"/>
      <c r="Z85" s="94" t="str">
        <f t="shared" si="53"/>
        <v>Estoril</v>
      </c>
      <c r="AA85" s="94">
        <f t="shared" si="65"/>
        <v>18</v>
      </c>
      <c r="AB85" s="96">
        <f t="shared" si="54"/>
        <v>15</v>
      </c>
      <c r="AC85" s="96">
        <f t="shared" si="55"/>
        <v>34</v>
      </c>
      <c r="AD85" s="96">
        <f t="shared" si="56"/>
        <v>19</v>
      </c>
      <c r="AE85" s="96">
        <f t="shared" si="57"/>
        <v>16</v>
      </c>
      <c r="AF85" s="96">
        <f t="shared" si="58"/>
        <v>18</v>
      </c>
      <c r="AG85" s="96">
        <f t="shared" si="59"/>
        <v>13</v>
      </c>
      <c r="AH85" s="96">
        <f t="shared" si="60"/>
        <v>10</v>
      </c>
      <c r="AI85" s="96">
        <f t="shared" si="61"/>
        <v>25</v>
      </c>
      <c r="AJ85" s="96">
        <f t="shared" si="62"/>
        <v>30</v>
      </c>
      <c r="AK85" s="96">
        <f t="shared" si="63"/>
        <v>22</v>
      </c>
      <c r="AL85" s="96">
        <f t="shared" si="64"/>
        <v>10</v>
      </c>
    </row>
    <row r="86" spans="3:38" x14ac:dyDescent="0.25">
      <c r="C86" s="96"/>
      <c r="D86" s="96"/>
      <c r="E86" s="96"/>
      <c r="F86" s="96"/>
      <c r="G86" s="96"/>
      <c r="T86" s="96"/>
      <c r="U86" s="96"/>
      <c r="V86" s="96"/>
      <c r="W86" s="96"/>
      <c r="X86" s="96"/>
      <c r="Z86" s="94" t="str">
        <f t="shared" si="53"/>
        <v>Adelaide</v>
      </c>
      <c r="AA86" s="94">
        <f t="shared" si="65"/>
        <v>19</v>
      </c>
      <c r="AB86" s="96">
        <f t="shared" si="54"/>
        <v>25</v>
      </c>
      <c r="AC86" s="96">
        <f t="shared" si="55"/>
        <v>13</v>
      </c>
      <c r="AD86" s="96">
        <f t="shared" si="56"/>
        <v>25</v>
      </c>
      <c r="AE86" s="96">
        <f t="shared" si="57"/>
        <v>30</v>
      </c>
      <c r="AF86" s="96">
        <f t="shared" si="58"/>
        <v>27</v>
      </c>
      <c r="AG86" s="96">
        <f t="shared" si="59"/>
        <v>17</v>
      </c>
      <c r="AH86" s="96">
        <f t="shared" si="60"/>
        <v>19</v>
      </c>
      <c r="AI86" s="96">
        <f t="shared" si="61"/>
        <v>19</v>
      </c>
      <c r="AJ86" s="96">
        <f t="shared" si="62"/>
        <v>16</v>
      </c>
      <c r="AK86" s="96">
        <f t="shared" si="63"/>
        <v>10</v>
      </c>
      <c r="AL86" s="96">
        <f t="shared" si="64"/>
        <v>15</v>
      </c>
    </row>
    <row r="87" spans="3:38" x14ac:dyDescent="0.25">
      <c r="C87" s="96"/>
      <c r="D87" s="96"/>
      <c r="E87" s="96"/>
      <c r="F87" s="96"/>
      <c r="G87" s="96"/>
      <c r="T87" s="96"/>
      <c r="U87" s="96"/>
      <c r="V87" s="96"/>
      <c r="W87" s="96"/>
      <c r="X87" s="96"/>
      <c r="Z87" s="94" t="str">
        <f t="shared" si="53"/>
        <v>Kyalami</v>
      </c>
      <c r="AA87" s="94">
        <f t="shared" si="65"/>
        <v>20</v>
      </c>
      <c r="AB87" s="96">
        <f t="shared" si="54"/>
        <v>12</v>
      </c>
      <c r="AC87" s="96">
        <f t="shared" si="55"/>
        <v>17</v>
      </c>
      <c r="AD87" s="96">
        <f t="shared" si="56"/>
        <v>19</v>
      </c>
      <c r="AE87" s="96">
        <f t="shared" si="57"/>
        <v>21</v>
      </c>
      <c r="AF87" s="96">
        <f t="shared" si="58"/>
        <v>11</v>
      </c>
      <c r="AG87" s="96">
        <f t="shared" si="59"/>
        <v>10</v>
      </c>
      <c r="AH87" s="96">
        <f t="shared" si="60"/>
        <v>17</v>
      </c>
      <c r="AI87" s="96">
        <f t="shared" si="61"/>
        <v>24</v>
      </c>
      <c r="AJ87" s="96">
        <f t="shared" si="62"/>
        <v>15</v>
      </c>
      <c r="AK87" s="96">
        <f t="shared" si="63"/>
        <v>13</v>
      </c>
      <c r="AL87" s="96">
        <f t="shared" si="64"/>
        <v>11</v>
      </c>
    </row>
    <row r="88" spans="3:38" x14ac:dyDescent="0.25">
      <c r="C88" s="96"/>
      <c r="D88" s="96"/>
      <c r="E88" s="96"/>
      <c r="F88" s="96"/>
      <c r="G88" s="96"/>
      <c r="T88" s="96"/>
      <c r="U88" s="96"/>
      <c r="V88" s="96"/>
      <c r="W88" s="96"/>
      <c r="X88" s="96"/>
      <c r="Z88" s="94" t="str">
        <f t="shared" si="53"/>
        <v>Nurburgring</v>
      </c>
      <c r="AA88" s="94">
        <f t="shared" si="65"/>
        <v>21</v>
      </c>
      <c r="AB88" s="96">
        <f t="shared" si="54"/>
        <v>19</v>
      </c>
      <c r="AC88" s="96">
        <f t="shared" si="55"/>
        <v>28</v>
      </c>
      <c r="AD88" s="96">
        <f t="shared" si="56"/>
        <v>16</v>
      </c>
      <c r="AE88" s="96">
        <f t="shared" si="57"/>
        <v>21</v>
      </c>
      <c r="AF88" s="96">
        <f t="shared" si="58"/>
        <v>17</v>
      </c>
      <c r="AG88" s="96">
        <f t="shared" si="59"/>
        <v>10</v>
      </c>
      <c r="AH88" s="96">
        <f t="shared" si="60"/>
        <v>10</v>
      </c>
      <c r="AI88" s="96">
        <f t="shared" si="61"/>
        <v>19</v>
      </c>
      <c r="AJ88" s="96">
        <f t="shared" si="62"/>
        <v>31</v>
      </c>
      <c r="AK88" s="96">
        <f t="shared" si="63"/>
        <v>28</v>
      </c>
      <c r="AL88" s="96">
        <f t="shared" si="64"/>
        <v>7</v>
      </c>
    </row>
    <row r="89" spans="3:38" x14ac:dyDescent="0.25">
      <c r="C89" s="96"/>
      <c r="D89" s="96"/>
      <c r="E89" s="96"/>
      <c r="F89" s="96"/>
      <c r="G89" s="96"/>
      <c r="T89" s="96"/>
      <c r="U89" s="96"/>
      <c r="V89" s="96"/>
      <c r="W89" s="96"/>
      <c r="X89" s="96"/>
      <c r="Z89" s="94" t="str">
        <f t="shared" si="53"/>
        <v>Mexico City</v>
      </c>
      <c r="AA89" s="94">
        <f t="shared" si="65"/>
        <v>22</v>
      </c>
      <c r="AB89" s="96">
        <f t="shared" si="54"/>
        <v>9</v>
      </c>
      <c r="AC89" s="96">
        <f t="shared" si="55"/>
        <v>17</v>
      </c>
      <c r="AD89" s="96">
        <f t="shared" si="56"/>
        <v>11</v>
      </c>
      <c r="AE89" s="96">
        <f t="shared" si="57"/>
        <v>10</v>
      </c>
      <c r="AF89" s="96">
        <f t="shared" si="58"/>
        <v>13</v>
      </c>
      <c r="AG89" s="96">
        <f t="shared" si="59"/>
        <v>10</v>
      </c>
      <c r="AH89" s="96">
        <f t="shared" si="60"/>
        <v>13</v>
      </c>
      <c r="AI89" s="96">
        <f t="shared" si="61"/>
        <v>21</v>
      </c>
      <c r="AJ89" s="96">
        <f t="shared" si="62"/>
        <v>10</v>
      </c>
      <c r="AK89" s="96">
        <f t="shared" si="63"/>
        <v>25</v>
      </c>
      <c r="AL89" s="96">
        <f t="shared" si="64"/>
        <v>12</v>
      </c>
    </row>
    <row r="90" spans="3:38" x14ac:dyDescent="0.25">
      <c r="C90" s="96"/>
      <c r="D90" s="96"/>
      <c r="E90" s="96"/>
      <c r="F90" s="96"/>
      <c r="G90" s="96"/>
      <c r="T90" s="96"/>
      <c r="U90" s="96"/>
      <c r="V90" s="96"/>
      <c r="W90" s="96"/>
      <c r="X90" s="96"/>
      <c r="Z90" s="94" t="str">
        <f t="shared" si="53"/>
        <v>Brands Hatch</v>
      </c>
      <c r="AA90" s="94">
        <f t="shared" si="65"/>
        <v>23</v>
      </c>
      <c r="AB90" s="96">
        <f t="shared" si="54"/>
        <v>9</v>
      </c>
      <c r="AC90" s="96">
        <f t="shared" si="55"/>
        <v>22</v>
      </c>
      <c r="AD90" s="96">
        <f t="shared" si="56"/>
        <v>14</v>
      </c>
      <c r="AE90" s="96">
        <f t="shared" si="57"/>
        <v>17</v>
      </c>
      <c r="AF90" s="96">
        <f t="shared" si="58"/>
        <v>18</v>
      </c>
      <c r="AG90" s="96">
        <f t="shared" si="59"/>
        <v>11</v>
      </c>
      <c r="AH90" s="96">
        <f t="shared" si="60"/>
        <v>9</v>
      </c>
      <c r="AI90" s="96">
        <f t="shared" si="61"/>
        <v>15</v>
      </c>
      <c r="AJ90" s="96">
        <f t="shared" si="62"/>
        <v>26</v>
      </c>
      <c r="AK90" s="96">
        <f t="shared" si="63"/>
        <v>25</v>
      </c>
      <c r="AL90" s="96">
        <f t="shared" si="64"/>
        <v>14</v>
      </c>
    </row>
    <row r="91" spans="3:38" x14ac:dyDescent="0.25">
      <c r="C91" s="96"/>
      <c r="D91" s="96"/>
      <c r="E91" s="96"/>
      <c r="F91" s="96"/>
      <c r="G91" s="96"/>
      <c r="T91" s="96"/>
      <c r="U91" s="96"/>
      <c r="V91" s="96"/>
      <c r="W91" s="96"/>
      <c r="X91" s="96"/>
      <c r="Z91" s="94" t="str">
        <f t="shared" si="53"/>
        <v>Oesterreichring</v>
      </c>
      <c r="AA91" s="94">
        <f t="shared" si="65"/>
        <v>24</v>
      </c>
      <c r="AB91" s="96">
        <f t="shared" si="54"/>
        <v>12</v>
      </c>
      <c r="AC91" s="96">
        <f t="shared" si="55"/>
        <v>26</v>
      </c>
      <c r="AD91" s="96">
        <f t="shared" si="56"/>
        <v>16</v>
      </c>
      <c r="AE91" s="96">
        <f t="shared" si="57"/>
        <v>17</v>
      </c>
      <c r="AF91" s="96">
        <f t="shared" si="58"/>
        <v>13</v>
      </c>
      <c r="AG91" s="96">
        <f t="shared" si="59"/>
        <v>11</v>
      </c>
      <c r="AH91" s="96">
        <f t="shared" si="60"/>
        <v>13</v>
      </c>
      <c r="AI91" s="96">
        <f t="shared" si="61"/>
        <v>15</v>
      </c>
      <c r="AJ91" s="96">
        <f t="shared" si="62"/>
        <v>21</v>
      </c>
      <c r="AK91" s="96">
        <f t="shared" si="63"/>
        <v>13</v>
      </c>
      <c r="AL91" s="96">
        <f t="shared" si="64"/>
        <v>8</v>
      </c>
    </row>
    <row r="92" spans="3:38" x14ac:dyDescent="0.25">
      <c r="C92" s="96"/>
      <c r="D92" s="96"/>
      <c r="E92" s="96"/>
      <c r="F92" s="96"/>
      <c r="G92" s="96"/>
      <c r="T92" s="96"/>
      <c r="U92" s="96"/>
      <c r="V92" s="96"/>
      <c r="W92" s="96"/>
      <c r="X92" s="96"/>
      <c r="Z92" s="94" t="str">
        <f t="shared" si="53"/>
        <v>Paul Ricard</v>
      </c>
      <c r="AA92" s="94">
        <f t="shared" si="65"/>
        <v>25</v>
      </c>
      <c r="AB92" s="96">
        <f t="shared" si="54"/>
        <v>19</v>
      </c>
      <c r="AC92" s="96">
        <f t="shared" si="55"/>
        <v>40</v>
      </c>
      <c r="AD92" s="96">
        <f t="shared" si="56"/>
        <v>19</v>
      </c>
      <c r="AE92" s="96">
        <f t="shared" si="57"/>
        <v>24</v>
      </c>
      <c r="AF92" s="96">
        <f t="shared" si="58"/>
        <v>21</v>
      </c>
      <c r="AG92" s="96">
        <f t="shared" si="59"/>
        <v>11</v>
      </c>
      <c r="AH92" s="96">
        <f t="shared" si="60"/>
        <v>13</v>
      </c>
      <c r="AI92" s="96">
        <f t="shared" si="61"/>
        <v>21</v>
      </c>
      <c r="AJ92" s="96">
        <f t="shared" si="62"/>
        <v>34</v>
      </c>
      <c r="AK92" s="96">
        <f t="shared" si="63"/>
        <v>18</v>
      </c>
      <c r="AL92" s="96">
        <f t="shared" si="64"/>
        <v>9</v>
      </c>
    </row>
    <row r="93" spans="3:38" x14ac:dyDescent="0.25">
      <c r="C93" s="96"/>
      <c r="D93" s="96"/>
      <c r="E93" s="96"/>
      <c r="F93" s="96"/>
      <c r="G93" s="96"/>
      <c r="T93" s="96"/>
      <c r="U93" s="96"/>
      <c r="V93" s="96"/>
      <c r="W93" s="96"/>
      <c r="X93" s="96"/>
      <c r="Z93" s="94" t="str">
        <f t="shared" si="53"/>
        <v>Zolder</v>
      </c>
      <c r="AA93" s="94">
        <f t="shared" si="65"/>
        <v>26</v>
      </c>
      <c r="AB93" s="96">
        <f t="shared" si="54"/>
        <v>13</v>
      </c>
      <c r="AC93" s="96">
        <f t="shared" si="55"/>
        <v>14</v>
      </c>
      <c r="AD93" s="96">
        <f t="shared" si="56"/>
        <v>18</v>
      </c>
      <c r="AE93" s="96">
        <f t="shared" si="57"/>
        <v>16</v>
      </c>
      <c r="AF93" s="96">
        <f t="shared" si="58"/>
        <v>15</v>
      </c>
      <c r="AG93" s="96">
        <f t="shared" si="59"/>
        <v>16</v>
      </c>
      <c r="AH93" s="96">
        <f t="shared" si="60"/>
        <v>15</v>
      </c>
      <c r="AI93" s="96">
        <f t="shared" si="61"/>
        <v>28</v>
      </c>
      <c r="AJ93" s="96">
        <f t="shared" si="62"/>
        <v>21</v>
      </c>
      <c r="AK93" s="96">
        <f t="shared" si="63"/>
        <v>23</v>
      </c>
      <c r="AL93" s="96">
        <f t="shared" si="64"/>
        <v>14</v>
      </c>
    </row>
    <row r="94" spans="3:38" x14ac:dyDescent="0.25">
      <c r="C94" s="96"/>
      <c r="D94" s="96"/>
      <c r="E94" s="96"/>
      <c r="F94" s="96"/>
      <c r="G94" s="96"/>
      <c r="T94" s="96"/>
      <c r="U94" s="96"/>
      <c r="V94" s="96"/>
      <c r="W94" s="96"/>
      <c r="X94" s="96"/>
      <c r="Z94" s="94" t="str">
        <f t="shared" si="53"/>
        <v>Zandvoort</v>
      </c>
      <c r="AA94" s="94">
        <f t="shared" si="65"/>
        <v>27</v>
      </c>
      <c r="AB94" s="96">
        <f t="shared" si="54"/>
        <v>24</v>
      </c>
      <c r="AC94" s="96">
        <f t="shared" si="55"/>
        <v>38</v>
      </c>
      <c r="AD94" s="96">
        <f t="shared" si="56"/>
        <v>28</v>
      </c>
      <c r="AE94" s="96">
        <f t="shared" si="57"/>
        <v>22</v>
      </c>
      <c r="AF94" s="96">
        <f t="shared" si="58"/>
        <v>19</v>
      </c>
      <c r="AG94" s="96">
        <f t="shared" si="59"/>
        <v>16</v>
      </c>
      <c r="AH94" s="96">
        <f t="shared" si="60"/>
        <v>15</v>
      </c>
      <c r="AI94" s="96">
        <f t="shared" si="61"/>
        <v>22</v>
      </c>
      <c r="AJ94" s="96">
        <f t="shared" si="62"/>
        <v>43</v>
      </c>
      <c r="AK94" s="96">
        <f t="shared" si="63"/>
        <v>33</v>
      </c>
      <c r="AL94" s="96">
        <f t="shared" si="64"/>
        <v>13</v>
      </c>
    </row>
    <row r="95" spans="3:38" x14ac:dyDescent="0.25">
      <c r="C95" s="96"/>
      <c r="D95" s="96"/>
      <c r="E95" s="96"/>
      <c r="F95" s="96"/>
      <c r="G95" s="96"/>
      <c r="T95" s="96"/>
      <c r="U95" s="96"/>
      <c r="V95" s="96"/>
      <c r="W95" s="96"/>
      <c r="X95" s="96"/>
      <c r="Z95" s="94" t="str">
        <f t="shared" si="53"/>
        <v>Mugello</v>
      </c>
      <c r="AA95" s="94">
        <f t="shared" si="65"/>
        <v>28</v>
      </c>
      <c r="AB95" s="96">
        <f t="shared" si="54"/>
        <v>12</v>
      </c>
      <c r="AC95" s="96">
        <f t="shared" si="55"/>
        <v>11</v>
      </c>
      <c r="AD95" s="96">
        <f t="shared" si="56"/>
        <v>14</v>
      </c>
      <c r="AE95" s="96">
        <f t="shared" si="57"/>
        <v>10</v>
      </c>
      <c r="AF95" s="96">
        <f t="shared" si="58"/>
        <v>15</v>
      </c>
      <c r="AG95" s="96">
        <f t="shared" si="59"/>
        <v>16</v>
      </c>
      <c r="AH95" s="96">
        <f t="shared" si="60"/>
        <v>17</v>
      </c>
      <c r="AI95" s="96">
        <f t="shared" si="61"/>
        <v>20</v>
      </c>
      <c r="AJ95" s="96">
        <f t="shared" si="62"/>
        <v>18</v>
      </c>
      <c r="AK95" s="96">
        <f t="shared" si="63"/>
        <v>15</v>
      </c>
      <c r="AL95" s="96">
        <f t="shared" si="64"/>
        <v>9</v>
      </c>
    </row>
    <row r="96" spans="3:38" x14ac:dyDescent="0.25">
      <c r="C96" s="96"/>
      <c r="D96" s="96"/>
      <c r="E96" s="96"/>
      <c r="F96" s="96"/>
      <c r="G96" s="96"/>
      <c r="T96" s="96"/>
      <c r="U96" s="96"/>
      <c r="V96" s="96"/>
      <c r="W96" s="96"/>
      <c r="X96" s="96"/>
      <c r="Z96" s="94" t="str">
        <f t="shared" si="53"/>
        <v>Sakhir</v>
      </c>
      <c r="AA96" s="94">
        <f t="shared" si="65"/>
        <v>29</v>
      </c>
      <c r="AB96" s="96">
        <f t="shared" si="54"/>
        <v>18</v>
      </c>
      <c r="AC96" s="96">
        <f t="shared" si="55"/>
        <v>40</v>
      </c>
      <c r="AD96" s="96">
        <f t="shared" si="56"/>
        <v>22</v>
      </c>
      <c r="AE96" s="96">
        <f t="shared" si="57"/>
        <v>17</v>
      </c>
      <c r="AF96" s="96">
        <f t="shared" si="58"/>
        <v>16</v>
      </c>
      <c r="AG96" s="96">
        <f t="shared" si="59"/>
        <v>20</v>
      </c>
      <c r="AH96" s="96">
        <f t="shared" si="60"/>
        <v>23</v>
      </c>
      <c r="AI96" s="96">
        <f t="shared" si="61"/>
        <v>21</v>
      </c>
      <c r="AJ96" s="96">
        <f t="shared" si="62"/>
        <v>24</v>
      </c>
      <c r="AK96" s="96">
        <f t="shared" si="63"/>
        <v>24</v>
      </c>
      <c r="AL96" s="96">
        <f t="shared" si="64"/>
        <v>12</v>
      </c>
    </row>
    <row r="97" spans="3:38" x14ac:dyDescent="0.25">
      <c r="C97" s="96"/>
      <c r="D97" s="96"/>
      <c r="E97" s="96"/>
      <c r="F97" s="96"/>
      <c r="G97" s="96"/>
      <c r="T97" s="96"/>
      <c r="U97" s="96"/>
      <c r="V97" s="96"/>
      <c r="W97" s="96"/>
      <c r="X97" s="96"/>
      <c r="Z97" s="94" t="str">
        <f t="shared" si="53"/>
        <v>Anderstorp</v>
      </c>
      <c r="AA97" s="94">
        <f t="shared" si="65"/>
        <v>30</v>
      </c>
      <c r="AB97" s="96">
        <f t="shared" si="54"/>
        <v>18</v>
      </c>
      <c r="AC97" s="96">
        <f t="shared" si="55"/>
        <v>35</v>
      </c>
      <c r="AD97" s="96">
        <f t="shared" si="56"/>
        <v>15</v>
      </c>
      <c r="AE97" s="96">
        <f t="shared" si="57"/>
        <v>14</v>
      </c>
      <c r="AF97" s="96">
        <f t="shared" si="58"/>
        <v>28</v>
      </c>
      <c r="AG97" s="96">
        <f t="shared" si="59"/>
        <v>19</v>
      </c>
      <c r="AH97" s="96">
        <f t="shared" si="60"/>
        <v>12</v>
      </c>
      <c r="AI97" s="96">
        <f t="shared" si="61"/>
        <v>29</v>
      </c>
      <c r="AJ97" s="96">
        <f t="shared" si="62"/>
        <v>36</v>
      </c>
      <c r="AK97" s="96">
        <f t="shared" si="63"/>
        <v>16</v>
      </c>
      <c r="AL97" s="96">
        <f t="shared" si="64"/>
        <v>11</v>
      </c>
    </row>
    <row r="98" spans="3:38" x14ac:dyDescent="0.25">
      <c r="C98" s="96"/>
      <c r="D98" s="96"/>
      <c r="E98" s="96"/>
      <c r="F98" s="96"/>
      <c r="G98" s="96"/>
      <c r="T98" s="96"/>
      <c r="U98" s="96"/>
      <c r="V98" s="96"/>
      <c r="W98" s="96"/>
      <c r="X98" s="96"/>
      <c r="Z98" s="94" t="str">
        <f t="shared" si="53"/>
        <v>Brasilia</v>
      </c>
      <c r="AA98" s="94">
        <f t="shared" si="65"/>
        <v>31</v>
      </c>
      <c r="AB98" s="96">
        <f t="shared" si="54"/>
        <v>12</v>
      </c>
      <c r="AC98" s="96">
        <f t="shared" si="55"/>
        <v>23</v>
      </c>
      <c r="AD98" s="96">
        <f t="shared" si="56"/>
        <v>15</v>
      </c>
      <c r="AE98" s="96">
        <f t="shared" si="57"/>
        <v>18</v>
      </c>
      <c r="AF98" s="96">
        <f t="shared" si="58"/>
        <v>12</v>
      </c>
      <c r="AG98" s="96">
        <f t="shared" si="59"/>
        <v>11</v>
      </c>
      <c r="AH98" s="96">
        <f t="shared" si="60"/>
        <v>13</v>
      </c>
      <c r="AI98" s="96">
        <f t="shared" si="61"/>
        <v>20</v>
      </c>
      <c r="AJ98" s="96">
        <f t="shared" si="62"/>
        <v>27</v>
      </c>
      <c r="AK98" s="96">
        <f t="shared" si="63"/>
        <v>12</v>
      </c>
      <c r="AL98" s="96">
        <f t="shared" si="64"/>
        <v>11</v>
      </c>
    </row>
    <row r="99" spans="3:38" x14ac:dyDescent="0.25">
      <c r="C99" s="96"/>
      <c r="D99" s="96"/>
      <c r="E99" s="96"/>
      <c r="F99" s="96"/>
      <c r="G99" s="96"/>
      <c r="T99" s="96"/>
      <c r="U99" s="96"/>
      <c r="V99" s="96"/>
      <c r="W99" s="96"/>
      <c r="X99" s="96"/>
      <c r="Z99" s="94" t="str">
        <f t="shared" si="53"/>
        <v>Fiorano</v>
      </c>
      <c r="AA99" s="94">
        <f t="shared" si="65"/>
        <v>32</v>
      </c>
      <c r="AB99" s="96">
        <f t="shared" si="54"/>
        <v>16</v>
      </c>
      <c r="AC99" s="96">
        <f t="shared" si="55"/>
        <v>26</v>
      </c>
      <c r="AD99" s="96">
        <f t="shared" si="56"/>
        <v>16</v>
      </c>
      <c r="AE99" s="96">
        <f t="shared" si="57"/>
        <v>18</v>
      </c>
      <c r="AF99" s="96">
        <f t="shared" si="58"/>
        <v>13</v>
      </c>
      <c r="AG99" s="96">
        <f t="shared" si="59"/>
        <v>11</v>
      </c>
      <c r="AH99" s="96">
        <f t="shared" si="60"/>
        <v>13</v>
      </c>
      <c r="AI99" s="96">
        <f t="shared" si="61"/>
        <v>22</v>
      </c>
      <c r="AJ99" s="96">
        <f t="shared" si="62"/>
        <v>28</v>
      </c>
      <c r="AK99" s="96">
        <f t="shared" si="63"/>
        <v>19</v>
      </c>
      <c r="AL99" s="96">
        <f t="shared" si="64"/>
        <v>13</v>
      </c>
    </row>
    <row r="100" spans="3:38" x14ac:dyDescent="0.25">
      <c r="C100" s="96"/>
      <c r="D100" s="96"/>
      <c r="E100" s="96"/>
      <c r="F100" s="96"/>
      <c r="G100" s="96"/>
      <c r="T100" s="96"/>
      <c r="U100" s="96"/>
      <c r="V100" s="96"/>
      <c r="W100" s="96"/>
      <c r="X100" s="96"/>
      <c r="Z100" s="94" t="str">
        <f t="shared" si="53"/>
        <v>Shanghai</v>
      </c>
      <c r="AA100" s="94">
        <f t="shared" si="65"/>
        <v>33</v>
      </c>
      <c r="AB100" s="96">
        <f t="shared" si="54"/>
        <v>14</v>
      </c>
      <c r="AC100" s="96">
        <f t="shared" si="55"/>
        <v>38</v>
      </c>
      <c r="AD100" s="96">
        <f t="shared" si="56"/>
        <v>22</v>
      </c>
      <c r="AE100" s="96">
        <f t="shared" si="57"/>
        <v>25</v>
      </c>
      <c r="AF100" s="96">
        <f t="shared" si="58"/>
        <v>22</v>
      </c>
      <c r="AG100" s="96">
        <f t="shared" si="59"/>
        <v>18</v>
      </c>
      <c r="AH100" s="96">
        <f t="shared" si="60"/>
        <v>17</v>
      </c>
      <c r="AI100" s="96">
        <f t="shared" si="61"/>
        <v>25</v>
      </c>
      <c r="AJ100" s="96">
        <f t="shared" si="62"/>
        <v>28</v>
      </c>
      <c r="AK100" s="96">
        <f t="shared" si="63"/>
        <v>32</v>
      </c>
      <c r="AL100" s="96">
        <f t="shared" si="64"/>
        <v>13</v>
      </c>
    </row>
    <row r="101" spans="3:38" x14ac:dyDescent="0.25">
      <c r="C101" s="96"/>
      <c r="D101" s="96"/>
      <c r="E101" s="96"/>
      <c r="F101" s="96"/>
      <c r="G101" s="96"/>
      <c r="T101" s="96"/>
      <c r="U101" s="96"/>
      <c r="V101" s="96"/>
      <c r="W101" s="96"/>
      <c r="X101" s="96"/>
      <c r="Z101" s="94" t="str">
        <f t="shared" si="53"/>
        <v>Melbourne</v>
      </c>
      <c r="AA101" s="94">
        <f t="shared" si="65"/>
        <v>34</v>
      </c>
      <c r="AB101" s="96">
        <f t="shared" si="54"/>
        <v>15</v>
      </c>
      <c r="AC101" s="96">
        <f t="shared" si="55"/>
        <v>31</v>
      </c>
      <c r="AD101" s="96">
        <f t="shared" si="56"/>
        <v>17</v>
      </c>
      <c r="AE101" s="96">
        <f t="shared" si="57"/>
        <v>19</v>
      </c>
      <c r="AF101" s="96">
        <f t="shared" si="58"/>
        <v>14</v>
      </c>
      <c r="AG101" s="96">
        <f t="shared" si="59"/>
        <v>14</v>
      </c>
      <c r="AH101" s="96">
        <f t="shared" si="60"/>
        <v>13</v>
      </c>
      <c r="AI101" s="96">
        <f t="shared" si="61"/>
        <v>21</v>
      </c>
      <c r="AJ101" s="96">
        <f t="shared" si="62"/>
        <v>24</v>
      </c>
      <c r="AK101" s="96">
        <f t="shared" si="63"/>
        <v>15</v>
      </c>
      <c r="AL101" s="96">
        <f t="shared" si="64"/>
        <v>12</v>
      </c>
    </row>
    <row r="102" spans="3:38" x14ac:dyDescent="0.25">
      <c r="C102" s="96"/>
      <c r="D102" s="96"/>
      <c r="E102" s="96"/>
      <c r="F102" s="96"/>
      <c r="G102" s="96"/>
      <c r="T102" s="96"/>
      <c r="U102" s="96"/>
      <c r="V102" s="96"/>
      <c r="W102" s="96"/>
      <c r="X102" s="96"/>
      <c r="Z102" s="94" t="str">
        <f t="shared" si="53"/>
        <v>Laguna Seca</v>
      </c>
      <c r="AA102" s="94">
        <f t="shared" si="65"/>
        <v>35</v>
      </c>
      <c r="AB102" s="96">
        <f t="shared" si="54"/>
        <v>20</v>
      </c>
      <c r="AC102" s="96">
        <f t="shared" si="55"/>
        <v>25</v>
      </c>
      <c r="AD102" s="96">
        <f t="shared" si="56"/>
        <v>17</v>
      </c>
      <c r="AE102" s="96">
        <f t="shared" si="57"/>
        <v>11</v>
      </c>
      <c r="AF102" s="96">
        <f t="shared" si="58"/>
        <v>11</v>
      </c>
      <c r="AG102" s="96">
        <f t="shared" si="59"/>
        <v>10</v>
      </c>
      <c r="AH102" s="96">
        <f t="shared" si="60"/>
        <v>16</v>
      </c>
      <c r="AI102" s="96">
        <f t="shared" si="61"/>
        <v>27</v>
      </c>
      <c r="AJ102" s="96">
        <f t="shared" si="62"/>
        <v>29</v>
      </c>
      <c r="AK102" s="96">
        <f t="shared" si="63"/>
        <v>24</v>
      </c>
      <c r="AL102" s="96">
        <f t="shared" si="64"/>
        <v>6</v>
      </c>
    </row>
    <row r="103" spans="3:38" x14ac:dyDescent="0.25">
      <c r="C103" s="96"/>
      <c r="D103" s="96"/>
      <c r="E103" s="96"/>
      <c r="F103" s="96"/>
      <c r="G103" s="96"/>
      <c r="T103" s="96"/>
      <c r="U103" s="96"/>
      <c r="V103" s="96"/>
      <c r="W103" s="96"/>
      <c r="X103" s="96"/>
      <c r="Z103" s="94" t="str">
        <f t="shared" si="53"/>
        <v>Istanbul</v>
      </c>
      <c r="AA103" s="94">
        <f t="shared" si="65"/>
        <v>36</v>
      </c>
      <c r="AB103" s="96">
        <f t="shared" si="54"/>
        <v>18</v>
      </c>
      <c r="AC103" s="96">
        <f t="shared" si="55"/>
        <v>20</v>
      </c>
      <c r="AD103" s="96">
        <f t="shared" si="56"/>
        <v>12</v>
      </c>
      <c r="AE103" s="96">
        <f t="shared" si="57"/>
        <v>13</v>
      </c>
      <c r="AF103" s="96">
        <f t="shared" si="58"/>
        <v>13</v>
      </c>
      <c r="AG103" s="96">
        <f t="shared" si="59"/>
        <v>14</v>
      </c>
      <c r="AH103" s="96">
        <f t="shared" si="60"/>
        <v>17</v>
      </c>
      <c r="AI103" s="96">
        <f t="shared" si="61"/>
        <v>14</v>
      </c>
      <c r="AJ103" s="96">
        <f t="shared" si="62"/>
        <v>29</v>
      </c>
      <c r="AK103" s="96">
        <f t="shared" si="63"/>
        <v>13</v>
      </c>
      <c r="AL103" s="96">
        <f t="shared" si="64"/>
        <v>12</v>
      </c>
    </row>
    <row r="104" spans="3:38" x14ac:dyDescent="0.25">
      <c r="C104" s="96"/>
      <c r="D104" s="96"/>
      <c r="E104" s="96"/>
      <c r="F104" s="96"/>
      <c r="G104" s="96"/>
      <c r="T104" s="96"/>
      <c r="U104" s="96"/>
      <c r="V104" s="96"/>
      <c r="W104" s="96"/>
      <c r="X104" s="96"/>
      <c r="Z104" s="94" t="str">
        <f t="shared" si="53"/>
        <v>Fuji</v>
      </c>
      <c r="AA104" s="94">
        <f t="shared" si="65"/>
        <v>37</v>
      </c>
      <c r="AB104" s="96">
        <f t="shared" si="54"/>
        <v>22</v>
      </c>
      <c r="AC104" s="96">
        <f t="shared" si="55"/>
        <v>25</v>
      </c>
      <c r="AD104" s="96">
        <f t="shared" si="56"/>
        <v>14</v>
      </c>
      <c r="AE104" s="96">
        <f t="shared" si="57"/>
        <v>16</v>
      </c>
      <c r="AF104" s="96">
        <f t="shared" si="58"/>
        <v>16</v>
      </c>
      <c r="AG104" s="96">
        <f t="shared" si="59"/>
        <v>15</v>
      </c>
      <c r="AH104" s="96">
        <f t="shared" si="60"/>
        <v>21</v>
      </c>
      <c r="AI104" s="96">
        <f t="shared" si="61"/>
        <v>19</v>
      </c>
      <c r="AJ104" s="96">
        <f t="shared" si="62"/>
        <v>35</v>
      </c>
      <c r="AK104" s="96">
        <f t="shared" si="63"/>
        <v>15</v>
      </c>
      <c r="AL104" s="96">
        <f t="shared" si="64"/>
        <v>14</v>
      </c>
    </row>
    <row r="105" spans="3:38" x14ac:dyDescent="0.25">
      <c r="C105" s="96"/>
      <c r="D105" s="96"/>
      <c r="E105" s="96"/>
      <c r="F105" s="96"/>
      <c r="G105" s="96"/>
      <c r="T105" s="96"/>
      <c r="U105" s="96"/>
      <c r="V105" s="96"/>
      <c r="W105" s="96"/>
      <c r="X105" s="96"/>
      <c r="Z105" s="94" t="str">
        <f t="shared" si="53"/>
        <v>Singapore</v>
      </c>
      <c r="AA105" s="94">
        <f t="shared" si="65"/>
        <v>38</v>
      </c>
      <c r="AB105" s="96">
        <f t="shared" si="54"/>
        <v>20</v>
      </c>
      <c r="AC105" s="96">
        <f t="shared" si="55"/>
        <v>15</v>
      </c>
      <c r="AD105" s="96">
        <f t="shared" si="56"/>
        <v>23</v>
      </c>
      <c r="AE105" s="96">
        <f t="shared" si="57"/>
        <v>20</v>
      </c>
      <c r="AF105" s="96">
        <f t="shared" si="58"/>
        <v>22</v>
      </c>
      <c r="AG105" s="96">
        <f t="shared" si="59"/>
        <v>15</v>
      </c>
      <c r="AH105" s="96">
        <f t="shared" si="60"/>
        <v>19</v>
      </c>
      <c r="AI105" s="96">
        <f t="shared" si="61"/>
        <v>20</v>
      </c>
      <c r="AJ105" s="96">
        <f t="shared" si="62"/>
        <v>30</v>
      </c>
      <c r="AK105" s="96">
        <f t="shared" si="63"/>
        <v>18</v>
      </c>
      <c r="AL105" s="96">
        <f t="shared" si="64"/>
        <v>17</v>
      </c>
    </row>
    <row r="106" spans="3:38" x14ac:dyDescent="0.25">
      <c r="C106" s="96"/>
      <c r="D106" s="96"/>
      <c r="E106" s="96"/>
      <c r="F106" s="96"/>
      <c r="G106" s="96"/>
      <c r="T106" s="96"/>
      <c r="U106" s="96"/>
      <c r="V106" s="96"/>
      <c r="W106" s="96"/>
      <c r="X106" s="96"/>
      <c r="Z106" s="94" t="str">
        <f t="shared" si="53"/>
        <v>Valencia</v>
      </c>
      <c r="AA106" s="94">
        <f t="shared" si="65"/>
        <v>39</v>
      </c>
      <c r="AB106" s="96">
        <f t="shared" si="54"/>
        <v>15</v>
      </c>
      <c r="AC106" s="96">
        <f t="shared" si="55"/>
        <v>15</v>
      </c>
      <c r="AD106" s="96">
        <f t="shared" si="56"/>
        <v>25</v>
      </c>
      <c r="AE106" s="96">
        <f t="shared" si="57"/>
        <v>25</v>
      </c>
      <c r="AF106" s="96">
        <f t="shared" si="58"/>
        <v>12</v>
      </c>
      <c r="AG106" s="96">
        <f t="shared" si="59"/>
        <v>17</v>
      </c>
      <c r="AH106" s="96">
        <f t="shared" si="60"/>
        <v>9</v>
      </c>
      <c r="AI106" s="96">
        <f t="shared" si="61"/>
        <v>15</v>
      </c>
      <c r="AJ106" s="96">
        <f t="shared" si="62"/>
        <v>18</v>
      </c>
      <c r="AK106" s="96">
        <f t="shared" si="63"/>
        <v>20</v>
      </c>
      <c r="AL106" s="96">
        <f t="shared" si="64"/>
        <v>12</v>
      </c>
    </row>
    <row r="107" spans="3:38" x14ac:dyDescent="0.25">
      <c r="C107" s="96"/>
      <c r="D107" s="96"/>
      <c r="E107" s="96"/>
      <c r="F107" s="96"/>
      <c r="G107" s="96"/>
      <c r="T107" s="96"/>
      <c r="U107" s="96"/>
      <c r="V107" s="96"/>
      <c r="W107" s="96"/>
      <c r="X107" s="96"/>
      <c r="Z107" s="94" t="str">
        <f t="shared" si="53"/>
        <v>Yas Marina</v>
      </c>
      <c r="AA107" s="94">
        <f t="shared" si="65"/>
        <v>40</v>
      </c>
      <c r="AB107" s="96">
        <f t="shared" si="54"/>
        <v>15</v>
      </c>
      <c r="AC107" s="96">
        <f t="shared" si="55"/>
        <v>10</v>
      </c>
      <c r="AD107" s="96">
        <f t="shared" si="56"/>
        <v>22</v>
      </c>
      <c r="AE107" s="96">
        <f t="shared" si="57"/>
        <v>25</v>
      </c>
      <c r="AF107" s="96">
        <f t="shared" si="58"/>
        <v>18</v>
      </c>
      <c r="AG107" s="96">
        <f t="shared" si="59"/>
        <v>14</v>
      </c>
      <c r="AH107" s="96">
        <f t="shared" si="60"/>
        <v>19</v>
      </c>
      <c r="AI107" s="96">
        <f t="shared" si="61"/>
        <v>23</v>
      </c>
      <c r="AJ107" s="96">
        <f t="shared" si="62"/>
        <v>27</v>
      </c>
      <c r="AK107" s="96">
        <f t="shared" si="63"/>
        <v>20</v>
      </c>
      <c r="AL107" s="96">
        <f t="shared" si="64"/>
        <v>14</v>
      </c>
    </row>
    <row r="108" spans="3:38" x14ac:dyDescent="0.25">
      <c r="C108" s="96"/>
      <c r="D108" s="96"/>
      <c r="E108" s="96"/>
      <c r="F108" s="96"/>
      <c r="G108" s="96"/>
      <c r="T108" s="96"/>
      <c r="U108" s="96"/>
      <c r="V108" s="96"/>
      <c r="W108" s="96"/>
      <c r="X108" s="96"/>
      <c r="Z108" s="94" t="str">
        <f t="shared" si="53"/>
        <v>Brno</v>
      </c>
      <c r="AA108" s="94">
        <f t="shared" si="65"/>
        <v>41</v>
      </c>
      <c r="AB108" s="96">
        <f t="shared" si="54"/>
        <v>17</v>
      </c>
      <c r="AC108" s="96">
        <f t="shared" si="55"/>
        <v>28</v>
      </c>
      <c r="AD108" s="96">
        <f t="shared" si="56"/>
        <v>18</v>
      </c>
      <c r="AE108" s="96">
        <f t="shared" si="57"/>
        <v>15</v>
      </c>
      <c r="AF108" s="96">
        <f t="shared" si="58"/>
        <v>18</v>
      </c>
      <c r="AG108" s="96">
        <f t="shared" si="59"/>
        <v>17</v>
      </c>
      <c r="AH108" s="96">
        <f t="shared" si="60"/>
        <v>16</v>
      </c>
      <c r="AI108" s="96">
        <f t="shared" si="61"/>
        <v>20</v>
      </c>
      <c r="AJ108" s="96">
        <f t="shared" si="62"/>
        <v>22</v>
      </c>
      <c r="AK108" s="96">
        <f t="shared" si="63"/>
        <v>18</v>
      </c>
      <c r="AL108" s="96">
        <f t="shared" si="64"/>
        <v>13</v>
      </c>
    </row>
    <row r="109" spans="3:38" x14ac:dyDescent="0.25">
      <c r="F109" s="96"/>
      <c r="G109" s="96"/>
      <c r="T109" s="96"/>
      <c r="U109" s="96"/>
      <c r="V109" s="96"/>
      <c r="W109" s="96"/>
      <c r="X109" s="96"/>
      <c r="Z109" s="94" t="str">
        <f t="shared" si="53"/>
        <v>Poznan</v>
      </c>
      <c r="AA109" s="94">
        <f t="shared" si="65"/>
        <v>42</v>
      </c>
      <c r="AB109" s="96">
        <f t="shared" si="54"/>
        <v>18</v>
      </c>
      <c r="AC109" s="96">
        <f t="shared" si="55"/>
        <v>24</v>
      </c>
      <c r="AD109" s="96">
        <f t="shared" si="56"/>
        <v>20</v>
      </c>
      <c r="AE109" s="96">
        <f t="shared" si="57"/>
        <v>24</v>
      </c>
      <c r="AF109" s="96">
        <f t="shared" si="58"/>
        <v>21</v>
      </c>
      <c r="AG109" s="96">
        <f t="shared" si="59"/>
        <v>17</v>
      </c>
      <c r="AH109" s="96">
        <f t="shared" si="60"/>
        <v>15</v>
      </c>
      <c r="AI109" s="96">
        <f t="shared" si="61"/>
        <v>19</v>
      </c>
      <c r="AJ109" s="96">
        <f t="shared" si="62"/>
        <v>19</v>
      </c>
      <c r="AK109" s="96">
        <f t="shared" si="63"/>
        <v>15</v>
      </c>
      <c r="AL109" s="96">
        <f t="shared" si="64"/>
        <v>13</v>
      </c>
    </row>
    <row r="110" spans="3:38" x14ac:dyDescent="0.25">
      <c r="F110" s="96"/>
      <c r="G110" s="96"/>
      <c r="T110" s="96"/>
      <c r="U110" s="96"/>
      <c r="V110" s="96"/>
      <c r="W110" s="96"/>
      <c r="X110" s="96"/>
      <c r="Z110" s="94" t="str">
        <f t="shared" si="53"/>
        <v>Irungattukottai</v>
      </c>
      <c r="AA110" s="94">
        <f t="shared" si="65"/>
        <v>43</v>
      </c>
      <c r="AB110" s="96">
        <f t="shared" si="54"/>
        <v>18</v>
      </c>
      <c r="AC110" s="96">
        <f t="shared" si="55"/>
        <v>34</v>
      </c>
      <c r="AD110" s="96">
        <f t="shared" si="56"/>
        <v>28</v>
      </c>
      <c r="AE110" s="96">
        <f t="shared" si="57"/>
        <v>27</v>
      </c>
      <c r="AF110" s="96">
        <f t="shared" si="58"/>
        <v>23</v>
      </c>
      <c r="AG110" s="96">
        <f t="shared" si="59"/>
        <v>21</v>
      </c>
      <c r="AH110" s="96">
        <f t="shared" si="60"/>
        <v>23</v>
      </c>
      <c r="AI110" s="96">
        <f t="shared" si="61"/>
        <v>30</v>
      </c>
      <c r="AJ110" s="96">
        <f t="shared" si="62"/>
        <v>34</v>
      </c>
      <c r="AK110" s="96">
        <f t="shared" si="63"/>
        <v>23</v>
      </c>
      <c r="AL110" s="96">
        <f t="shared" si="64"/>
        <v>13</v>
      </c>
    </row>
    <row r="111" spans="3:38" x14ac:dyDescent="0.25">
      <c r="F111" s="96"/>
      <c r="G111" s="96"/>
      <c r="T111" s="96"/>
      <c r="U111" s="96"/>
      <c r="V111" s="96"/>
      <c r="W111" s="96"/>
      <c r="X111" s="96"/>
      <c r="Z111" s="94" t="str">
        <f t="shared" si="53"/>
        <v>Yeongam</v>
      </c>
      <c r="AA111" s="94">
        <f t="shared" si="65"/>
        <v>44</v>
      </c>
      <c r="AB111" s="96">
        <f t="shared" si="54"/>
        <v>16</v>
      </c>
      <c r="AC111" s="96">
        <f t="shared" si="55"/>
        <v>24</v>
      </c>
      <c r="AD111" s="96">
        <f t="shared" si="56"/>
        <v>17</v>
      </c>
      <c r="AE111" s="96">
        <f t="shared" si="57"/>
        <v>19</v>
      </c>
      <c r="AF111" s="96">
        <f t="shared" si="58"/>
        <v>12</v>
      </c>
      <c r="AG111" s="96">
        <f t="shared" si="59"/>
        <v>13</v>
      </c>
      <c r="AH111" s="96">
        <f t="shared" si="60"/>
        <v>13</v>
      </c>
      <c r="AI111" s="96">
        <f t="shared" si="61"/>
        <v>14</v>
      </c>
      <c r="AJ111" s="96">
        <f t="shared" si="62"/>
        <v>18</v>
      </c>
      <c r="AK111" s="96">
        <f t="shared" si="63"/>
        <v>15</v>
      </c>
      <c r="AL111" s="96">
        <f t="shared" si="64"/>
        <v>11</v>
      </c>
    </row>
    <row r="112" spans="3:38" x14ac:dyDescent="0.25">
      <c r="Z112" s="94" t="str">
        <f t="shared" si="53"/>
        <v>Bucharest Ring</v>
      </c>
      <c r="AA112" s="94">
        <f t="shared" si="65"/>
        <v>45</v>
      </c>
      <c r="AB112" s="96">
        <f t="shared" si="54"/>
        <v>16</v>
      </c>
      <c r="AC112" s="96">
        <f t="shared" si="55"/>
        <v>34</v>
      </c>
      <c r="AD112" s="96">
        <f t="shared" si="56"/>
        <v>16</v>
      </c>
      <c r="AE112" s="96">
        <f t="shared" si="57"/>
        <v>17</v>
      </c>
      <c r="AF112" s="96">
        <f t="shared" si="58"/>
        <v>21</v>
      </c>
      <c r="AG112" s="96">
        <f t="shared" si="59"/>
        <v>15</v>
      </c>
      <c r="AH112" s="96">
        <f t="shared" si="60"/>
        <v>13</v>
      </c>
      <c r="AI112" s="96">
        <f t="shared" si="61"/>
        <v>25</v>
      </c>
      <c r="AJ112" s="96">
        <f t="shared" si="62"/>
        <v>31</v>
      </c>
      <c r="AK112" s="96">
        <f t="shared" si="63"/>
        <v>18</v>
      </c>
      <c r="AL112" s="96">
        <f t="shared" si="64"/>
        <v>15</v>
      </c>
    </row>
    <row r="113" spans="26:55" x14ac:dyDescent="0.25">
      <c r="Z113" s="94" t="str">
        <f t="shared" si="53"/>
        <v>Indy Oval</v>
      </c>
      <c r="AA113" s="94">
        <f t="shared" si="65"/>
        <v>46</v>
      </c>
      <c r="AB113" s="96">
        <f t="shared" si="54"/>
        <v>20</v>
      </c>
      <c r="AC113" s="96">
        <f t="shared" si="55"/>
        <v>71</v>
      </c>
      <c r="AD113" s="96">
        <f t="shared" si="56"/>
        <v>12</v>
      </c>
      <c r="AE113" s="96">
        <f t="shared" si="57"/>
        <v>14</v>
      </c>
      <c r="AF113" s="96">
        <f t="shared" si="58"/>
        <v>23</v>
      </c>
      <c r="AG113" s="96">
        <f t="shared" si="59"/>
        <v>15</v>
      </c>
      <c r="AH113" s="96">
        <f t="shared" si="60"/>
        <v>18</v>
      </c>
      <c r="AI113" s="96">
        <f t="shared" si="61"/>
        <v>12</v>
      </c>
      <c r="AJ113" s="96">
        <f t="shared" si="62"/>
        <v>8</v>
      </c>
      <c r="AK113" s="96">
        <f t="shared" si="63"/>
        <v>22</v>
      </c>
      <c r="AL113" s="96">
        <f t="shared" si="64"/>
        <v>14</v>
      </c>
      <c r="AM113" s="96"/>
      <c r="AN113" s="96"/>
      <c r="AO113" s="96"/>
      <c r="AP113" s="96"/>
      <c r="AQ113" s="96"/>
      <c r="AR113" s="96"/>
      <c r="AS113" s="95">
        <v>0.12</v>
      </c>
      <c r="AT113" s="95">
        <v>0.34</v>
      </c>
      <c r="AU113" s="95">
        <v>0.25</v>
      </c>
      <c r="AV113" s="95">
        <v>0.28000000000000003</v>
      </c>
      <c r="AW113" s="95">
        <v>0.17</v>
      </c>
      <c r="AX113" s="95">
        <v>0.18</v>
      </c>
      <c r="AY113" s="95">
        <v>0.19</v>
      </c>
      <c r="AZ113" s="95">
        <v>0.21</v>
      </c>
      <c r="BA113" s="95">
        <v>0.27</v>
      </c>
      <c r="BB113" s="95">
        <v>0.23</v>
      </c>
      <c r="BC113" s="95">
        <v>0.14000000000000001</v>
      </c>
    </row>
    <row r="114" spans="26:55" x14ac:dyDescent="0.25">
      <c r="Z114" s="94" t="str">
        <f t="shared" si="53"/>
        <v>Ahvenisto</v>
      </c>
      <c r="AA114" s="94">
        <f t="shared" si="65"/>
        <v>47</v>
      </c>
      <c r="AB114" s="96">
        <f t="shared" si="54"/>
        <v>10</v>
      </c>
      <c r="AC114" s="96">
        <f t="shared" si="55"/>
        <v>15</v>
      </c>
      <c r="AD114" s="96">
        <f t="shared" si="56"/>
        <v>14</v>
      </c>
      <c r="AE114" s="96">
        <f t="shared" si="57"/>
        <v>14</v>
      </c>
      <c r="AF114" s="96">
        <f t="shared" si="58"/>
        <v>11</v>
      </c>
      <c r="AG114" s="96">
        <f t="shared" si="59"/>
        <v>10</v>
      </c>
      <c r="AH114" s="96">
        <f t="shared" si="60"/>
        <v>8</v>
      </c>
      <c r="AI114" s="96">
        <f t="shared" si="61"/>
        <v>13</v>
      </c>
      <c r="AJ114" s="96">
        <f t="shared" si="62"/>
        <v>16</v>
      </c>
      <c r="AK114" s="96">
        <f t="shared" si="63"/>
        <v>12</v>
      </c>
      <c r="AL114" s="96">
        <f t="shared" si="64"/>
        <v>6</v>
      </c>
    </row>
    <row r="115" spans="26:55" x14ac:dyDescent="0.25">
      <c r="Z115" s="94" t="str">
        <f t="shared" si="53"/>
        <v>Portimao</v>
      </c>
      <c r="AA115" s="94">
        <f t="shared" si="65"/>
        <v>48</v>
      </c>
      <c r="AB115" s="96">
        <f t="shared" si="54"/>
        <v>14</v>
      </c>
      <c r="AC115" s="96">
        <f t="shared" si="55"/>
        <v>13</v>
      </c>
      <c r="AD115" s="96">
        <f t="shared" si="56"/>
        <v>15</v>
      </c>
      <c r="AE115" s="96">
        <f t="shared" si="57"/>
        <v>16</v>
      </c>
      <c r="AF115" s="96">
        <f t="shared" si="58"/>
        <v>27</v>
      </c>
      <c r="AG115" s="96">
        <f t="shared" si="59"/>
        <v>13</v>
      </c>
      <c r="AH115" s="96">
        <f t="shared" si="60"/>
        <v>13</v>
      </c>
      <c r="AI115" s="96">
        <f t="shared" si="61"/>
        <v>14</v>
      </c>
      <c r="AJ115" s="96">
        <f t="shared" si="62"/>
        <v>20</v>
      </c>
      <c r="AK115" s="96">
        <f t="shared" si="63"/>
        <v>29</v>
      </c>
      <c r="AL115" s="96">
        <f t="shared" si="64"/>
        <v>11</v>
      </c>
    </row>
    <row r="116" spans="26:55" x14ac:dyDescent="0.25">
      <c r="Z116" s="94" t="s">
        <v>253</v>
      </c>
      <c r="AA116" s="94">
        <v>50</v>
      </c>
      <c r="AB116" s="96">
        <v>12</v>
      </c>
      <c r="AC116" s="96">
        <v>34</v>
      </c>
      <c r="AD116" s="96">
        <v>25</v>
      </c>
      <c r="AE116" s="96">
        <v>28</v>
      </c>
      <c r="AF116" s="96">
        <v>17</v>
      </c>
      <c r="AG116" s="96">
        <v>18</v>
      </c>
      <c r="AH116" s="96">
        <v>19</v>
      </c>
      <c r="AI116" s="96">
        <v>21</v>
      </c>
      <c r="AJ116" s="96">
        <v>27</v>
      </c>
      <c r="AK116" s="96">
        <v>23</v>
      </c>
      <c r="AL116" s="96">
        <v>14</v>
      </c>
    </row>
  </sheetData>
  <sheetProtection selectLockedCells="1"/>
  <customSheetViews>
    <customSheetView guid="{58F65609-3622-42C4-9926-1A56B88F9C36}" hiddenRows="1" hiddenColumns="1">
      <selection activeCell="G32" sqref="G32"/>
      <pageMargins left="0.7" right="0.7" top="0.75" bottom="0.75" header="0.3" footer="0.3"/>
    </customSheetView>
  </customSheetViews>
  <conditionalFormatting sqref="Z67:AD67 T4:AD66">
    <cfRule type="colorScale" priority="2">
      <colorScale>
        <cfvo type="num" val="0"/>
        <cfvo type="num" val="20"/>
        <cfvo type="num" val="40"/>
        <color rgb="FF00B050"/>
        <color rgb="FFFFFF00"/>
        <color rgb="FFFF0000"/>
      </colorScale>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4F60-C7A3-489B-88BA-3E7309C475E0}">
  <dimension ref="A1:AN20"/>
  <sheetViews>
    <sheetView workbookViewId="0">
      <pane xSplit="7" ySplit="2" topLeftCell="T3" activePane="bottomRight" state="frozen"/>
      <selection pane="topRight" activeCell="H1" sqref="H1"/>
      <selection pane="bottomLeft" activeCell="A3" sqref="A3"/>
      <selection pane="bottomRight" activeCell="U2" sqref="U2"/>
    </sheetView>
  </sheetViews>
  <sheetFormatPr defaultRowHeight="15" x14ac:dyDescent="0.25"/>
  <cols>
    <col min="6" max="6" width="19.85546875" customWidth="1"/>
    <col min="22" max="22" width="10.85546875" bestFit="1" customWidth="1"/>
    <col min="23" max="23" width="10.140625" bestFit="1" customWidth="1"/>
    <col min="24" max="24" width="11" bestFit="1" customWidth="1"/>
    <col min="29" max="29" width="11.140625" bestFit="1" customWidth="1"/>
    <col min="30" max="30" width="10.5703125" bestFit="1" customWidth="1"/>
  </cols>
  <sheetData>
    <row r="1" spans="1:40" x14ac:dyDescent="0.25">
      <c r="A1" s="108" t="s">
        <v>314</v>
      </c>
      <c r="B1" s="107" t="s">
        <v>313</v>
      </c>
      <c r="C1" s="107" t="s">
        <v>312</v>
      </c>
      <c r="D1" s="107" t="s">
        <v>311</v>
      </c>
      <c r="E1" s="107" t="s">
        <v>310</v>
      </c>
      <c r="F1" s="681" t="s">
        <v>309</v>
      </c>
      <c r="G1" s="682"/>
      <c r="H1" s="107" t="s">
        <v>308</v>
      </c>
      <c r="I1" s="107" t="s">
        <v>299</v>
      </c>
      <c r="J1" s="107" t="s">
        <v>2</v>
      </c>
      <c r="K1" s="107" t="s">
        <v>831</v>
      </c>
      <c r="L1" s="107" t="s">
        <v>832</v>
      </c>
      <c r="M1" s="107" t="s">
        <v>307</v>
      </c>
      <c r="N1" s="107" t="s">
        <v>306</v>
      </c>
      <c r="O1" s="107" t="s">
        <v>305</v>
      </c>
      <c r="P1" s="107" t="s">
        <v>12</v>
      </c>
      <c r="Q1" s="107" t="s">
        <v>304</v>
      </c>
      <c r="R1" s="107" t="s">
        <v>303</v>
      </c>
      <c r="S1" s="107" t="s">
        <v>302</v>
      </c>
      <c r="T1" s="106" t="s">
        <v>299</v>
      </c>
      <c r="U1" s="106" t="s">
        <v>2</v>
      </c>
      <c r="V1" s="106" t="s">
        <v>0</v>
      </c>
      <c r="W1" s="106" t="s">
        <v>1</v>
      </c>
      <c r="X1" s="106" t="s">
        <v>298</v>
      </c>
      <c r="Y1" s="106" t="s">
        <v>297</v>
      </c>
      <c r="Z1" s="106" t="s">
        <v>296</v>
      </c>
      <c r="AA1" s="106" t="s">
        <v>295</v>
      </c>
      <c r="AB1" s="106" t="s">
        <v>3</v>
      </c>
      <c r="AC1" s="106" t="s">
        <v>5</v>
      </c>
      <c r="AD1" s="700" t="s">
        <v>294</v>
      </c>
      <c r="AE1" s="701"/>
    </row>
    <row r="2" spans="1:40" x14ac:dyDescent="0.25">
      <c r="A2" s="192">
        <v>197</v>
      </c>
      <c r="B2" s="98">
        <v>202</v>
      </c>
      <c r="C2" s="98">
        <v>24</v>
      </c>
      <c r="D2" s="98">
        <v>108</v>
      </c>
      <c r="E2" s="98">
        <v>142</v>
      </c>
      <c r="F2" s="193" t="s">
        <v>168</v>
      </c>
      <c r="G2" s="107" t="s">
        <v>223</v>
      </c>
      <c r="H2" s="98"/>
      <c r="I2" s="98"/>
      <c r="J2" s="98"/>
      <c r="K2" s="98"/>
      <c r="L2" s="98"/>
      <c r="M2" s="98"/>
      <c r="N2" s="98"/>
      <c r="O2" s="98"/>
      <c r="P2" s="98"/>
      <c r="Q2" s="98"/>
      <c r="R2" s="98"/>
      <c r="S2" s="98"/>
      <c r="T2" s="98">
        <v>6</v>
      </c>
      <c r="U2" s="98">
        <v>7</v>
      </c>
      <c r="V2" s="98">
        <v>6</v>
      </c>
      <c r="W2" s="98">
        <v>7</v>
      </c>
      <c r="X2" s="98">
        <v>7</v>
      </c>
      <c r="Y2" s="98">
        <v>7</v>
      </c>
      <c r="Z2" s="98">
        <v>6</v>
      </c>
      <c r="AA2" s="98">
        <v>5</v>
      </c>
      <c r="AB2" s="98">
        <v>6</v>
      </c>
      <c r="AC2" s="98">
        <v>6</v>
      </c>
      <c r="AD2" s="98">
        <v>5</v>
      </c>
      <c r="AE2" s="701"/>
    </row>
    <row r="3" spans="1:40" x14ac:dyDescent="0.25">
      <c r="A3" s="105">
        <v>8.0000000000000004E-4</v>
      </c>
      <c r="B3" s="104">
        <v>4.0000000000000002E-4</v>
      </c>
      <c r="C3" s="104">
        <v>5.9999999999999995E-4</v>
      </c>
      <c r="D3" s="104">
        <v>5.9999999999999995E-4</v>
      </c>
      <c r="E3" s="104">
        <v>2.0000000000000001E-4</v>
      </c>
      <c r="F3" s="94"/>
      <c r="G3" s="103"/>
      <c r="H3" s="102"/>
      <c r="I3" s="102"/>
      <c r="J3" s="102"/>
      <c r="K3" s="102"/>
      <c r="L3" s="102"/>
      <c r="M3" s="102"/>
      <c r="N3" s="102"/>
      <c r="O3" s="102"/>
      <c r="P3" s="102"/>
      <c r="Q3" s="102"/>
      <c r="R3" s="102"/>
      <c r="S3" s="102"/>
      <c r="T3" s="102">
        <f>($AF$5*T2^$AF$4+$AG$5*T2^$AG$4+$AH$5*T2^$AH$4+$AI$5*T2^$AI$4+$AJ$5*T2^$AJ$4+$AK$5*T2^$AK$4+$AL$5*T2^$AL$4+$AM$5*T2^$AM$4+$AN$5*T2^$AN$4)/10000</f>
        <v>4.0000000001160513E-3</v>
      </c>
      <c r="U3" s="102">
        <f>($AF$5*U2^$AF$4+$AG$5*U2^$AG$4+$AH$5*U2^$AH$4+$AI$5*U2^$AI$4+$AJ$5*U2^$AJ$4+$AK$5*U2^$AK$4+$AL$5*U2^$AL$4+$AM$5*U2^$AM$4+$AN$5*U2^$AN$4)/10000</f>
        <v>5.0000000001975426E-3</v>
      </c>
      <c r="V3" s="102">
        <f t="shared" ref="V3:AD3" si="0">($AF$5*V2^$AF$4+$AG$5*V2^$AG$4+$AH$5*V2^$AH$4+$AI$5*V2^$AI$4+$AJ$5*V2^$AJ$4+$AK$5*V2^$AK$4+$AL$5*V2^$AL$4+$AM$5*V2^$AM$4+$AN$5*V2^$AN$4)/10000</f>
        <v>4.0000000001160513E-3</v>
      </c>
      <c r="W3" s="102">
        <f t="shared" si="0"/>
        <v>5.0000000001975426E-3</v>
      </c>
      <c r="X3" s="102">
        <f t="shared" si="0"/>
        <v>5.0000000001975426E-3</v>
      </c>
      <c r="Y3" s="102">
        <f t="shared" si="0"/>
        <v>5.0000000001975426E-3</v>
      </c>
      <c r="Z3" s="102">
        <f t="shared" si="0"/>
        <v>4.0000000001160513E-3</v>
      </c>
      <c r="AA3" s="102">
        <f t="shared" si="0"/>
        <v>5.0000000000527504E-3</v>
      </c>
      <c r="AB3" s="102">
        <f t="shared" si="0"/>
        <v>4.0000000001160513E-3</v>
      </c>
      <c r="AC3" s="102">
        <f t="shared" si="0"/>
        <v>4.0000000001160513E-3</v>
      </c>
      <c r="AD3" s="102">
        <f t="shared" si="0"/>
        <v>5.0000000000527504E-3</v>
      </c>
      <c r="AE3" s="701"/>
    </row>
    <row r="4" spans="1:40" s="94" customFormat="1" x14ac:dyDescent="0.25">
      <c r="A4" s="94">
        <f t="shared" ref="A4:E19" si="1">1+A$2*A$3</f>
        <v>1.1576</v>
      </c>
      <c r="B4" s="94">
        <f t="shared" si="1"/>
        <v>1.0808</v>
      </c>
      <c r="C4" s="94">
        <f t="shared" si="1"/>
        <v>1.0144</v>
      </c>
      <c r="D4" s="94">
        <f t="shared" si="1"/>
        <v>1.0648</v>
      </c>
      <c r="E4" s="94">
        <f t="shared" si="1"/>
        <v>1.0284</v>
      </c>
      <c r="F4" s="99" t="s">
        <v>74</v>
      </c>
      <c r="G4" s="98">
        <v>0</v>
      </c>
      <c r="H4" s="97">
        <v>253.11294913794299</v>
      </c>
      <c r="I4" s="97">
        <v>23.191552627527699</v>
      </c>
      <c r="J4" s="97">
        <v>34.398251132389497</v>
      </c>
      <c r="K4" s="97">
        <v>19.664328528489001</v>
      </c>
      <c r="L4" s="97">
        <v>25.715547810903299</v>
      </c>
      <c r="M4" s="97">
        <v>21.409967117389598</v>
      </c>
      <c r="N4" s="97">
        <v>12.240677661672001</v>
      </c>
      <c r="O4" s="97">
        <v>12.4825395441363</v>
      </c>
      <c r="P4" s="97">
        <v>23.245398763395499</v>
      </c>
      <c r="Q4" s="97">
        <v>37.816180727552897</v>
      </c>
      <c r="R4" s="97">
        <v>34.331282306828797</v>
      </c>
      <c r="S4" s="97">
        <v>8.6172229176585002</v>
      </c>
      <c r="T4" s="97">
        <f t="shared" ref="T4:AD16" si="2">ROUNDUP(I4*$C4*(1+$G4*T$3)/($A4*$B4*$D4*$E4),0)</f>
        <v>18</v>
      </c>
      <c r="U4" s="100">
        <f t="shared" si="2"/>
        <v>26</v>
      </c>
      <c r="V4" s="97">
        <f t="shared" si="2"/>
        <v>15</v>
      </c>
      <c r="W4" s="100">
        <f t="shared" si="2"/>
        <v>20</v>
      </c>
      <c r="X4" s="97">
        <f t="shared" si="2"/>
        <v>16</v>
      </c>
      <c r="Y4" s="97">
        <f t="shared" si="2"/>
        <v>10</v>
      </c>
      <c r="Z4" s="97">
        <f t="shared" si="2"/>
        <v>10</v>
      </c>
      <c r="AA4" s="97">
        <f t="shared" si="2"/>
        <v>18</v>
      </c>
      <c r="AB4" s="101">
        <f t="shared" si="2"/>
        <v>28</v>
      </c>
      <c r="AC4" s="100">
        <f t="shared" si="2"/>
        <v>26</v>
      </c>
      <c r="AD4" s="97">
        <f t="shared" si="2"/>
        <v>7</v>
      </c>
      <c r="AF4" s="94">
        <v>8</v>
      </c>
      <c r="AG4" s="94">
        <v>7</v>
      </c>
      <c r="AH4" s="94">
        <v>6</v>
      </c>
      <c r="AI4" s="94">
        <v>5</v>
      </c>
      <c r="AJ4" s="94">
        <v>4</v>
      </c>
      <c r="AK4" s="94">
        <v>3</v>
      </c>
      <c r="AL4" s="94">
        <v>2</v>
      </c>
      <c r="AM4" s="94">
        <v>1</v>
      </c>
      <c r="AN4" s="94">
        <v>0</v>
      </c>
    </row>
    <row r="5" spans="1:40" s="94" customFormat="1" x14ac:dyDescent="0.25">
      <c r="A5" s="94">
        <f t="shared" si="1"/>
        <v>1.1576</v>
      </c>
      <c r="B5" s="94">
        <f t="shared" si="1"/>
        <v>1.0808</v>
      </c>
      <c r="C5" s="94">
        <f t="shared" si="1"/>
        <v>1.0144</v>
      </c>
      <c r="D5" s="94">
        <f t="shared" si="1"/>
        <v>1.0648</v>
      </c>
      <c r="E5" s="94">
        <f t="shared" si="1"/>
        <v>1.0284</v>
      </c>
      <c r="F5" s="390" t="s">
        <v>829</v>
      </c>
      <c r="G5" s="673">
        <v>60</v>
      </c>
      <c r="H5" s="97">
        <f t="shared" ref="H5" si="3">SUM(I5:S5)</f>
        <v>224</v>
      </c>
      <c r="I5" s="675">
        <v>30</v>
      </c>
      <c r="J5" s="675">
        <v>17</v>
      </c>
      <c r="K5" s="675">
        <v>16</v>
      </c>
      <c r="L5" s="675">
        <v>16</v>
      </c>
      <c r="M5" s="675">
        <v>23</v>
      </c>
      <c r="N5" s="675">
        <v>23</v>
      </c>
      <c r="O5" s="675">
        <v>11</v>
      </c>
      <c r="P5" s="675">
        <v>27</v>
      </c>
      <c r="Q5" s="675">
        <v>23</v>
      </c>
      <c r="R5" s="675">
        <v>27</v>
      </c>
      <c r="S5" s="675">
        <v>11</v>
      </c>
      <c r="T5" s="674">
        <f t="shared" si="2"/>
        <v>28</v>
      </c>
      <c r="U5" s="392">
        <f t="shared" si="2"/>
        <v>17</v>
      </c>
      <c r="V5" s="392">
        <f t="shared" si="2"/>
        <v>15</v>
      </c>
      <c r="W5" s="392">
        <f t="shared" si="2"/>
        <v>16</v>
      </c>
      <c r="X5" s="392">
        <f t="shared" si="2"/>
        <v>23</v>
      </c>
      <c r="Y5" s="392">
        <f t="shared" si="2"/>
        <v>23</v>
      </c>
      <c r="Z5" s="392">
        <f t="shared" si="2"/>
        <v>11</v>
      </c>
      <c r="AA5" s="392">
        <f t="shared" si="2"/>
        <v>26</v>
      </c>
      <c r="AB5" s="392">
        <f t="shared" si="2"/>
        <v>22</v>
      </c>
      <c r="AC5" s="392">
        <f t="shared" si="2"/>
        <v>25</v>
      </c>
      <c r="AD5" s="392">
        <f t="shared" si="2"/>
        <v>11</v>
      </c>
      <c r="AF5" s="94">
        <v>1.0044642856939401E-2</v>
      </c>
      <c r="AG5" s="94">
        <v>-0.39434523808724198</v>
      </c>
      <c r="AH5" s="94">
        <v>6.4913194443125599</v>
      </c>
      <c r="AI5" s="94">
        <v>-58.291666665479099</v>
      </c>
      <c r="AJ5" s="94">
        <v>311.29079860475798</v>
      </c>
      <c r="AK5" s="94">
        <v>-1010.67708331277</v>
      </c>
      <c r="AL5" s="94">
        <v>1957.2078372625399</v>
      </c>
      <c r="AM5" s="94">
        <v>-2125.6369047223998</v>
      </c>
      <c r="AN5" s="94">
        <v>1144.9999999838001</v>
      </c>
    </row>
    <row r="6" spans="1:40" s="94" customFormat="1" x14ac:dyDescent="0.25">
      <c r="A6" s="94">
        <f t="shared" si="1"/>
        <v>1.1576</v>
      </c>
      <c r="B6" s="94">
        <f t="shared" si="1"/>
        <v>1.0808</v>
      </c>
      <c r="C6" s="94">
        <f t="shared" si="1"/>
        <v>1.0144</v>
      </c>
      <c r="D6" s="94">
        <f t="shared" si="1"/>
        <v>1.0648</v>
      </c>
      <c r="E6" s="94">
        <f t="shared" si="1"/>
        <v>1.0284</v>
      </c>
      <c r="F6" s="99" t="s">
        <v>55</v>
      </c>
      <c r="G6" s="98">
        <v>40</v>
      </c>
      <c r="H6" s="97">
        <v>235.75095033031801</v>
      </c>
      <c r="I6" s="97">
        <v>16.3396164270833</v>
      </c>
      <c r="J6" s="97">
        <v>37.721022938843397</v>
      </c>
      <c r="K6" s="97">
        <v>21.6669967467354</v>
      </c>
      <c r="L6" s="97">
        <v>18.616639519058399</v>
      </c>
      <c r="M6" s="97">
        <v>20.686343008519099</v>
      </c>
      <c r="N6" s="97">
        <v>14.3511876623764</v>
      </c>
      <c r="O6" s="97">
        <v>10.850259919645699</v>
      </c>
      <c r="P6" s="97">
        <v>27.665212011863002</v>
      </c>
      <c r="Q6" s="97">
        <v>32.847235527304903</v>
      </c>
      <c r="R6" s="97">
        <v>24.824292846198102</v>
      </c>
      <c r="S6" s="97">
        <v>10.182143722690499</v>
      </c>
      <c r="T6" s="97">
        <f t="shared" si="2"/>
        <v>15</v>
      </c>
      <c r="U6" s="101">
        <f t="shared" si="2"/>
        <v>34</v>
      </c>
      <c r="V6" s="97">
        <f t="shared" si="2"/>
        <v>19</v>
      </c>
      <c r="W6" s="97">
        <f t="shared" si="2"/>
        <v>17</v>
      </c>
      <c r="X6" s="97">
        <f t="shared" si="2"/>
        <v>19</v>
      </c>
      <c r="Y6" s="97">
        <f t="shared" si="2"/>
        <v>13</v>
      </c>
      <c r="Z6" s="97">
        <f t="shared" si="2"/>
        <v>10</v>
      </c>
      <c r="AA6" s="100">
        <f t="shared" si="2"/>
        <v>25</v>
      </c>
      <c r="AB6" s="100">
        <f t="shared" si="2"/>
        <v>29</v>
      </c>
      <c r="AC6" s="100">
        <f t="shared" si="2"/>
        <v>22</v>
      </c>
      <c r="AD6" s="97">
        <f t="shared" si="2"/>
        <v>10</v>
      </c>
    </row>
    <row r="7" spans="1:40" s="94" customFormat="1" x14ac:dyDescent="0.25">
      <c r="A7" s="94">
        <f t="shared" si="1"/>
        <v>1.1576</v>
      </c>
      <c r="B7" s="94">
        <f t="shared" si="1"/>
        <v>1.0808</v>
      </c>
      <c r="C7" s="94">
        <f t="shared" si="1"/>
        <v>1.0144</v>
      </c>
      <c r="D7" s="94">
        <f t="shared" si="1"/>
        <v>1.0648</v>
      </c>
      <c r="E7" s="94">
        <f t="shared" si="1"/>
        <v>1.0284</v>
      </c>
      <c r="F7" s="99" t="s">
        <v>89</v>
      </c>
      <c r="G7" s="98">
        <v>40</v>
      </c>
      <c r="H7" s="97">
        <f t="shared" ref="H7" si="4">SUM(I7:S7)</f>
        <v>250.83778688820385</v>
      </c>
      <c r="I7" s="97">
        <v>21.437136354775301</v>
      </c>
      <c r="J7" s="97">
        <v>29.5474087172331</v>
      </c>
      <c r="K7" s="97">
        <v>25.015706395898</v>
      </c>
      <c r="L7" s="97">
        <v>29.918942440527001</v>
      </c>
      <c r="M7" s="97">
        <v>25.469259900039901</v>
      </c>
      <c r="N7" s="97">
        <v>20.812669851400202</v>
      </c>
      <c r="O7" s="97">
        <v>18.018269810618001</v>
      </c>
      <c r="P7" s="97">
        <v>22.8111847745642</v>
      </c>
      <c r="Q7" s="97">
        <v>23.550764787428001</v>
      </c>
      <c r="R7" s="97">
        <v>18.6898852154726</v>
      </c>
      <c r="S7" s="97">
        <v>15.566558640247599</v>
      </c>
      <c r="T7" s="97">
        <f t="shared" si="2"/>
        <v>19</v>
      </c>
      <c r="U7" s="100">
        <f t="shared" si="2"/>
        <v>27</v>
      </c>
      <c r="V7" s="100">
        <f t="shared" si="2"/>
        <v>22</v>
      </c>
      <c r="W7" s="100">
        <f t="shared" si="2"/>
        <v>27</v>
      </c>
      <c r="X7" s="100">
        <f t="shared" si="2"/>
        <v>23</v>
      </c>
      <c r="Y7" s="97">
        <f t="shared" si="2"/>
        <v>19</v>
      </c>
      <c r="Z7" s="97">
        <f t="shared" si="2"/>
        <v>16</v>
      </c>
      <c r="AA7" s="97">
        <f t="shared" si="2"/>
        <v>21</v>
      </c>
      <c r="AB7" s="97">
        <f t="shared" si="2"/>
        <v>21</v>
      </c>
      <c r="AC7" s="97">
        <f t="shared" si="2"/>
        <v>17</v>
      </c>
      <c r="AD7" s="97">
        <f t="shared" si="2"/>
        <v>14</v>
      </c>
    </row>
    <row r="8" spans="1:40" s="94" customFormat="1" x14ac:dyDescent="0.25">
      <c r="A8" s="94">
        <f t="shared" si="1"/>
        <v>1.1576</v>
      </c>
      <c r="B8" s="94">
        <f t="shared" si="1"/>
        <v>1.0808</v>
      </c>
      <c r="C8" s="94">
        <f t="shared" si="1"/>
        <v>1.0144</v>
      </c>
      <c r="D8" s="94">
        <f t="shared" si="1"/>
        <v>1.0648</v>
      </c>
      <c r="E8" s="94">
        <f t="shared" si="1"/>
        <v>1.0284</v>
      </c>
      <c r="F8" s="99" t="s">
        <v>70</v>
      </c>
      <c r="G8" s="98">
        <v>40</v>
      </c>
      <c r="H8" s="97">
        <v>243.91567954556101</v>
      </c>
      <c r="I8" s="97">
        <v>11.1038086817448</v>
      </c>
      <c r="J8" s="97">
        <v>13.2390901041144</v>
      </c>
      <c r="K8" s="97">
        <v>41.326687000576101</v>
      </c>
      <c r="L8" s="97">
        <v>41.319273370749301</v>
      </c>
      <c r="M8" s="97">
        <v>21.2319864482605</v>
      </c>
      <c r="N8" s="97">
        <v>7.5697044392202804</v>
      </c>
      <c r="O8" s="97">
        <v>11.1583077132174</v>
      </c>
      <c r="P8" s="97">
        <v>22.211453730031</v>
      </c>
      <c r="Q8" s="97">
        <v>36.242358082495201</v>
      </c>
      <c r="R8" s="97">
        <v>28.820035878192801</v>
      </c>
      <c r="S8" s="97">
        <v>9.6929740969594498</v>
      </c>
      <c r="T8" s="97">
        <f t="shared" si="2"/>
        <v>10</v>
      </c>
      <c r="U8" s="97">
        <f t="shared" si="2"/>
        <v>12</v>
      </c>
      <c r="V8" s="101">
        <f t="shared" si="2"/>
        <v>36</v>
      </c>
      <c r="W8" s="101">
        <f t="shared" si="2"/>
        <v>37</v>
      </c>
      <c r="X8" s="97">
        <f t="shared" si="2"/>
        <v>19</v>
      </c>
      <c r="Y8" s="97">
        <f t="shared" si="2"/>
        <v>7</v>
      </c>
      <c r="Z8" s="97">
        <f t="shared" si="2"/>
        <v>10</v>
      </c>
      <c r="AA8" s="97">
        <f t="shared" si="2"/>
        <v>20</v>
      </c>
      <c r="AB8" s="100">
        <f t="shared" si="2"/>
        <v>32</v>
      </c>
      <c r="AC8" s="100">
        <f t="shared" si="2"/>
        <v>25</v>
      </c>
      <c r="AD8" s="97">
        <f t="shared" si="2"/>
        <v>9</v>
      </c>
    </row>
    <row r="9" spans="1:40" s="94" customFormat="1" x14ac:dyDescent="0.25">
      <c r="A9" s="94">
        <f t="shared" si="1"/>
        <v>1.1576</v>
      </c>
      <c r="B9" s="94">
        <f t="shared" si="1"/>
        <v>1.0808</v>
      </c>
      <c r="C9" s="94">
        <f t="shared" si="1"/>
        <v>1.0144</v>
      </c>
      <c r="D9" s="94">
        <f t="shared" si="1"/>
        <v>1.0648</v>
      </c>
      <c r="E9" s="94">
        <f t="shared" si="1"/>
        <v>1.0284</v>
      </c>
      <c r="F9" s="99" t="s">
        <v>301</v>
      </c>
      <c r="G9" s="98">
        <v>70</v>
      </c>
      <c r="H9" s="97">
        <f t="shared" ref="H9" si="5">SUM(I9:S9)</f>
        <v>244.17633443128423</v>
      </c>
      <c r="I9" s="97">
        <v>20.958355619667699</v>
      </c>
      <c r="J9" s="97">
        <v>76.0056624478391</v>
      </c>
      <c r="K9" s="97">
        <v>12.883789926241899</v>
      </c>
      <c r="L9" s="97">
        <v>15.5275030749804</v>
      </c>
      <c r="M9" s="97">
        <v>25.223579488593298</v>
      </c>
      <c r="N9" s="97">
        <v>16.491508473055202</v>
      </c>
      <c r="O9" s="97">
        <v>19.606968470129001</v>
      </c>
      <c r="P9" s="97">
        <v>11.950596004560399</v>
      </c>
      <c r="Q9" s="97">
        <v>8.5276798201701407</v>
      </c>
      <c r="R9" s="97">
        <v>22.9054874351203</v>
      </c>
      <c r="S9" s="97">
        <v>14.0952036709268</v>
      </c>
      <c r="T9" s="97">
        <f t="shared" si="2"/>
        <v>20</v>
      </c>
      <c r="U9" s="101">
        <f t="shared" si="2"/>
        <v>76</v>
      </c>
      <c r="V9" s="97">
        <f t="shared" si="2"/>
        <v>13</v>
      </c>
      <c r="W9" s="97">
        <f t="shared" si="2"/>
        <v>16</v>
      </c>
      <c r="X9" s="100">
        <f t="shared" si="2"/>
        <v>26</v>
      </c>
      <c r="Y9" s="97">
        <f t="shared" si="2"/>
        <v>17</v>
      </c>
      <c r="Z9" s="97">
        <f t="shared" si="2"/>
        <v>19</v>
      </c>
      <c r="AA9" s="97">
        <f t="shared" si="2"/>
        <v>12</v>
      </c>
      <c r="AB9" s="97">
        <f t="shared" si="2"/>
        <v>9</v>
      </c>
      <c r="AC9" s="97">
        <f t="shared" si="2"/>
        <v>22</v>
      </c>
      <c r="AD9" s="97">
        <f t="shared" si="2"/>
        <v>15</v>
      </c>
    </row>
    <row r="10" spans="1:40" s="94" customFormat="1" x14ac:dyDescent="0.25">
      <c r="A10" s="94">
        <f t="shared" si="1"/>
        <v>1.1576</v>
      </c>
      <c r="B10" s="94">
        <f t="shared" si="1"/>
        <v>1.0808</v>
      </c>
      <c r="C10" s="94">
        <f t="shared" si="1"/>
        <v>1.0144</v>
      </c>
      <c r="D10" s="94">
        <f t="shared" si="1"/>
        <v>1.0648</v>
      </c>
      <c r="E10" s="94">
        <f t="shared" si="1"/>
        <v>1.0284</v>
      </c>
      <c r="F10" s="99" t="s">
        <v>69</v>
      </c>
      <c r="G10" s="98">
        <v>40</v>
      </c>
      <c r="H10" s="97">
        <v>167.14481761715501</v>
      </c>
      <c r="I10" s="97">
        <v>9.8621868050441694</v>
      </c>
      <c r="J10" s="97">
        <v>18.281885148902401</v>
      </c>
      <c r="K10" s="97">
        <v>12.5352128363914</v>
      </c>
      <c r="L10" s="97">
        <v>11.0861241383425</v>
      </c>
      <c r="M10" s="97">
        <v>15.1658179857642</v>
      </c>
      <c r="N10" s="97">
        <v>10.8251665390233</v>
      </c>
      <c r="O10" s="97">
        <v>14.7048180130316</v>
      </c>
      <c r="P10" s="97">
        <v>23.484163898476101</v>
      </c>
      <c r="Q10" s="97">
        <v>10.220000866338101</v>
      </c>
      <c r="R10" s="97">
        <v>28.088040400950501</v>
      </c>
      <c r="S10" s="97">
        <v>12.891400984890399</v>
      </c>
      <c r="T10" s="97">
        <f t="shared" si="2"/>
        <v>9</v>
      </c>
      <c r="U10" s="97">
        <f t="shared" si="2"/>
        <v>17</v>
      </c>
      <c r="V10" s="97">
        <f t="shared" si="2"/>
        <v>11</v>
      </c>
      <c r="W10" s="97">
        <f t="shared" si="2"/>
        <v>10</v>
      </c>
      <c r="X10" s="97">
        <f t="shared" si="2"/>
        <v>14</v>
      </c>
      <c r="Y10" s="97">
        <f t="shared" si="2"/>
        <v>10</v>
      </c>
      <c r="Z10" s="97">
        <f t="shared" si="2"/>
        <v>13</v>
      </c>
      <c r="AA10" s="97">
        <f t="shared" si="2"/>
        <v>21</v>
      </c>
      <c r="AB10" s="97">
        <f t="shared" si="2"/>
        <v>9</v>
      </c>
      <c r="AC10" s="100">
        <f t="shared" si="2"/>
        <v>25</v>
      </c>
      <c r="AD10" s="97">
        <f t="shared" si="2"/>
        <v>12</v>
      </c>
    </row>
    <row r="11" spans="1:40" s="94" customFormat="1" x14ac:dyDescent="0.25">
      <c r="A11" s="94">
        <f t="shared" si="1"/>
        <v>1.1576</v>
      </c>
      <c r="B11" s="94">
        <f t="shared" si="1"/>
        <v>1.0808</v>
      </c>
      <c r="C11" s="94">
        <f t="shared" si="1"/>
        <v>1.0144</v>
      </c>
      <c r="D11" s="94">
        <f t="shared" si="1"/>
        <v>1.0648</v>
      </c>
      <c r="E11" s="94">
        <f t="shared" si="1"/>
        <v>1.0284</v>
      </c>
      <c r="F11" s="99" t="s">
        <v>54</v>
      </c>
      <c r="G11" s="98">
        <v>40</v>
      </c>
      <c r="H11" s="97">
        <v>294.17351906212201</v>
      </c>
      <c r="I11" s="97">
        <v>22.4128217774742</v>
      </c>
      <c r="J11" s="97">
        <v>39.146859267617202</v>
      </c>
      <c r="K11" s="97">
        <v>17.491332193863599</v>
      </c>
      <c r="L11" s="97">
        <v>21.984847726694099</v>
      </c>
      <c r="M11" s="97">
        <v>16.0282460820182</v>
      </c>
      <c r="N11" s="97">
        <v>13.6785202045911</v>
      </c>
      <c r="O11" s="97">
        <v>18.708915422735899</v>
      </c>
      <c r="P11" s="97">
        <v>41.144774342384203</v>
      </c>
      <c r="Q11" s="97">
        <v>51.9180657290852</v>
      </c>
      <c r="R11" s="97">
        <v>36.560338448288597</v>
      </c>
      <c r="S11" s="97">
        <v>15.098797867369401</v>
      </c>
      <c r="T11" s="97">
        <f>ROUNDUP(I11*$C11*(1+$G11*T$3)/($A11*$B11*$D11*$E11),0)</f>
        <v>20</v>
      </c>
      <c r="U11" s="101">
        <f t="shared" si="2"/>
        <v>35</v>
      </c>
      <c r="V11" s="97">
        <f t="shared" si="2"/>
        <v>16</v>
      </c>
      <c r="W11" s="97">
        <f t="shared" si="2"/>
        <v>20</v>
      </c>
      <c r="X11" s="97">
        <f t="shared" si="2"/>
        <v>15</v>
      </c>
      <c r="Y11" s="97">
        <f t="shared" si="2"/>
        <v>13</v>
      </c>
      <c r="Z11" s="97">
        <f t="shared" si="2"/>
        <v>17</v>
      </c>
      <c r="AA11" s="101">
        <f t="shared" si="2"/>
        <v>37</v>
      </c>
      <c r="AB11" s="101">
        <f t="shared" si="2"/>
        <v>45</v>
      </c>
      <c r="AC11" s="100">
        <f t="shared" si="2"/>
        <v>32</v>
      </c>
      <c r="AD11" s="97">
        <f t="shared" si="2"/>
        <v>14</v>
      </c>
    </row>
    <row r="12" spans="1:40" s="94" customFormat="1" x14ac:dyDescent="0.25">
      <c r="A12" s="94">
        <f t="shared" si="1"/>
        <v>1.1576</v>
      </c>
      <c r="B12" s="94">
        <f t="shared" si="1"/>
        <v>1.0808</v>
      </c>
      <c r="C12" s="94">
        <f t="shared" si="1"/>
        <v>1.0144</v>
      </c>
      <c r="D12" s="94">
        <f t="shared" si="1"/>
        <v>1.0648</v>
      </c>
      <c r="E12" s="94">
        <f t="shared" si="1"/>
        <v>1.0284</v>
      </c>
      <c r="F12" s="99" t="s">
        <v>49</v>
      </c>
      <c r="G12" s="98">
        <v>40</v>
      </c>
      <c r="H12" s="97">
        <v>242.88965104067501</v>
      </c>
      <c r="I12" s="97">
        <v>27.611885309806201</v>
      </c>
      <c r="J12" s="97">
        <v>14.3613446970295</v>
      </c>
      <c r="K12" s="97">
        <v>28.886643641276901</v>
      </c>
      <c r="L12" s="97">
        <v>34.2298635523222</v>
      </c>
      <c r="M12" s="97">
        <v>31.179053007073399</v>
      </c>
      <c r="N12" s="97">
        <v>18.940363005429401</v>
      </c>
      <c r="O12" s="97">
        <v>22.047157405830699</v>
      </c>
      <c r="P12" s="97">
        <v>21.323113913192401</v>
      </c>
      <c r="Q12" s="97">
        <v>17.360114815478902</v>
      </c>
      <c r="R12" s="97">
        <v>11.1321009547434</v>
      </c>
      <c r="S12" s="97">
        <v>15.818010738492299</v>
      </c>
      <c r="T12" s="100">
        <f t="shared" ref="T12:AD20" si="6">ROUNDUP(I12*$C12*(1+$G12*T$3)/($A12*$B12*$D12*$E12),0)</f>
        <v>24</v>
      </c>
      <c r="U12" s="97">
        <f t="shared" si="2"/>
        <v>13</v>
      </c>
      <c r="V12" s="100">
        <f t="shared" si="2"/>
        <v>25</v>
      </c>
      <c r="W12" s="100">
        <f t="shared" si="2"/>
        <v>31</v>
      </c>
      <c r="X12" s="100">
        <f t="shared" si="2"/>
        <v>28</v>
      </c>
      <c r="Y12" s="97">
        <f t="shared" si="2"/>
        <v>17</v>
      </c>
      <c r="Z12" s="97">
        <f t="shared" si="2"/>
        <v>19</v>
      </c>
      <c r="AA12" s="97">
        <f t="shared" si="2"/>
        <v>19</v>
      </c>
      <c r="AB12" s="97">
        <f t="shared" si="2"/>
        <v>15</v>
      </c>
      <c r="AC12" s="97">
        <f t="shared" si="2"/>
        <v>10</v>
      </c>
      <c r="AD12" s="97">
        <f t="shared" si="2"/>
        <v>15</v>
      </c>
    </row>
    <row r="13" spans="1:40" s="94" customFormat="1" x14ac:dyDescent="0.25">
      <c r="A13" s="94">
        <f t="shared" si="1"/>
        <v>1.1576</v>
      </c>
      <c r="B13" s="94">
        <f t="shared" si="1"/>
        <v>1.0808</v>
      </c>
      <c r="C13" s="94">
        <f t="shared" si="1"/>
        <v>1.0144</v>
      </c>
      <c r="D13" s="94">
        <f t="shared" si="1"/>
        <v>1.0648</v>
      </c>
      <c r="E13" s="94">
        <f t="shared" si="1"/>
        <v>1.0284</v>
      </c>
      <c r="F13" s="390" t="s">
        <v>841</v>
      </c>
      <c r="G13" s="698">
        <v>40</v>
      </c>
      <c r="H13" s="97">
        <f t="shared" ref="H13" si="7">SUM(I13:S13)</f>
        <v>206</v>
      </c>
      <c r="I13" s="696">
        <v>14</v>
      </c>
      <c r="J13" s="696">
        <v>49</v>
      </c>
      <c r="K13" s="696">
        <v>13</v>
      </c>
      <c r="L13" s="696">
        <v>14</v>
      </c>
      <c r="M13" s="696">
        <v>12</v>
      </c>
      <c r="N13" s="696">
        <v>17</v>
      </c>
      <c r="O13" s="696">
        <v>12</v>
      </c>
      <c r="P13" s="696">
        <v>19</v>
      </c>
      <c r="Q13" s="696">
        <v>35</v>
      </c>
      <c r="R13" s="696">
        <v>12</v>
      </c>
      <c r="S13" s="696">
        <v>9</v>
      </c>
      <c r="T13" s="674">
        <f t="shared" si="6"/>
        <v>13</v>
      </c>
      <c r="U13" s="680">
        <f t="shared" si="2"/>
        <v>44</v>
      </c>
      <c r="V13" s="392">
        <f t="shared" si="2"/>
        <v>12</v>
      </c>
      <c r="W13" s="392">
        <f t="shared" si="2"/>
        <v>13</v>
      </c>
      <c r="X13" s="392">
        <f t="shared" si="2"/>
        <v>11</v>
      </c>
      <c r="Y13" s="392">
        <f t="shared" si="2"/>
        <v>16</v>
      </c>
      <c r="Z13" s="392">
        <f t="shared" si="2"/>
        <v>11</v>
      </c>
      <c r="AA13" s="680">
        <f t="shared" si="2"/>
        <v>17</v>
      </c>
      <c r="AB13" s="392">
        <f t="shared" si="2"/>
        <v>31</v>
      </c>
      <c r="AC13" s="392">
        <f t="shared" si="2"/>
        <v>11</v>
      </c>
      <c r="AD13" s="392">
        <f t="shared" si="2"/>
        <v>8</v>
      </c>
    </row>
    <row r="14" spans="1:40" s="94" customFormat="1" x14ac:dyDescent="0.25">
      <c r="A14" s="94">
        <f t="shared" si="1"/>
        <v>1.1576</v>
      </c>
      <c r="B14" s="94">
        <f t="shared" si="1"/>
        <v>1.0808</v>
      </c>
      <c r="C14" s="94">
        <f t="shared" si="1"/>
        <v>1.0144</v>
      </c>
      <c r="D14" s="94">
        <f t="shared" si="1"/>
        <v>1.0648</v>
      </c>
      <c r="E14" s="94">
        <f t="shared" si="1"/>
        <v>1.0284</v>
      </c>
      <c r="F14" s="99" t="s">
        <v>253</v>
      </c>
      <c r="G14" s="98">
        <v>40</v>
      </c>
      <c r="H14" s="97">
        <f>SUM(I14:S14)</f>
        <v>254</v>
      </c>
      <c r="I14" s="97">
        <v>20</v>
      </c>
      <c r="J14" s="97">
        <v>40</v>
      </c>
      <c r="K14" s="97">
        <v>29</v>
      </c>
      <c r="L14" s="97">
        <v>24</v>
      </c>
      <c r="M14" s="97">
        <v>17</v>
      </c>
      <c r="N14" s="97">
        <v>11</v>
      </c>
      <c r="O14" s="97">
        <v>14</v>
      </c>
      <c r="P14" s="97">
        <v>25</v>
      </c>
      <c r="Q14" s="97">
        <v>35</v>
      </c>
      <c r="R14" s="97">
        <v>31</v>
      </c>
      <c r="S14" s="97">
        <v>8</v>
      </c>
      <c r="T14" s="97">
        <f t="shared" si="6"/>
        <v>18</v>
      </c>
      <c r="U14" s="97">
        <f t="shared" si="2"/>
        <v>36</v>
      </c>
      <c r="V14" s="97">
        <f t="shared" si="2"/>
        <v>25</v>
      </c>
      <c r="W14" s="97">
        <f t="shared" si="2"/>
        <v>22</v>
      </c>
      <c r="X14" s="97">
        <f t="shared" si="2"/>
        <v>16</v>
      </c>
      <c r="Y14" s="97">
        <f t="shared" si="2"/>
        <v>10</v>
      </c>
      <c r="Z14" s="97">
        <f t="shared" si="2"/>
        <v>13</v>
      </c>
      <c r="AA14" s="97">
        <f t="shared" si="2"/>
        <v>23</v>
      </c>
      <c r="AB14" s="97">
        <f t="shared" si="2"/>
        <v>31</v>
      </c>
      <c r="AC14" s="97">
        <f t="shared" si="2"/>
        <v>27</v>
      </c>
      <c r="AD14" s="97">
        <f t="shared" si="2"/>
        <v>8</v>
      </c>
    </row>
    <row r="15" spans="1:40" s="94" customFormat="1" x14ac:dyDescent="0.25">
      <c r="A15" s="94">
        <f t="shared" si="1"/>
        <v>1.1576</v>
      </c>
      <c r="B15" s="94">
        <f t="shared" si="1"/>
        <v>1.0808</v>
      </c>
      <c r="C15" s="94">
        <f t="shared" si="1"/>
        <v>1.0144</v>
      </c>
      <c r="D15" s="94">
        <f t="shared" si="1"/>
        <v>1.0648</v>
      </c>
      <c r="E15" s="94">
        <f t="shared" si="1"/>
        <v>1.0284</v>
      </c>
      <c r="F15" s="99" t="s">
        <v>81</v>
      </c>
      <c r="G15" s="98">
        <v>40</v>
      </c>
      <c r="H15" s="97">
        <f t="shared" ref="H15" si="8">SUM(I15:S15)</f>
        <v>243.0662345261471</v>
      </c>
      <c r="I15" s="97">
        <v>21.474382392386602</v>
      </c>
      <c r="J15" s="97">
        <v>16.018899807821398</v>
      </c>
      <c r="K15" s="97">
        <v>25.737128137739798</v>
      </c>
      <c r="L15" s="97">
        <v>22.5898619615777</v>
      </c>
      <c r="M15" s="97">
        <v>25.159541285503099</v>
      </c>
      <c r="N15" s="97">
        <v>17.480692916455801</v>
      </c>
      <c r="O15" s="97">
        <v>21.45045462741</v>
      </c>
      <c r="P15" s="97">
        <v>21.516213751560102</v>
      </c>
      <c r="Q15" s="97">
        <v>33.002377628908199</v>
      </c>
      <c r="R15" s="97">
        <v>19.540892352201499</v>
      </c>
      <c r="S15" s="97">
        <v>19.095789664582899</v>
      </c>
      <c r="T15" s="97">
        <f t="shared" si="6"/>
        <v>19</v>
      </c>
      <c r="U15" s="97">
        <f t="shared" si="2"/>
        <v>15</v>
      </c>
      <c r="V15" s="100">
        <f t="shared" si="2"/>
        <v>23</v>
      </c>
      <c r="W15" s="97">
        <f t="shared" si="2"/>
        <v>21</v>
      </c>
      <c r="X15" s="100">
        <f t="shared" si="2"/>
        <v>23</v>
      </c>
      <c r="Y15" s="97">
        <f t="shared" si="2"/>
        <v>16</v>
      </c>
      <c r="Z15" s="97">
        <f t="shared" si="2"/>
        <v>19</v>
      </c>
      <c r="AA15" s="97">
        <f t="shared" si="2"/>
        <v>20</v>
      </c>
      <c r="AB15" s="100">
        <f t="shared" si="2"/>
        <v>29</v>
      </c>
      <c r="AC15" s="97">
        <f t="shared" si="2"/>
        <v>17</v>
      </c>
      <c r="AD15" s="97">
        <f t="shared" si="2"/>
        <v>17</v>
      </c>
    </row>
    <row r="16" spans="1:40" s="94" customFormat="1" x14ac:dyDescent="0.25">
      <c r="A16" s="94">
        <f t="shared" si="1"/>
        <v>1.1576</v>
      </c>
      <c r="B16" s="94">
        <f t="shared" si="1"/>
        <v>1.0808</v>
      </c>
      <c r="C16" s="94">
        <f t="shared" si="1"/>
        <v>1.0144</v>
      </c>
      <c r="D16" s="94">
        <f t="shared" si="1"/>
        <v>1.0648</v>
      </c>
      <c r="E16" s="94">
        <f t="shared" si="1"/>
        <v>1.0284</v>
      </c>
      <c r="F16" s="99" t="s">
        <v>78</v>
      </c>
      <c r="G16" s="98">
        <v>40</v>
      </c>
      <c r="H16" s="97">
        <v>243.29396835935799</v>
      </c>
      <c r="I16" s="97">
        <v>18.097203832585802</v>
      </c>
      <c r="J16" s="97">
        <v>33.043042785862497</v>
      </c>
      <c r="K16" s="97">
        <v>23.824066976248101</v>
      </c>
      <c r="L16" s="97">
        <v>18.895744542893102</v>
      </c>
      <c r="M16" s="97">
        <v>23.444988012613901</v>
      </c>
      <c r="N16" s="97">
        <v>12.842337613617101</v>
      </c>
      <c r="O16" s="97">
        <v>23.147934667788999</v>
      </c>
      <c r="P16" s="97">
        <v>26.7887806792309</v>
      </c>
      <c r="Q16" s="97">
        <v>31.262264818535201</v>
      </c>
      <c r="R16" s="97">
        <v>18.693864628579099</v>
      </c>
      <c r="S16" s="97">
        <v>13.253739801402901</v>
      </c>
      <c r="T16" s="97">
        <f t="shared" si="6"/>
        <v>16</v>
      </c>
      <c r="U16" s="100">
        <f>ROUNDUP(J16*$C16*(1+$G16*U$3)/($A16*$B16*$D16*$E16),0)</f>
        <v>30</v>
      </c>
      <c r="V16" s="97">
        <f t="shared" si="2"/>
        <v>21</v>
      </c>
      <c r="W16" s="97">
        <f t="shared" si="2"/>
        <v>17</v>
      </c>
      <c r="X16" s="97">
        <f t="shared" si="2"/>
        <v>21</v>
      </c>
      <c r="Y16" s="97">
        <f t="shared" si="2"/>
        <v>12</v>
      </c>
      <c r="Z16" s="97">
        <f t="shared" si="2"/>
        <v>20</v>
      </c>
      <c r="AA16" s="100">
        <f t="shared" si="2"/>
        <v>24</v>
      </c>
      <c r="AB16" s="100">
        <f t="shared" si="2"/>
        <v>27</v>
      </c>
      <c r="AC16" s="97">
        <f t="shared" si="2"/>
        <v>17</v>
      </c>
      <c r="AD16" s="97">
        <f t="shared" si="2"/>
        <v>12</v>
      </c>
    </row>
    <row r="17" spans="1:30" s="94" customFormat="1" x14ac:dyDescent="0.25">
      <c r="A17" s="94">
        <f t="shared" si="1"/>
        <v>1.1576</v>
      </c>
      <c r="B17" s="94">
        <f t="shared" si="1"/>
        <v>1.0808</v>
      </c>
      <c r="C17" s="94">
        <f t="shared" si="1"/>
        <v>1.0144</v>
      </c>
      <c r="D17" s="94">
        <f t="shared" si="1"/>
        <v>1.0648</v>
      </c>
      <c r="E17" s="94">
        <f t="shared" si="1"/>
        <v>1.0284</v>
      </c>
      <c r="F17" s="390" t="s">
        <v>844</v>
      </c>
      <c r="G17" s="673">
        <v>40</v>
      </c>
      <c r="H17" s="97">
        <f t="shared" ref="H17" si="9">SUM(I17:S17)</f>
        <v>238</v>
      </c>
      <c r="I17" s="675">
        <v>21</v>
      </c>
      <c r="J17" s="675">
        <v>27</v>
      </c>
      <c r="K17" s="675">
        <v>21</v>
      </c>
      <c r="L17" s="675">
        <v>22</v>
      </c>
      <c r="M17" s="675">
        <v>20</v>
      </c>
      <c r="N17" s="675">
        <v>16</v>
      </c>
      <c r="O17" s="675">
        <v>18</v>
      </c>
      <c r="P17" s="675">
        <v>30</v>
      </c>
      <c r="Q17" s="675">
        <v>23</v>
      </c>
      <c r="R17" s="675">
        <v>23</v>
      </c>
      <c r="S17" s="675">
        <v>17</v>
      </c>
      <c r="T17" s="674">
        <f t="shared" si="6"/>
        <v>19</v>
      </c>
      <c r="U17" s="680">
        <f t="shared" si="6"/>
        <v>24</v>
      </c>
      <c r="V17" s="392">
        <f t="shared" si="6"/>
        <v>19</v>
      </c>
      <c r="W17" s="392">
        <f t="shared" si="6"/>
        <v>20</v>
      </c>
      <c r="X17" s="392">
        <f t="shared" si="6"/>
        <v>18</v>
      </c>
      <c r="Y17" s="392">
        <f t="shared" si="6"/>
        <v>15</v>
      </c>
      <c r="Z17" s="392">
        <f t="shared" si="6"/>
        <v>16</v>
      </c>
      <c r="AA17" s="680">
        <f t="shared" si="6"/>
        <v>27</v>
      </c>
      <c r="AB17" s="392">
        <f t="shared" si="6"/>
        <v>20</v>
      </c>
      <c r="AC17" s="392">
        <f t="shared" si="6"/>
        <v>20</v>
      </c>
      <c r="AD17" s="392">
        <f t="shared" si="6"/>
        <v>16</v>
      </c>
    </row>
    <row r="18" spans="1:30" s="94" customFormat="1" x14ac:dyDescent="0.25">
      <c r="A18" s="94">
        <f t="shared" si="1"/>
        <v>1.1576</v>
      </c>
      <c r="B18" s="94">
        <f t="shared" si="1"/>
        <v>1.0808</v>
      </c>
      <c r="C18" s="94">
        <f t="shared" si="1"/>
        <v>1.0144</v>
      </c>
      <c r="D18" s="94">
        <f t="shared" si="1"/>
        <v>1.0648</v>
      </c>
      <c r="E18" s="94">
        <f t="shared" si="1"/>
        <v>1.0284</v>
      </c>
      <c r="F18" s="99" t="s">
        <v>51</v>
      </c>
      <c r="G18" s="98">
        <v>40</v>
      </c>
      <c r="H18" s="97">
        <v>305.11667137026802</v>
      </c>
      <c r="I18" s="97">
        <v>20.1000883862915</v>
      </c>
      <c r="J18" s="97">
        <v>42.981578910718902</v>
      </c>
      <c r="K18" s="97">
        <v>32.730847760488601</v>
      </c>
      <c r="L18" s="97">
        <v>38.449604401037902</v>
      </c>
      <c r="M18" s="97">
        <v>24.455527103937499</v>
      </c>
      <c r="N18" s="97">
        <v>17.696341104010799</v>
      </c>
      <c r="O18" s="97">
        <v>17.221179437697199</v>
      </c>
      <c r="P18" s="97">
        <v>26.613604043707699</v>
      </c>
      <c r="Q18" s="97">
        <v>39.035822455908097</v>
      </c>
      <c r="R18" s="97">
        <v>30.6852819632083</v>
      </c>
      <c r="S18" s="97">
        <v>15.1467958032614</v>
      </c>
      <c r="T18" s="97">
        <f t="shared" si="6"/>
        <v>18</v>
      </c>
      <c r="U18" s="101">
        <f t="shared" si="6"/>
        <v>39</v>
      </c>
      <c r="V18" s="100">
        <f t="shared" si="6"/>
        <v>29</v>
      </c>
      <c r="W18" s="101">
        <f t="shared" si="6"/>
        <v>35</v>
      </c>
      <c r="X18" s="100">
        <f t="shared" si="6"/>
        <v>22</v>
      </c>
      <c r="Y18" s="97">
        <f t="shared" si="6"/>
        <v>16</v>
      </c>
      <c r="Z18" s="97">
        <f t="shared" si="6"/>
        <v>15</v>
      </c>
      <c r="AA18" s="100">
        <f t="shared" si="6"/>
        <v>24</v>
      </c>
      <c r="AB18" s="101">
        <f t="shared" si="6"/>
        <v>34</v>
      </c>
      <c r="AC18" s="100">
        <f t="shared" si="6"/>
        <v>27</v>
      </c>
      <c r="AD18" s="97">
        <f t="shared" si="6"/>
        <v>14</v>
      </c>
    </row>
    <row r="19" spans="1:30" s="94" customFormat="1" x14ac:dyDescent="0.25">
      <c r="A19" s="94">
        <f t="shared" si="1"/>
        <v>1.1576</v>
      </c>
      <c r="B19" s="94">
        <f t="shared" si="1"/>
        <v>1.0808</v>
      </c>
      <c r="C19" s="94">
        <f t="shared" si="1"/>
        <v>1.0144</v>
      </c>
      <c r="D19" s="94">
        <f t="shared" si="1"/>
        <v>1.0648</v>
      </c>
      <c r="E19" s="94">
        <f t="shared" si="1"/>
        <v>1.0284</v>
      </c>
      <c r="F19" s="390" t="s">
        <v>834</v>
      </c>
      <c r="G19" s="698">
        <v>40</v>
      </c>
      <c r="H19" s="97">
        <f t="shared" ref="H19" si="10">SUM(I19:S19)</f>
        <v>215</v>
      </c>
      <c r="I19" s="696">
        <v>22</v>
      </c>
      <c r="J19" s="696">
        <v>26</v>
      </c>
      <c r="K19" s="696">
        <v>15</v>
      </c>
      <c r="L19" s="696">
        <v>14</v>
      </c>
      <c r="M19" s="696">
        <v>15</v>
      </c>
      <c r="N19" s="696">
        <v>21</v>
      </c>
      <c r="O19" s="696">
        <v>18</v>
      </c>
      <c r="P19" s="696">
        <v>28</v>
      </c>
      <c r="Q19" s="696">
        <v>14</v>
      </c>
      <c r="R19" s="696">
        <v>31</v>
      </c>
      <c r="S19" s="696">
        <v>11</v>
      </c>
      <c r="T19" s="674">
        <f t="shared" si="6"/>
        <v>19</v>
      </c>
      <c r="U19" s="680">
        <f t="shared" si="6"/>
        <v>24</v>
      </c>
      <c r="V19" s="392">
        <f t="shared" si="6"/>
        <v>13</v>
      </c>
      <c r="W19" s="392">
        <f t="shared" si="6"/>
        <v>13</v>
      </c>
      <c r="X19" s="392">
        <f t="shared" si="6"/>
        <v>14</v>
      </c>
      <c r="Y19" s="392">
        <f t="shared" si="6"/>
        <v>19</v>
      </c>
      <c r="Z19" s="392">
        <f t="shared" si="6"/>
        <v>16</v>
      </c>
      <c r="AA19" s="680">
        <f t="shared" si="6"/>
        <v>25</v>
      </c>
      <c r="AB19" s="392">
        <f t="shared" si="6"/>
        <v>13</v>
      </c>
      <c r="AC19" s="392">
        <f t="shared" si="6"/>
        <v>27</v>
      </c>
      <c r="AD19" s="392">
        <f t="shared" si="6"/>
        <v>10</v>
      </c>
    </row>
    <row r="20" spans="1:30" s="94" customFormat="1" x14ac:dyDescent="0.25">
      <c r="A20" s="94">
        <f t="shared" ref="A20:E20" si="11">1+A$2*A$3</f>
        <v>1.1576</v>
      </c>
      <c r="B20" s="94">
        <f t="shared" si="11"/>
        <v>1.0808</v>
      </c>
      <c r="C20" s="94">
        <f t="shared" si="11"/>
        <v>1.0144</v>
      </c>
      <c r="D20" s="94">
        <f t="shared" si="11"/>
        <v>1.0648</v>
      </c>
      <c r="E20" s="94">
        <f t="shared" si="11"/>
        <v>1.0284</v>
      </c>
      <c r="F20" s="99" t="s">
        <v>80</v>
      </c>
      <c r="G20" s="98">
        <v>40</v>
      </c>
      <c r="H20" s="97">
        <v>213.252578902077</v>
      </c>
      <c r="I20" s="97">
        <v>18.5353482408071</v>
      </c>
      <c r="J20" s="97">
        <v>39.551732194161097</v>
      </c>
      <c r="K20" s="97">
        <v>16.299615782122601</v>
      </c>
      <c r="L20" s="97">
        <v>19.817774272774599</v>
      </c>
      <c r="M20" s="97">
        <v>21.030695328004398</v>
      </c>
      <c r="N20" s="97">
        <v>12.461659428921999</v>
      </c>
      <c r="O20" s="97">
        <v>12.070450312384001</v>
      </c>
      <c r="P20" s="97">
        <v>27.878989942809302</v>
      </c>
      <c r="Q20" s="97">
        <v>20.229758059018501</v>
      </c>
      <c r="R20" s="97">
        <v>16.361650755056999</v>
      </c>
      <c r="S20" s="97">
        <v>9.0149045860165504</v>
      </c>
      <c r="T20" s="97">
        <f t="shared" si="6"/>
        <v>16</v>
      </c>
      <c r="U20" s="101">
        <f t="shared" si="6"/>
        <v>36</v>
      </c>
      <c r="V20" s="97">
        <f t="shared" si="6"/>
        <v>14</v>
      </c>
      <c r="W20" s="97">
        <f t="shared" si="6"/>
        <v>18</v>
      </c>
      <c r="X20" s="97">
        <f t="shared" si="6"/>
        <v>19</v>
      </c>
      <c r="Y20" s="97">
        <f t="shared" si="6"/>
        <v>12</v>
      </c>
      <c r="Z20" s="97">
        <f t="shared" si="6"/>
        <v>11</v>
      </c>
      <c r="AA20" s="100">
        <f t="shared" si="6"/>
        <v>25</v>
      </c>
      <c r="AB20" s="97">
        <f t="shared" si="6"/>
        <v>18</v>
      </c>
      <c r="AC20" s="97">
        <f t="shared" si="6"/>
        <v>15</v>
      </c>
      <c r="AD20" s="97">
        <f t="shared" si="6"/>
        <v>9</v>
      </c>
    </row>
  </sheetData>
  <autoFilter ref="F3:F20" xr:uid="{D6624F60-C7A3-489B-88BA-3E7309C475E0}">
    <sortState xmlns:xlrd2="http://schemas.microsoft.com/office/spreadsheetml/2017/richdata2" ref="A4:AD20">
      <sortCondition ref="F3:F20"/>
    </sortState>
  </autoFilter>
  <conditionalFormatting sqref="T4:AD4">
    <cfRule type="colorScale" priority="17">
      <colorScale>
        <cfvo type="num" val="0"/>
        <cfvo type="num" val="20"/>
        <cfvo type="num" val="40"/>
        <color rgb="FF00B050"/>
        <color rgb="FFFFFF00"/>
        <color rgb="FFFF0000"/>
      </colorScale>
    </cfRule>
  </conditionalFormatting>
  <conditionalFormatting sqref="T5:AD5">
    <cfRule type="colorScale" priority="16">
      <colorScale>
        <cfvo type="num" val="0"/>
        <cfvo type="num" val="20"/>
        <cfvo type="num" val="40"/>
        <color rgb="FF00B050"/>
        <color rgb="FFFFFF00"/>
        <color rgb="FFFF0000"/>
      </colorScale>
    </cfRule>
  </conditionalFormatting>
  <conditionalFormatting sqref="T6:AD6">
    <cfRule type="colorScale" priority="15">
      <colorScale>
        <cfvo type="num" val="0"/>
        <cfvo type="num" val="20"/>
        <cfvo type="num" val="40"/>
        <color rgb="FF00B050"/>
        <color rgb="FFFFFF00"/>
        <color rgb="FFFF0000"/>
      </colorScale>
    </cfRule>
  </conditionalFormatting>
  <conditionalFormatting sqref="T7:AD7">
    <cfRule type="colorScale" priority="14">
      <colorScale>
        <cfvo type="num" val="0"/>
        <cfvo type="num" val="20"/>
        <cfvo type="num" val="40"/>
        <color rgb="FF00B050"/>
        <color rgb="FFFFFF00"/>
        <color rgb="FFFF0000"/>
      </colorScale>
    </cfRule>
  </conditionalFormatting>
  <conditionalFormatting sqref="T8:AD8">
    <cfRule type="colorScale" priority="13">
      <colorScale>
        <cfvo type="num" val="0"/>
        <cfvo type="num" val="20"/>
        <cfvo type="num" val="40"/>
        <color rgb="FF00B050"/>
        <color rgb="FFFFFF00"/>
        <color rgb="FFFF0000"/>
      </colorScale>
    </cfRule>
  </conditionalFormatting>
  <conditionalFormatting sqref="T9:AD9">
    <cfRule type="colorScale" priority="12">
      <colorScale>
        <cfvo type="num" val="0"/>
        <cfvo type="num" val="20"/>
        <cfvo type="num" val="40"/>
        <color rgb="FF00B050"/>
        <color rgb="FFFFFF00"/>
        <color rgb="FFFF0000"/>
      </colorScale>
    </cfRule>
  </conditionalFormatting>
  <conditionalFormatting sqref="T10:AD10">
    <cfRule type="colorScale" priority="11">
      <colorScale>
        <cfvo type="num" val="0"/>
        <cfvo type="num" val="20"/>
        <cfvo type="num" val="40"/>
        <color rgb="FF00B050"/>
        <color rgb="FFFFFF00"/>
        <color rgb="FFFF0000"/>
      </colorScale>
    </cfRule>
  </conditionalFormatting>
  <conditionalFormatting sqref="T11:AD11">
    <cfRule type="colorScale" priority="10">
      <colorScale>
        <cfvo type="num" val="0"/>
        <cfvo type="num" val="20"/>
        <cfvo type="num" val="40"/>
        <color rgb="FF00B050"/>
        <color rgb="FFFFFF00"/>
        <color rgb="FFFF0000"/>
      </colorScale>
    </cfRule>
  </conditionalFormatting>
  <conditionalFormatting sqref="T12:AD12">
    <cfRule type="colorScale" priority="9">
      <colorScale>
        <cfvo type="num" val="0"/>
        <cfvo type="num" val="20"/>
        <cfvo type="num" val="40"/>
        <color rgb="FF00B050"/>
        <color rgb="FFFFFF00"/>
        <color rgb="FFFF0000"/>
      </colorScale>
    </cfRule>
  </conditionalFormatting>
  <conditionalFormatting sqref="T13:AD13">
    <cfRule type="colorScale" priority="8">
      <colorScale>
        <cfvo type="num" val="0"/>
        <cfvo type="num" val="20"/>
        <cfvo type="num" val="40"/>
        <color rgb="FF00B050"/>
        <color rgb="FFFFFF00"/>
        <color rgb="FFFF0000"/>
      </colorScale>
    </cfRule>
  </conditionalFormatting>
  <conditionalFormatting sqref="T14:AD14">
    <cfRule type="colorScale" priority="7">
      <colorScale>
        <cfvo type="num" val="0"/>
        <cfvo type="num" val="20"/>
        <cfvo type="num" val="40"/>
        <color rgb="FF00B050"/>
        <color rgb="FFFFFF00"/>
        <color rgb="FFFF0000"/>
      </colorScale>
    </cfRule>
  </conditionalFormatting>
  <conditionalFormatting sqref="T15:AD15">
    <cfRule type="colorScale" priority="6">
      <colorScale>
        <cfvo type="num" val="0"/>
        <cfvo type="num" val="20"/>
        <cfvo type="num" val="40"/>
        <color rgb="FF00B050"/>
        <color rgb="FFFFFF00"/>
        <color rgb="FFFF0000"/>
      </colorScale>
    </cfRule>
  </conditionalFormatting>
  <conditionalFormatting sqref="T16:AD16">
    <cfRule type="colorScale" priority="5">
      <colorScale>
        <cfvo type="num" val="0"/>
        <cfvo type="num" val="20"/>
        <cfvo type="num" val="40"/>
        <color rgb="FF00B050"/>
        <color rgb="FFFFFF00"/>
        <color rgb="FFFF0000"/>
      </colorScale>
    </cfRule>
  </conditionalFormatting>
  <conditionalFormatting sqref="T17:AD17">
    <cfRule type="colorScale" priority="4">
      <colorScale>
        <cfvo type="num" val="0"/>
        <cfvo type="num" val="20"/>
        <cfvo type="num" val="40"/>
        <color rgb="FF00B050"/>
        <color rgb="FFFFFF00"/>
        <color rgb="FFFF0000"/>
      </colorScale>
    </cfRule>
  </conditionalFormatting>
  <conditionalFormatting sqref="T18:AD18">
    <cfRule type="colorScale" priority="3">
      <colorScale>
        <cfvo type="num" val="0"/>
        <cfvo type="num" val="20"/>
        <cfvo type="num" val="40"/>
        <color rgb="FF00B050"/>
        <color rgb="FFFFFF00"/>
        <color rgb="FFFF0000"/>
      </colorScale>
    </cfRule>
  </conditionalFormatting>
  <conditionalFormatting sqref="T19:AD19">
    <cfRule type="colorScale" priority="2">
      <colorScale>
        <cfvo type="num" val="0"/>
        <cfvo type="num" val="20"/>
        <cfvo type="num" val="40"/>
        <color rgb="FF00B050"/>
        <color rgb="FFFFFF00"/>
        <color rgb="FFFF0000"/>
      </colorScale>
    </cfRule>
  </conditionalFormatting>
  <conditionalFormatting sqref="T20:AD20">
    <cfRule type="colorScale" priority="1">
      <colorScale>
        <cfvo type="num" val="0"/>
        <cfvo type="num" val="20"/>
        <cfvo type="num" val="40"/>
        <color rgb="FF00B050"/>
        <color rgb="FFFFFF00"/>
        <color rgb="FFFF0000"/>
      </colorScale>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X64"/>
  <sheetViews>
    <sheetView zoomScaleNormal="100" workbookViewId="0">
      <pane ySplit="1" topLeftCell="A26" activePane="bottomLeft" state="frozen"/>
      <selection pane="bottomLeft" activeCell="H47" sqref="H47"/>
    </sheetView>
  </sheetViews>
  <sheetFormatPr defaultRowHeight="15" x14ac:dyDescent="0.25"/>
  <cols>
    <col min="1" max="1" width="17.140625" style="121" customWidth="1"/>
    <col min="2" max="2" width="3" style="121" customWidth="1"/>
    <col min="3" max="3" width="7.42578125" style="121" customWidth="1"/>
    <col min="4" max="4" width="7" style="121" customWidth="1"/>
    <col min="5" max="5" width="10.7109375" style="121" customWidth="1"/>
    <col min="6" max="6" width="10" style="121" customWidth="1"/>
    <col min="7" max="7" width="10.85546875" style="121" customWidth="1"/>
    <col min="8" max="8" width="9.140625" style="121"/>
    <col min="9" max="9" width="7.7109375" style="121" customWidth="1"/>
    <col min="10" max="10" width="8.42578125" style="121" customWidth="1"/>
    <col min="11" max="11" width="6.85546875" style="121" customWidth="1"/>
    <col min="12" max="12" width="11.140625" style="121" customWidth="1"/>
    <col min="13" max="13" width="10.5703125" style="121" customWidth="1"/>
    <col min="14" max="16384" width="9.140625" style="121"/>
  </cols>
  <sheetData>
    <row r="1" spans="1:24" x14ac:dyDescent="0.25">
      <c r="A1" s="309" t="s">
        <v>168</v>
      </c>
      <c r="B1" s="309">
        <v>1</v>
      </c>
      <c r="C1" s="309" t="s">
        <v>299</v>
      </c>
      <c r="D1" s="309" t="s">
        <v>2</v>
      </c>
      <c r="E1" s="309" t="s">
        <v>0</v>
      </c>
      <c r="F1" s="309" t="s">
        <v>1</v>
      </c>
      <c r="G1" s="309" t="s">
        <v>298</v>
      </c>
      <c r="H1" s="309" t="s">
        <v>297</v>
      </c>
      <c r="I1" s="309" t="s">
        <v>296</v>
      </c>
      <c r="J1" s="309" t="s">
        <v>295</v>
      </c>
      <c r="K1" s="309" t="s">
        <v>3</v>
      </c>
      <c r="L1" s="309" t="s">
        <v>5</v>
      </c>
      <c r="M1" s="309" t="s">
        <v>294</v>
      </c>
    </row>
    <row r="2" spans="1:24" x14ac:dyDescent="0.25">
      <c r="A2" s="309" t="s">
        <v>84</v>
      </c>
      <c r="B2" s="309">
        <v>2</v>
      </c>
      <c r="C2" s="310">
        <v>0.17</v>
      </c>
      <c r="D2" s="310">
        <v>0.18</v>
      </c>
      <c r="E2" s="310">
        <v>0.28999999999999998</v>
      </c>
      <c r="F2" s="310">
        <v>0.28999999999999998</v>
      </c>
      <c r="G2" s="310">
        <v>0.14000000000000001</v>
      </c>
      <c r="H2" s="310">
        <v>0.2</v>
      </c>
      <c r="I2" s="310">
        <v>0.11</v>
      </c>
      <c r="J2" s="310">
        <v>0.17</v>
      </c>
      <c r="K2" s="310">
        <v>0.21</v>
      </c>
      <c r="L2" s="310">
        <v>0.23</v>
      </c>
      <c r="M2" s="310">
        <v>0.14000000000000001</v>
      </c>
    </row>
    <row r="3" spans="1:24" x14ac:dyDescent="0.25">
      <c r="A3" s="309" t="s">
        <v>88</v>
      </c>
      <c r="B3" s="309">
        <v>3</v>
      </c>
      <c r="C3" s="310">
        <v>0.14000000000000001</v>
      </c>
      <c r="D3" s="310">
        <v>0.1</v>
      </c>
      <c r="E3" s="310">
        <v>0.22</v>
      </c>
      <c r="F3" s="310">
        <v>0.25</v>
      </c>
      <c r="G3" s="310">
        <v>0.17</v>
      </c>
      <c r="H3" s="310">
        <v>0.12</v>
      </c>
      <c r="I3" s="310">
        <v>0.18</v>
      </c>
      <c r="J3" s="310">
        <v>0.22</v>
      </c>
      <c r="K3" s="310">
        <v>0.26</v>
      </c>
      <c r="L3" s="310">
        <v>0.19</v>
      </c>
      <c r="M3" s="310">
        <v>0.12</v>
      </c>
    </row>
    <row r="4" spans="1:24" x14ac:dyDescent="0.25">
      <c r="A4" s="727" t="s">
        <v>78</v>
      </c>
      <c r="B4" s="727">
        <v>4</v>
      </c>
      <c r="C4" s="728">
        <v>0.17</v>
      </c>
      <c r="D4" s="728">
        <v>0.35</v>
      </c>
      <c r="E4" s="728">
        <v>0.22</v>
      </c>
      <c r="F4" s="728">
        <v>0.17</v>
      </c>
      <c r="G4" s="728">
        <v>0.22</v>
      </c>
      <c r="H4" s="728">
        <v>0.12</v>
      </c>
      <c r="I4" s="728">
        <v>0.21</v>
      </c>
      <c r="J4" s="728">
        <v>0.26</v>
      </c>
      <c r="K4" s="728">
        <v>0.3</v>
      </c>
      <c r="L4" s="728">
        <v>0.18</v>
      </c>
      <c r="M4" s="728">
        <v>0.12</v>
      </c>
    </row>
    <row r="5" spans="1:24" x14ac:dyDescent="0.25">
      <c r="A5" s="309" t="s">
        <v>66</v>
      </c>
      <c r="B5" s="309">
        <v>5</v>
      </c>
      <c r="C5" s="310">
        <v>0.21</v>
      </c>
      <c r="D5" s="310">
        <v>0.26</v>
      </c>
      <c r="E5" s="310">
        <v>0.18</v>
      </c>
      <c r="F5" s="310">
        <v>0.12</v>
      </c>
      <c r="G5" s="310">
        <v>0.11</v>
      </c>
      <c r="H5" s="310">
        <v>0.1</v>
      </c>
      <c r="I5" s="310">
        <v>0.16</v>
      </c>
      <c r="J5" s="310">
        <v>0.27</v>
      </c>
      <c r="K5" s="310">
        <v>0.28999999999999998</v>
      </c>
      <c r="L5" s="310">
        <v>0.24</v>
      </c>
      <c r="M5" s="310">
        <v>0.06</v>
      </c>
    </row>
    <row r="6" spans="1:24" x14ac:dyDescent="0.25">
      <c r="A6" s="309" t="s">
        <v>62</v>
      </c>
      <c r="B6" s="309">
        <v>6</v>
      </c>
      <c r="C6" s="310">
        <v>0.26</v>
      </c>
      <c r="D6" s="310">
        <v>0.4</v>
      </c>
      <c r="E6" s="310">
        <v>0.21</v>
      </c>
      <c r="F6" s="310">
        <v>0.15</v>
      </c>
      <c r="G6" s="310">
        <v>0.3</v>
      </c>
      <c r="H6" s="310">
        <v>0.15</v>
      </c>
      <c r="I6" s="310">
        <v>0.14000000000000001</v>
      </c>
      <c r="J6" s="310">
        <v>0.21</v>
      </c>
      <c r="K6" s="310">
        <v>0.38</v>
      </c>
      <c r="L6" s="310">
        <v>0.27</v>
      </c>
      <c r="M6" s="310">
        <v>0.13</v>
      </c>
      <c r="N6" s="702">
        <v>25</v>
      </c>
      <c r="O6" s="702">
        <v>34</v>
      </c>
      <c r="P6" s="702">
        <v>19</v>
      </c>
      <c r="Q6" s="702">
        <v>15</v>
      </c>
      <c r="R6" s="702">
        <v>29</v>
      </c>
      <c r="S6" s="702">
        <v>14</v>
      </c>
      <c r="T6" s="702">
        <v>13</v>
      </c>
      <c r="U6" s="702">
        <v>20</v>
      </c>
      <c r="V6" s="702">
        <v>36</v>
      </c>
      <c r="W6" s="702">
        <v>25</v>
      </c>
      <c r="X6" s="702">
        <v>13</v>
      </c>
    </row>
    <row r="7" spans="1:24" x14ac:dyDescent="0.25">
      <c r="A7" s="309" t="s">
        <v>77</v>
      </c>
      <c r="B7" s="309">
        <v>7</v>
      </c>
      <c r="C7" s="310">
        <v>0.2</v>
      </c>
      <c r="D7" s="310">
        <v>0.49</v>
      </c>
      <c r="E7" s="310">
        <v>0.25</v>
      </c>
      <c r="F7" s="310">
        <v>0.19</v>
      </c>
      <c r="G7" s="310">
        <v>0.19</v>
      </c>
      <c r="H7" s="310">
        <v>0.23</v>
      </c>
      <c r="I7" s="310">
        <v>0.27</v>
      </c>
      <c r="J7" s="310">
        <v>0.23</v>
      </c>
      <c r="K7" s="310">
        <v>0.27</v>
      </c>
      <c r="L7" s="310">
        <v>0.27</v>
      </c>
      <c r="M7" s="310">
        <v>0.12</v>
      </c>
      <c r="N7" s="702">
        <v>17</v>
      </c>
      <c r="O7" s="702">
        <v>38</v>
      </c>
      <c r="P7" s="702">
        <v>21</v>
      </c>
      <c r="Q7" s="702">
        <v>16</v>
      </c>
      <c r="R7" s="702">
        <v>16</v>
      </c>
      <c r="S7" s="702">
        <v>19</v>
      </c>
      <c r="T7" s="702">
        <v>22</v>
      </c>
      <c r="U7" s="702">
        <v>20</v>
      </c>
      <c r="V7" s="702">
        <v>23</v>
      </c>
      <c r="W7" s="702">
        <v>22</v>
      </c>
      <c r="X7" s="702">
        <v>11</v>
      </c>
    </row>
    <row r="8" spans="1:24" x14ac:dyDescent="0.25">
      <c r="A8" s="727" t="s">
        <v>55</v>
      </c>
      <c r="B8" s="727">
        <v>8</v>
      </c>
      <c r="C8" s="728">
        <v>0.15</v>
      </c>
      <c r="D8" s="728">
        <v>0.38</v>
      </c>
      <c r="E8" s="728">
        <v>0.19</v>
      </c>
      <c r="F8" s="728">
        <v>0.17</v>
      </c>
      <c r="G8" s="728">
        <v>0.19</v>
      </c>
      <c r="H8" s="728">
        <v>0.14000000000000001</v>
      </c>
      <c r="I8" s="728">
        <v>0.1</v>
      </c>
      <c r="J8" s="728">
        <v>0.25</v>
      </c>
      <c r="K8" s="728">
        <v>0.28999999999999998</v>
      </c>
      <c r="L8" s="728">
        <v>0.22</v>
      </c>
      <c r="M8" s="728">
        <v>0.1</v>
      </c>
      <c r="N8" s="702">
        <v>14</v>
      </c>
      <c r="O8" s="702">
        <v>32</v>
      </c>
      <c r="P8" s="702">
        <v>18</v>
      </c>
      <c r="Q8" s="702">
        <v>16</v>
      </c>
      <c r="R8" s="702">
        <v>18</v>
      </c>
      <c r="S8" s="702">
        <v>12</v>
      </c>
      <c r="T8" s="702">
        <v>9</v>
      </c>
      <c r="U8" s="702">
        <v>24</v>
      </c>
      <c r="V8" s="702">
        <v>28</v>
      </c>
      <c r="W8" s="702">
        <v>21</v>
      </c>
      <c r="X8" s="702">
        <v>9</v>
      </c>
    </row>
    <row r="9" spans="1:24" x14ac:dyDescent="0.25">
      <c r="A9" s="309" t="s">
        <v>48</v>
      </c>
      <c r="B9" s="309">
        <v>9</v>
      </c>
      <c r="C9" s="310">
        <v>0.19</v>
      </c>
      <c r="D9" s="310">
        <v>0.34</v>
      </c>
      <c r="E9" s="310">
        <v>0.13</v>
      </c>
      <c r="F9" s="310">
        <v>0.14000000000000001</v>
      </c>
      <c r="G9" s="310">
        <v>0.13</v>
      </c>
      <c r="H9" s="310">
        <v>0.16</v>
      </c>
      <c r="I9" s="310">
        <v>0.12</v>
      </c>
      <c r="J9" s="310">
        <v>0.24</v>
      </c>
      <c r="K9" s="310">
        <v>0.28000000000000003</v>
      </c>
      <c r="L9" s="310">
        <v>0.18</v>
      </c>
      <c r="M9" s="310">
        <v>0.14000000000000001</v>
      </c>
    </row>
    <row r="10" spans="1:24" x14ac:dyDescent="0.25">
      <c r="A10" s="727" t="s">
        <v>70</v>
      </c>
      <c r="B10" s="727">
        <v>10</v>
      </c>
      <c r="C10" s="728">
        <v>0.11</v>
      </c>
      <c r="D10" s="728">
        <v>0.14000000000000001</v>
      </c>
      <c r="E10" s="728">
        <v>0.38</v>
      </c>
      <c r="F10" s="728">
        <v>0.38</v>
      </c>
      <c r="G10" s="728">
        <v>0.2</v>
      </c>
      <c r="H10" s="728">
        <v>0.08</v>
      </c>
      <c r="I10" s="728">
        <v>0.11</v>
      </c>
      <c r="J10" s="728">
        <v>0.21</v>
      </c>
      <c r="K10" s="728">
        <v>0.33</v>
      </c>
      <c r="L10" s="728">
        <v>0.27</v>
      </c>
      <c r="M10" s="728">
        <v>0.1</v>
      </c>
    </row>
    <row r="11" spans="1:24" x14ac:dyDescent="0.25">
      <c r="A11" s="309" t="s">
        <v>68</v>
      </c>
      <c r="B11" s="309">
        <v>11</v>
      </c>
      <c r="C11" s="310">
        <v>0.14000000000000001</v>
      </c>
      <c r="D11" s="310">
        <v>0.3</v>
      </c>
      <c r="E11" s="310">
        <v>0.17</v>
      </c>
      <c r="F11" s="310">
        <v>0.19</v>
      </c>
      <c r="G11" s="310">
        <v>0.14000000000000001</v>
      </c>
      <c r="H11" s="310">
        <v>0.14000000000000001</v>
      </c>
      <c r="I11" s="310">
        <v>0.13</v>
      </c>
      <c r="J11" s="310">
        <v>0.2</v>
      </c>
      <c r="K11" s="310">
        <v>0.23</v>
      </c>
      <c r="L11" s="310">
        <v>0.14000000000000001</v>
      </c>
      <c r="M11" s="310">
        <v>0.11</v>
      </c>
    </row>
    <row r="12" spans="1:24" x14ac:dyDescent="0.25">
      <c r="A12" s="309" t="s">
        <v>159</v>
      </c>
      <c r="B12" s="309">
        <v>12</v>
      </c>
      <c r="C12" s="310">
        <v>0.17</v>
      </c>
      <c r="D12" s="310">
        <v>0.3</v>
      </c>
      <c r="E12" s="310">
        <v>0.19</v>
      </c>
      <c r="F12" s="310">
        <v>0.15</v>
      </c>
      <c r="G12" s="310">
        <v>0.21</v>
      </c>
      <c r="H12" s="310">
        <v>0.2</v>
      </c>
      <c r="I12" s="310">
        <v>0.19</v>
      </c>
      <c r="J12" s="310">
        <v>0.21</v>
      </c>
      <c r="K12" s="310">
        <v>0.23</v>
      </c>
      <c r="L12" s="310">
        <v>0.18</v>
      </c>
      <c r="M12" s="310">
        <v>0.13</v>
      </c>
    </row>
    <row r="13" spans="1:24" x14ac:dyDescent="0.25">
      <c r="A13" s="727" t="s">
        <v>54</v>
      </c>
      <c r="B13" s="727">
        <v>13</v>
      </c>
      <c r="C13" s="728">
        <v>0.2</v>
      </c>
      <c r="D13" s="728">
        <v>0.36</v>
      </c>
      <c r="E13" s="728">
        <v>0.15</v>
      </c>
      <c r="F13" s="728">
        <v>0.19</v>
      </c>
      <c r="G13" s="728">
        <v>0.14000000000000001</v>
      </c>
      <c r="H13" s="728">
        <v>0.12</v>
      </c>
      <c r="I13" s="728">
        <v>0.17</v>
      </c>
      <c r="J13" s="728">
        <v>0.36</v>
      </c>
      <c r="K13" s="728">
        <v>0.45</v>
      </c>
      <c r="L13" s="728">
        <v>0.32</v>
      </c>
      <c r="M13" s="728">
        <v>0.13</v>
      </c>
      <c r="N13" s="702">
        <v>19</v>
      </c>
      <c r="O13" s="702">
        <v>33</v>
      </c>
      <c r="P13" s="702">
        <v>15</v>
      </c>
      <c r="Q13" s="702">
        <v>18</v>
      </c>
      <c r="R13" s="702">
        <v>14</v>
      </c>
      <c r="S13" s="702">
        <v>12</v>
      </c>
      <c r="T13" s="702">
        <v>16</v>
      </c>
      <c r="U13" s="702">
        <v>35</v>
      </c>
      <c r="V13" s="702">
        <v>44</v>
      </c>
      <c r="W13" s="702">
        <v>30</v>
      </c>
      <c r="X13" s="702">
        <v>13</v>
      </c>
    </row>
    <row r="14" spans="1:24" x14ac:dyDescent="0.25">
      <c r="A14" s="727" t="s">
        <v>80</v>
      </c>
      <c r="B14" s="727">
        <v>14</v>
      </c>
      <c r="C14" s="728">
        <v>0.16</v>
      </c>
      <c r="D14" s="728">
        <v>0.36</v>
      </c>
      <c r="E14" s="728">
        <v>0.14000000000000001</v>
      </c>
      <c r="F14" s="728">
        <v>0.18</v>
      </c>
      <c r="G14" s="728">
        <v>0.19</v>
      </c>
      <c r="H14" s="728">
        <v>0.12</v>
      </c>
      <c r="I14" s="728">
        <v>0.11</v>
      </c>
      <c r="J14" s="728">
        <v>0.25</v>
      </c>
      <c r="K14" s="728">
        <v>0.18</v>
      </c>
      <c r="L14" s="728">
        <v>0.15</v>
      </c>
      <c r="M14" s="728">
        <v>0.09</v>
      </c>
    </row>
    <row r="15" spans="1:24" x14ac:dyDescent="0.25">
      <c r="A15" s="309" t="s">
        <v>72</v>
      </c>
      <c r="B15" s="309">
        <v>15</v>
      </c>
      <c r="C15" s="310">
        <v>0.19</v>
      </c>
      <c r="D15" s="310">
        <v>0.36</v>
      </c>
      <c r="E15" s="310">
        <v>0.13</v>
      </c>
      <c r="F15" s="310">
        <v>0.1</v>
      </c>
      <c r="G15" s="310">
        <v>0.17</v>
      </c>
      <c r="H15" s="310">
        <v>0.15</v>
      </c>
      <c r="I15" s="310">
        <v>0.12</v>
      </c>
      <c r="J15" s="310">
        <v>0.27</v>
      </c>
      <c r="K15" s="310">
        <v>0.33</v>
      </c>
      <c r="L15" s="310">
        <v>0.19</v>
      </c>
      <c r="M15" s="310">
        <v>0.13</v>
      </c>
    </row>
    <row r="16" spans="1:24" x14ac:dyDescent="0.25">
      <c r="A16" s="309" t="s">
        <v>79</v>
      </c>
      <c r="B16" s="309">
        <v>16</v>
      </c>
      <c r="C16" s="310">
        <v>0.14000000000000001</v>
      </c>
      <c r="D16" s="310">
        <v>0.39</v>
      </c>
      <c r="E16" s="310">
        <v>0.23</v>
      </c>
      <c r="F16" s="310">
        <v>0.26</v>
      </c>
      <c r="G16" s="310">
        <v>0.25</v>
      </c>
      <c r="H16" s="310">
        <v>0.19</v>
      </c>
      <c r="I16" s="310">
        <v>0.18</v>
      </c>
      <c r="J16" s="310">
        <v>0.25</v>
      </c>
      <c r="K16" s="310">
        <v>0.3</v>
      </c>
      <c r="L16" s="310">
        <v>0.34</v>
      </c>
      <c r="M16" s="310">
        <v>0.13</v>
      </c>
    </row>
    <row r="17" spans="1:24" x14ac:dyDescent="0.25">
      <c r="A17" s="309" t="s">
        <v>59</v>
      </c>
      <c r="B17" s="309">
        <v>17</v>
      </c>
      <c r="C17" s="310">
        <v>0.17</v>
      </c>
      <c r="D17" s="310">
        <v>0.24</v>
      </c>
      <c r="E17" s="310">
        <v>0.61</v>
      </c>
      <c r="F17" s="310">
        <v>0.47</v>
      </c>
      <c r="G17" s="310">
        <v>0.24</v>
      </c>
      <c r="H17" s="310">
        <v>0.13</v>
      </c>
      <c r="I17" s="310">
        <v>0.11</v>
      </c>
      <c r="J17" s="310">
        <v>0.33</v>
      </c>
      <c r="K17" s="310">
        <v>0.22</v>
      </c>
      <c r="L17" s="310">
        <v>0.35</v>
      </c>
      <c r="M17" s="310">
        <v>0.09</v>
      </c>
    </row>
    <row r="18" spans="1:24" x14ac:dyDescent="0.25">
      <c r="A18" s="309" t="s">
        <v>63</v>
      </c>
      <c r="B18" s="309">
        <v>18</v>
      </c>
      <c r="C18" s="310">
        <v>0.18</v>
      </c>
      <c r="D18" s="310">
        <v>0.21</v>
      </c>
      <c r="E18" s="310">
        <v>0.1</v>
      </c>
      <c r="F18" s="310">
        <v>0.12</v>
      </c>
      <c r="G18" s="310">
        <v>0.13</v>
      </c>
      <c r="H18" s="310">
        <v>0.13</v>
      </c>
      <c r="I18" s="310">
        <v>0.17</v>
      </c>
      <c r="J18" s="310">
        <v>0.13</v>
      </c>
      <c r="K18" s="310">
        <v>0.28000000000000003</v>
      </c>
      <c r="L18" s="310">
        <v>0.12</v>
      </c>
      <c r="M18" s="310">
        <v>0.11</v>
      </c>
      <c r="N18" s="702">
        <v>17</v>
      </c>
      <c r="O18" s="702">
        <v>19</v>
      </c>
      <c r="P18" s="702">
        <v>11</v>
      </c>
      <c r="Q18" s="702">
        <v>12</v>
      </c>
      <c r="R18" s="702">
        <v>13</v>
      </c>
      <c r="S18" s="702">
        <v>13</v>
      </c>
      <c r="T18" s="702">
        <v>17</v>
      </c>
      <c r="U18" s="702">
        <v>14</v>
      </c>
      <c r="V18" s="702">
        <v>28</v>
      </c>
      <c r="W18" s="702">
        <v>12</v>
      </c>
      <c r="X18" s="702">
        <v>11</v>
      </c>
    </row>
    <row r="19" spans="1:24" x14ac:dyDescent="0.25">
      <c r="A19" s="727" t="s">
        <v>81</v>
      </c>
      <c r="B19" s="727">
        <v>19</v>
      </c>
      <c r="C19" s="728">
        <v>0.2</v>
      </c>
      <c r="D19" s="728">
        <v>0.16</v>
      </c>
      <c r="E19" s="728">
        <v>0.23</v>
      </c>
      <c r="F19" s="728">
        <v>0.2</v>
      </c>
      <c r="G19" s="728">
        <v>0.23</v>
      </c>
      <c r="H19" s="728">
        <v>0.15</v>
      </c>
      <c r="I19" s="728">
        <v>0.19</v>
      </c>
      <c r="J19" s="728">
        <v>0.19</v>
      </c>
      <c r="K19" s="728">
        <v>0.3</v>
      </c>
      <c r="L19" s="728">
        <v>0.18</v>
      </c>
      <c r="M19" s="728">
        <v>0.17</v>
      </c>
      <c r="N19" s="702">
        <v>19</v>
      </c>
      <c r="O19" s="702">
        <v>14</v>
      </c>
      <c r="P19" s="702">
        <v>21</v>
      </c>
      <c r="Q19" s="702">
        <v>19</v>
      </c>
      <c r="R19" s="702">
        <v>22</v>
      </c>
      <c r="S19" s="702">
        <v>15</v>
      </c>
      <c r="T19" s="702">
        <v>18</v>
      </c>
      <c r="U19" s="702">
        <v>19</v>
      </c>
      <c r="V19" s="702">
        <v>28</v>
      </c>
      <c r="W19" s="702">
        <v>16</v>
      </c>
      <c r="X19" s="702">
        <v>17</v>
      </c>
    </row>
    <row r="20" spans="1:24" x14ac:dyDescent="0.25">
      <c r="A20" s="309" t="s">
        <v>57</v>
      </c>
      <c r="B20" s="309">
        <v>20</v>
      </c>
      <c r="C20" s="310">
        <v>0.21</v>
      </c>
      <c r="D20" s="310">
        <v>0.27</v>
      </c>
      <c r="E20" s="310">
        <v>0.13</v>
      </c>
      <c r="F20" s="310">
        <v>0.15</v>
      </c>
      <c r="G20" s="310">
        <v>0.15</v>
      </c>
      <c r="H20" s="310">
        <v>0.15</v>
      </c>
      <c r="I20" s="310">
        <v>0.2</v>
      </c>
      <c r="J20" s="310">
        <v>0.18</v>
      </c>
      <c r="K20" s="310">
        <v>0.34</v>
      </c>
      <c r="L20" s="310">
        <v>0.14000000000000001</v>
      </c>
      <c r="M20" s="310">
        <v>0.13</v>
      </c>
    </row>
    <row r="21" spans="1:24" x14ac:dyDescent="0.25">
      <c r="A21" s="309" t="s">
        <v>125</v>
      </c>
      <c r="B21" s="309">
        <v>21</v>
      </c>
      <c r="C21" s="310">
        <v>0.18</v>
      </c>
      <c r="D21" s="310">
        <v>0.32</v>
      </c>
      <c r="E21" s="310">
        <v>0.28000000000000003</v>
      </c>
      <c r="F21" s="310">
        <v>0.26</v>
      </c>
      <c r="G21" s="310">
        <v>0.23</v>
      </c>
      <c r="H21" s="310">
        <v>0.2</v>
      </c>
      <c r="I21" s="310">
        <v>0.22</v>
      </c>
      <c r="J21" s="310">
        <v>0.28999999999999998</v>
      </c>
      <c r="K21" s="310">
        <v>0.32</v>
      </c>
      <c r="L21" s="310">
        <v>0.22</v>
      </c>
      <c r="M21" s="310">
        <v>0.13</v>
      </c>
    </row>
    <row r="22" spans="1:24" x14ac:dyDescent="0.25">
      <c r="A22" s="727" t="s">
        <v>51</v>
      </c>
      <c r="B22" s="727">
        <v>22</v>
      </c>
      <c r="C22" s="728">
        <v>0.19</v>
      </c>
      <c r="D22" s="728">
        <v>0.45</v>
      </c>
      <c r="E22" s="728">
        <v>0.3</v>
      </c>
      <c r="F22" s="728">
        <v>0.35</v>
      </c>
      <c r="G22" s="728">
        <v>0.23</v>
      </c>
      <c r="H22" s="728">
        <v>0.16</v>
      </c>
      <c r="I22" s="728">
        <v>0.15</v>
      </c>
      <c r="J22" s="728">
        <v>0.24</v>
      </c>
      <c r="K22" s="728">
        <v>0.37</v>
      </c>
      <c r="L22" s="728">
        <v>0.28999999999999998</v>
      </c>
      <c r="M22" s="728">
        <v>0.13</v>
      </c>
    </row>
    <row r="23" spans="1:24" x14ac:dyDescent="0.25">
      <c r="A23" s="727" t="s">
        <v>89</v>
      </c>
      <c r="B23" s="727">
        <v>23</v>
      </c>
      <c r="C23" s="728">
        <v>0.2</v>
      </c>
      <c r="D23" s="728">
        <v>0.31</v>
      </c>
      <c r="E23" s="728">
        <v>0.23</v>
      </c>
      <c r="F23" s="728">
        <v>0.28000000000000003</v>
      </c>
      <c r="G23" s="728">
        <v>0.24</v>
      </c>
      <c r="H23" s="728">
        <v>0.2</v>
      </c>
      <c r="I23" s="728">
        <v>0.17</v>
      </c>
      <c r="J23" s="728">
        <v>0.22</v>
      </c>
      <c r="K23" s="728">
        <v>0.22</v>
      </c>
      <c r="L23" s="728">
        <v>0.17</v>
      </c>
      <c r="M23" s="728">
        <v>0.15</v>
      </c>
    </row>
    <row r="24" spans="1:24" x14ac:dyDescent="0.25">
      <c r="A24" s="309" t="s">
        <v>82</v>
      </c>
      <c r="B24" s="309">
        <v>24</v>
      </c>
      <c r="C24" s="310">
        <v>0.19</v>
      </c>
      <c r="D24" s="310">
        <v>0.35</v>
      </c>
      <c r="E24" s="310">
        <v>0.19</v>
      </c>
      <c r="F24" s="310">
        <v>0.22</v>
      </c>
      <c r="G24" s="310">
        <v>0.22</v>
      </c>
      <c r="H24" s="310">
        <v>0.14000000000000001</v>
      </c>
      <c r="I24" s="310">
        <v>0.12</v>
      </c>
      <c r="J24" s="310">
        <v>0.27</v>
      </c>
      <c r="K24" s="310">
        <v>0.3</v>
      </c>
      <c r="L24" s="310">
        <v>0.34</v>
      </c>
      <c r="M24" s="310">
        <v>0.11</v>
      </c>
    </row>
    <row r="25" spans="1:24" x14ac:dyDescent="0.25">
      <c r="A25" s="309" t="s">
        <v>50</v>
      </c>
      <c r="B25" s="309">
        <v>25</v>
      </c>
      <c r="C25" s="310">
        <v>0.16</v>
      </c>
      <c r="D25" s="310">
        <v>0.37</v>
      </c>
      <c r="E25" s="310">
        <v>0.12</v>
      </c>
      <c r="F25" s="310">
        <v>0.12</v>
      </c>
      <c r="G25" s="310">
        <v>0.27</v>
      </c>
      <c r="H25" s="310">
        <v>0.17</v>
      </c>
      <c r="I25" s="310">
        <v>0.09</v>
      </c>
      <c r="J25" s="310">
        <v>0.26</v>
      </c>
      <c r="K25" s="310">
        <v>0.34</v>
      </c>
      <c r="L25" s="310">
        <v>0.14000000000000001</v>
      </c>
      <c r="M25" s="310">
        <v>0.08</v>
      </c>
    </row>
    <row r="26" spans="1:24" x14ac:dyDescent="0.25">
      <c r="A26" s="309" t="s">
        <v>83</v>
      </c>
      <c r="B26" s="309">
        <v>26</v>
      </c>
      <c r="C26" s="310">
        <v>0.12</v>
      </c>
      <c r="D26" s="310">
        <v>0.21</v>
      </c>
      <c r="E26" s="310">
        <v>0.14000000000000001</v>
      </c>
      <c r="F26" s="310">
        <v>0.19</v>
      </c>
      <c r="G26" s="310">
        <v>0.15</v>
      </c>
      <c r="H26" s="310">
        <v>0.1</v>
      </c>
      <c r="I26" s="310">
        <v>0.1</v>
      </c>
      <c r="J26" s="310">
        <v>0.24</v>
      </c>
      <c r="K26" s="310">
        <v>0.19</v>
      </c>
      <c r="L26" s="310">
        <v>0.2</v>
      </c>
      <c r="M26" s="310">
        <v>0.1</v>
      </c>
      <c r="N26" s="702">
        <v>12</v>
      </c>
      <c r="O26" s="702">
        <v>21</v>
      </c>
      <c r="P26" s="702">
        <v>14</v>
      </c>
      <c r="Q26" s="702">
        <v>18</v>
      </c>
      <c r="R26" s="702">
        <v>15</v>
      </c>
      <c r="S26" s="702">
        <v>10</v>
      </c>
      <c r="T26" s="702">
        <v>9</v>
      </c>
      <c r="U26" s="702">
        <v>24</v>
      </c>
      <c r="V26" s="702">
        <v>19</v>
      </c>
      <c r="W26" s="702">
        <v>19</v>
      </c>
      <c r="X26" s="702">
        <v>10</v>
      </c>
    </row>
    <row r="27" spans="1:24" x14ac:dyDescent="0.25">
      <c r="A27" s="309" t="s">
        <v>71</v>
      </c>
      <c r="B27" s="309">
        <v>27</v>
      </c>
      <c r="C27" s="310">
        <v>0.18</v>
      </c>
      <c r="D27" s="310">
        <v>0.34</v>
      </c>
      <c r="E27" s="310">
        <v>0.18</v>
      </c>
      <c r="F27" s="310">
        <v>0.11</v>
      </c>
      <c r="G27" s="310">
        <v>0.17</v>
      </c>
      <c r="H27" s="310">
        <v>0.12</v>
      </c>
      <c r="I27" s="310">
        <v>0.08</v>
      </c>
      <c r="J27" s="310">
        <v>0.25</v>
      </c>
      <c r="K27" s="310">
        <v>0.34</v>
      </c>
      <c r="L27" s="310">
        <v>0.3</v>
      </c>
      <c r="M27" s="310">
        <v>0.08</v>
      </c>
      <c r="N27" s="702">
        <v>17</v>
      </c>
      <c r="O27" s="702">
        <v>29</v>
      </c>
      <c r="P27" s="702">
        <v>16</v>
      </c>
      <c r="Q27" s="702">
        <v>10</v>
      </c>
      <c r="R27" s="702">
        <v>16</v>
      </c>
      <c r="S27" s="702">
        <v>11</v>
      </c>
      <c r="T27" s="702">
        <v>8</v>
      </c>
      <c r="U27" s="702">
        <v>24</v>
      </c>
      <c r="V27" s="702">
        <v>31</v>
      </c>
      <c r="W27" s="702">
        <v>27</v>
      </c>
      <c r="X27" s="702">
        <v>8</v>
      </c>
    </row>
    <row r="28" spans="1:24" x14ac:dyDescent="0.25">
      <c r="A28" s="309" t="s">
        <v>87</v>
      </c>
      <c r="B28" s="309">
        <v>28</v>
      </c>
      <c r="C28" s="310">
        <v>0.19</v>
      </c>
      <c r="D28" s="310">
        <v>0.33</v>
      </c>
      <c r="E28" s="310">
        <v>0.2</v>
      </c>
      <c r="F28" s="310">
        <v>0.23</v>
      </c>
      <c r="G28" s="310">
        <v>0.13</v>
      </c>
      <c r="H28" s="310">
        <v>0.15</v>
      </c>
      <c r="I28" s="310">
        <v>0.15</v>
      </c>
      <c r="J28" s="310">
        <v>0.16</v>
      </c>
      <c r="K28" s="310">
        <v>0.21</v>
      </c>
      <c r="L28" s="310">
        <v>0.17</v>
      </c>
      <c r="M28" s="310">
        <v>0.12</v>
      </c>
    </row>
    <row r="29" spans="1:24" x14ac:dyDescent="0.25">
      <c r="A29" s="309" t="s">
        <v>65</v>
      </c>
      <c r="B29" s="309">
        <v>29</v>
      </c>
      <c r="C29" s="310">
        <v>0.15</v>
      </c>
      <c r="D29" s="310">
        <v>0.22</v>
      </c>
      <c r="E29" s="310">
        <v>0.24</v>
      </c>
      <c r="F29" s="310">
        <v>0.27</v>
      </c>
      <c r="G29" s="310">
        <v>0.14000000000000001</v>
      </c>
      <c r="H29" s="310">
        <v>0.12</v>
      </c>
      <c r="I29" s="310">
        <v>0.22</v>
      </c>
      <c r="J29" s="310">
        <v>0.31</v>
      </c>
      <c r="K29" s="310">
        <v>0.19</v>
      </c>
      <c r="L29" s="310">
        <v>0.16</v>
      </c>
      <c r="M29" s="310">
        <v>0.14000000000000001</v>
      </c>
    </row>
    <row r="30" spans="1:24" x14ac:dyDescent="0.25">
      <c r="A30" s="309" t="s">
        <v>76</v>
      </c>
      <c r="B30" s="309">
        <v>30</v>
      </c>
      <c r="C30" s="310">
        <v>0.19</v>
      </c>
      <c r="D30" s="310">
        <v>0.41</v>
      </c>
      <c r="E30" s="310">
        <v>0.2</v>
      </c>
      <c r="F30" s="310">
        <v>0.25</v>
      </c>
      <c r="G30" s="310">
        <v>0.22</v>
      </c>
      <c r="H30" s="310">
        <v>0.12</v>
      </c>
      <c r="I30" s="310">
        <v>0.14000000000000001</v>
      </c>
      <c r="J30" s="310">
        <v>0.22</v>
      </c>
      <c r="K30" s="310">
        <v>0.35</v>
      </c>
      <c r="L30" s="310">
        <v>0.18</v>
      </c>
      <c r="M30" s="310">
        <v>0.09</v>
      </c>
    </row>
    <row r="31" spans="1:24" x14ac:dyDescent="0.25">
      <c r="A31" s="309" t="s">
        <v>73</v>
      </c>
      <c r="B31" s="309">
        <v>31</v>
      </c>
      <c r="C31" s="310">
        <v>0.14000000000000001</v>
      </c>
      <c r="D31" s="310">
        <v>0.15</v>
      </c>
      <c r="E31" s="310">
        <v>0.17</v>
      </c>
      <c r="F31" s="310">
        <v>0.11</v>
      </c>
      <c r="G31" s="310">
        <v>0.17</v>
      </c>
      <c r="H31" s="310">
        <v>0.2</v>
      </c>
      <c r="I31" s="310">
        <v>0.21</v>
      </c>
      <c r="J31" s="310">
        <v>0.24</v>
      </c>
      <c r="K31" s="310">
        <v>0.21</v>
      </c>
      <c r="L31" s="310">
        <v>0.18</v>
      </c>
      <c r="M31" s="310">
        <v>0.1</v>
      </c>
    </row>
    <row r="32" spans="1:24" x14ac:dyDescent="0.25">
      <c r="A32" s="309" t="s">
        <v>75</v>
      </c>
      <c r="B32" s="309">
        <v>32</v>
      </c>
      <c r="C32" s="310">
        <v>0.14000000000000001</v>
      </c>
      <c r="D32" s="310">
        <v>0.31</v>
      </c>
      <c r="E32" s="310">
        <v>0.18</v>
      </c>
      <c r="F32" s="310">
        <v>0.21</v>
      </c>
      <c r="G32" s="310">
        <v>0.16</v>
      </c>
      <c r="H32" s="310">
        <v>0.14000000000000001</v>
      </c>
      <c r="I32" s="310">
        <v>0.15</v>
      </c>
      <c r="J32" s="310">
        <v>0.18</v>
      </c>
      <c r="K32" s="310">
        <v>0.25</v>
      </c>
      <c r="L32" s="310">
        <v>0.15</v>
      </c>
      <c r="M32" s="310">
        <v>0.09</v>
      </c>
    </row>
    <row r="33" spans="1:24" x14ac:dyDescent="0.25">
      <c r="A33" s="727" t="s">
        <v>74</v>
      </c>
      <c r="B33" s="727">
        <v>33</v>
      </c>
      <c r="C33" s="728">
        <v>0.22</v>
      </c>
      <c r="D33" s="728">
        <v>0.35</v>
      </c>
      <c r="E33" s="728">
        <v>0.19</v>
      </c>
      <c r="F33" s="728">
        <v>0.24</v>
      </c>
      <c r="G33" s="728">
        <v>0.21</v>
      </c>
      <c r="H33" s="728">
        <v>0.14000000000000001</v>
      </c>
      <c r="I33" s="728">
        <v>0.14000000000000001</v>
      </c>
      <c r="J33" s="728">
        <v>0.22</v>
      </c>
      <c r="K33" s="728">
        <v>0.33</v>
      </c>
      <c r="L33" s="728">
        <v>0.31</v>
      </c>
      <c r="M33" s="728">
        <v>0.11</v>
      </c>
    </row>
    <row r="34" spans="1:24" x14ac:dyDescent="0.25">
      <c r="A34" s="309" t="s">
        <v>64</v>
      </c>
      <c r="B34" s="309">
        <v>34</v>
      </c>
      <c r="C34" s="310">
        <v>0.24</v>
      </c>
      <c r="D34" s="310">
        <v>0.37</v>
      </c>
      <c r="E34" s="310">
        <v>0.26</v>
      </c>
      <c r="F34" s="310">
        <v>0.27</v>
      </c>
      <c r="G34" s="310">
        <v>0.23</v>
      </c>
      <c r="H34" s="310">
        <v>0.2</v>
      </c>
      <c r="I34" s="310">
        <v>0.14000000000000001</v>
      </c>
      <c r="J34" s="310">
        <v>0.22</v>
      </c>
      <c r="K34" s="310">
        <v>0.33</v>
      </c>
      <c r="L34" s="310">
        <v>0.31</v>
      </c>
      <c r="M34" s="310">
        <v>0.16</v>
      </c>
      <c r="N34" s="702">
        <v>23</v>
      </c>
      <c r="O34" s="702">
        <v>35</v>
      </c>
      <c r="P34" s="702">
        <v>23</v>
      </c>
      <c r="Q34" s="702">
        <v>25</v>
      </c>
      <c r="R34" s="702">
        <v>21</v>
      </c>
      <c r="S34" s="702">
        <v>18</v>
      </c>
      <c r="T34" s="702">
        <v>13</v>
      </c>
      <c r="U34" s="702">
        <v>20</v>
      </c>
      <c r="V34" s="702">
        <v>31</v>
      </c>
      <c r="W34" s="702">
        <v>29</v>
      </c>
      <c r="X34" s="702">
        <v>15</v>
      </c>
    </row>
    <row r="35" spans="1:24" x14ac:dyDescent="0.25">
      <c r="A35" s="309" t="s">
        <v>58</v>
      </c>
      <c r="B35" s="309">
        <v>35</v>
      </c>
      <c r="C35" s="310">
        <v>0.18</v>
      </c>
      <c r="D35" s="310">
        <v>0.38</v>
      </c>
      <c r="E35" s="310">
        <v>0.13</v>
      </c>
      <c r="F35" s="310">
        <v>0.14000000000000001</v>
      </c>
      <c r="G35" s="310">
        <v>0.15</v>
      </c>
      <c r="H35" s="310">
        <v>0.12</v>
      </c>
      <c r="I35" s="310">
        <v>0.12</v>
      </c>
      <c r="J35" s="310">
        <v>0.23</v>
      </c>
      <c r="K35" s="310">
        <v>0.32</v>
      </c>
      <c r="L35" s="310">
        <v>0.16</v>
      </c>
      <c r="M35" s="310">
        <v>0.1</v>
      </c>
    </row>
    <row r="36" spans="1:24" x14ac:dyDescent="0.25">
      <c r="A36" s="727" t="s">
        <v>69</v>
      </c>
      <c r="B36" s="727">
        <v>36</v>
      </c>
      <c r="C36" s="728">
        <v>0.09</v>
      </c>
      <c r="D36" s="728">
        <v>0.2</v>
      </c>
      <c r="E36" s="728">
        <v>0.11</v>
      </c>
      <c r="F36" s="728">
        <v>0.1</v>
      </c>
      <c r="G36" s="728">
        <v>0.14000000000000001</v>
      </c>
      <c r="H36" s="728">
        <v>0.1</v>
      </c>
      <c r="I36" s="728">
        <v>0.14000000000000001</v>
      </c>
      <c r="J36" s="728">
        <v>0.21</v>
      </c>
      <c r="K36" s="728">
        <v>0.1</v>
      </c>
      <c r="L36" s="728">
        <v>0.26</v>
      </c>
      <c r="M36" s="728">
        <v>0.12</v>
      </c>
      <c r="N36" s="702">
        <v>9</v>
      </c>
      <c r="O36" s="702">
        <v>16</v>
      </c>
      <c r="P36" s="702">
        <v>11</v>
      </c>
      <c r="Q36" s="702">
        <v>10</v>
      </c>
      <c r="R36" s="702">
        <v>13</v>
      </c>
      <c r="S36" s="702">
        <v>9</v>
      </c>
      <c r="T36" s="702">
        <v>12</v>
      </c>
      <c r="U36" s="702">
        <v>20</v>
      </c>
      <c r="V36" s="702">
        <v>9</v>
      </c>
      <c r="W36" s="702">
        <v>23</v>
      </c>
      <c r="X36" s="702">
        <v>11</v>
      </c>
    </row>
    <row r="37" spans="1:24" x14ac:dyDescent="0.25">
      <c r="A37" s="727" t="s">
        <v>49</v>
      </c>
      <c r="B37" s="727">
        <v>37</v>
      </c>
      <c r="C37" s="728">
        <v>0.26</v>
      </c>
      <c r="D37" s="728">
        <v>0.15</v>
      </c>
      <c r="E37" s="728">
        <v>0.27</v>
      </c>
      <c r="F37" s="728">
        <v>0.31</v>
      </c>
      <c r="G37" s="728">
        <v>0.28999999999999998</v>
      </c>
      <c r="H37" s="728">
        <v>0.18</v>
      </c>
      <c r="I37" s="728">
        <v>0.21</v>
      </c>
      <c r="J37" s="728">
        <v>0.2</v>
      </c>
      <c r="K37" s="728">
        <v>0.17</v>
      </c>
      <c r="L37" s="728">
        <v>0.11</v>
      </c>
      <c r="M37" s="728">
        <v>0.15</v>
      </c>
    </row>
    <row r="38" spans="1:24" x14ac:dyDescent="0.25">
      <c r="A38" s="309" t="s">
        <v>52</v>
      </c>
      <c r="B38" s="309">
        <v>38</v>
      </c>
      <c r="C38" s="310">
        <v>0.08</v>
      </c>
      <c r="D38" s="310">
        <v>0.21</v>
      </c>
      <c r="E38" s="310">
        <v>0.14000000000000001</v>
      </c>
      <c r="F38" s="310">
        <v>0.16</v>
      </c>
      <c r="G38" s="310">
        <v>0.18</v>
      </c>
      <c r="H38" s="310">
        <v>0.11</v>
      </c>
      <c r="I38" s="310">
        <v>0.09</v>
      </c>
      <c r="J38" s="310">
        <v>0.15</v>
      </c>
      <c r="K38" s="310">
        <v>0.24</v>
      </c>
      <c r="L38" s="310">
        <v>0.24</v>
      </c>
      <c r="M38" s="310">
        <v>0.13</v>
      </c>
    </row>
    <row r="39" spans="1:24" x14ac:dyDescent="0.25">
      <c r="A39" s="309" t="s">
        <v>67</v>
      </c>
      <c r="B39" s="309">
        <v>39</v>
      </c>
      <c r="C39" s="310">
        <v>0.15</v>
      </c>
      <c r="D39" s="310">
        <v>0.34</v>
      </c>
      <c r="E39" s="310">
        <v>0.19</v>
      </c>
      <c r="F39" s="310">
        <v>0.17</v>
      </c>
      <c r="G39" s="310">
        <v>0.18</v>
      </c>
      <c r="H39" s="310">
        <v>0.13</v>
      </c>
      <c r="I39" s="310">
        <v>0.13</v>
      </c>
      <c r="J39" s="310">
        <v>0.25</v>
      </c>
      <c r="K39" s="310">
        <v>0.34</v>
      </c>
      <c r="L39" s="310">
        <v>0.26</v>
      </c>
      <c r="M39" s="310">
        <v>7.0000000000000007E-2</v>
      </c>
    </row>
    <row r="40" spans="1:24" x14ac:dyDescent="0.25">
      <c r="A40" s="309" t="s">
        <v>86</v>
      </c>
      <c r="B40" s="309">
        <v>40</v>
      </c>
      <c r="C40" s="310">
        <v>0.11</v>
      </c>
      <c r="D40" s="310">
        <v>0.14000000000000001</v>
      </c>
      <c r="E40" s="310">
        <v>0.16</v>
      </c>
      <c r="F40" s="310">
        <v>0.15</v>
      </c>
      <c r="G40" s="310">
        <v>0.13</v>
      </c>
      <c r="H40" s="310">
        <v>0.15</v>
      </c>
      <c r="I40" s="310">
        <v>0.13</v>
      </c>
      <c r="J40" s="310">
        <v>0.27</v>
      </c>
      <c r="K40" s="310">
        <v>0.19</v>
      </c>
      <c r="L40" s="310">
        <v>0.21</v>
      </c>
      <c r="M40" s="310">
        <v>0.12</v>
      </c>
      <c r="N40" s="702">
        <v>13</v>
      </c>
      <c r="O40" s="702">
        <v>14</v>
      </c>
      <c r="P40" s="702">
        <v>17</v>
      </c>
      <c r="Q40" s="702">
        <v>15</v>
      </c>
      <c r="R40" s="702">
        <v>14</v>
      </c>
      <c r="S40" s="702">
        <v>16</v>
      </c>
      <c r="T40" s="702">
        <v>15</v>
      </c>
      <c r="U40" s="702">
        <v>27</v>
      </c>
      <c r="V40" s="702">
        <v>20</v>
      </c>
      <c r="W40" s="702">
        <v>21</v>
      </c>
      <c r="X40" s="702">
        <v>13</v>
      </c>
    </row>
    <row r="41" spans="1:24" x14ac:dyDescent="0.25">
      <c r="A41" s="309" t="s">
        <v>61</v>
      </c>
      <c r="B41" s="309">
        <v>41</v>
      </c>
      <c r="C41" s="310">
        <v>0.28000000000000003</v>
      </c>
      <c r="D41" s="310">
        <v>0.37</v>
      </c>
      <c r="E41" s="310">
        <v>0.16</v>
      </c>
      <c r="F41" s="310">
        <v>0.21</v>
      </c>
      <c r="G41" s="310">
        <v>0.25</v>
      </c>
      <c r="H41" s="310">
        <v>0.23</v>
      </c>
      <c r="I41" s="310">
        <v>0.11</v>
      </c>
      <c r="J41" s="310">
        <v>0.28000000000000003</v>
      </c>
      <c r="K41" s="310">
        <v>0.33</v>
      </c>
      <c r="L41" s="310">
        <v>0.32</v>
      </c>
      <c r="M41" s="310">
        <v>0.09</v>
      </c>
    </row>
    <row r="42" spans="1:24" x14ac:dyDescent="0.25">
      <c r="A42" s="309" t="s">
        <v>60</v>
      </c>
      <c r="B42" s="309">
        <v>42</v>
      </c>
      <c r="C42" s="310">
        <v>0.14000000000000001</v>
      </c>
      <c r="D42" s="310">
        <v>0.3</v>
      </c>
      <c r="E42" s="310">
        <v>0.25</v>
      </c>
      <c r="F42" s="310">
        <v>0.27</v>
      </c>
      <c r="G42" s="310">
        <v>0.2</v>
      </c>
      <c r="H42" s="310">
        <v>0.1</v>
      </c>
      <c r="I42" s="310">
        <v>0.12</v>
      </c>
      <c r="J42" s="310">
        <v>0.25</v>
      </c>
      <c r="K42" s="310">
        <v>0.31</v>
      </c>
      <c r="L42" s="310">
        <v>0.25</v>
      </c>
      <c r="M42" s="310">
        <v>0.12</v>
      </c>
    </row>
    <row r="43" spans="1:24" x14ac:dyDescent="0.25">
      <c r="A43" s="309" t="s">
        <v>56</v>
      </c>
      <c r="B43" s="309">
        <v>43</v>
      </c>
      <c r="C43" s="310">
        <v>0.18</v>
      </c>
      <c r="D43" s="310">
        <v>0.3</v>
      </c>
      <c r="E43" s="310">
        <v>0.18</v>
      </c>
      <c r="F43" s="310">
        <v>0.2</v>
      </c>
      <c r="G43" s="310">
        <v>0.15</v>
      </c>
      <c r="H43" s="310">
        <v>0.12</v>
      </c>
      <c r="I43" s="310">
        <v>0.15</v>
      </c>
      <c r="J43" s="310">
        <v>0.24</v>
      </c>
      <c r="K43" s="310">
        <v>0.31</v>
      </c>
      <c r="L43" s="310">
        <v>0.21</v>
      </c>
      <c r="M43" s="310">
        <v>0.15</v>
      </c>
    </row>
    <row r="44" spans="1:24" x14ac:dyDescent="0.25">
      <c r="A44" s="309" t="s">
        <v>156</v>
      </c>
      <c r="B44" s="309">
        <v>44</v>
      </c>
      <c r="C44" s="310">
        <v>0.2</v>
      </c>
      <c r="D44" s="310">
        <v>0.48</v>
      </c>
      <c r="E44" s="310">
        <v>0.2</v>
      </c>
      <c r="F44" s="310">
        <v>0.22</v>
      </c>
      <c r="G44" s="310">
        <v>0.26</v>
      </c>
      <c r="H44" s="310">
        <v>0.18</v>
      </c>
      <c r="I44" s="310">
        <v>0.15</v>
      </c>
      <c r="J44" s="310">
        <v>0.31</v>
      </c>
      <c r="K44" s="310">
        <v>0.39</v>
      </c>
      <c r="L44" s="310">
        <v>0.23</v>
      </c>
      <c r="M44" s="310">
        <v>0.18</v>
      </c>
    </row>
    <row r="45" spans="1:24" x14ac:dyDescent="0.25">
      <c r="A45" s="309" t="s">
        <v>53</v>
      </c>
      <c r="B45" s="309">
        <v>45</v>
      </c>
      <c r="C45" s="310">
        <v>0.12</v>
      </c>
      <c r="D45" s="310">
        <v>0.22</v>
      </c>
      <c r="E45" s="310">
        <v>0.15</v>
      </c>
      <c r="F45" s="310">
        <v>0.18</v>
      </c>
      <c r="G45" s="310">
        <v>0.12</v>
      </c>
      <c r="H45" s="310">
        <v>0.11</v>
      </c>
      <c r="I45" s="310">
        <v>0.13</v>
      </c>
      <c r="J45" s="310">
        <v>0.19</v>
      </c>
      <c r="K45" s="310">
        <v>0.26</v>
      </c>
      <c r="L45" s="310">
        <v>0.12</v>
      </c>
      <c r="M45" s="310">
        <v>0.1</v>
      </c>
    </row>
    <row r="46" spans="1:24" x14ac:dyDescent="0.25">
      <c r="A46" s="309" t="s">
        <v>85</v>
      </c>
      <c r="B46" s="309">
        <v>46</v>
      </c>
      <c r="C46" s="310">
        <v>0.25</v>
      </c>
      <c r="D46" s="310">
        <v>0.41</v>
      </c>
      <c r="E46" s="310">
        <v>0.3</v>
      </c>
      <c r="F46" s="310">
        <v>0.24</v>
      </c>
      <c r="G46" s="310">
        <v>0.21</v>
      </c>
      <c r="H46" s="310">
        <v>0.18</v>
      </c>
      <c r="I46" s="310">
        <v>0.16</v>
      </c>
      <c r="J46" s="310">
        <v>0.23</v>
      </c>
      <c r="K46" s="310">
        <v>0.45</v>
      </c>
      <c r="L46" s="310">
        <v>0.35</v>
      </c>
      <c r="M46" s="310">
        <v>0.13</v>
      </c>
    </row>
    <row r="47" spans="1:24" x14ac:dyDescent="0.25">
      <c r="A47" s="727" t="s">
        <v>256</v>
      </c>
      <c r="B47" s="727">
        <v>47</v>
      </c>
      <c r="C47" s="728">
        <v>0.23</v>
      </c>
      <c r="D47" s="728">
        <v>0.77</v>
      </c>
      <c r="E47" s="728">
        <v>0.14000000000000001</v>
      </c>
      <c r="F47" s="728">
        <v>0.17</v>
      </c>
      <c r="G47" s="728">
        <v>0.27</v>
      </c>
      <c r="H47" s="728">
        <v>0.18</v>
      </c>
      <c r="I47" s="728">
        <v>0.21</v>
      </c>
      <c r="J47" s="728">
        <v>0.14000000000000001</v>
      </c>
      <c r="K47" s="728">
        <v>0.1</v>
      </c>
      <c r="L47" s="728">
        <v>0.25</v>
      </c>
      <c r="M47" s="728">
        <v>0.15</v>
      </c>
    </row>
    <row r="48" spans="1:24" x14ac:dyDescent="0.25">
      <c r="A48" s="727" t="s">
        <v>253</v>
      </c>
      <c r="B48" s="727">
        <v>48</v>
      </c>
      <c r="C48" s="728">
        <v>0.18</v>
      </c>
      <c r="D48" s="728">
        <v>0.34</v>
      </c>
      <c r="E48" s="728">
        <v>0.25</v>
      </c>
      <c r="F48" s="728">
        <v>0.21</v>
      </c>
      <c r="G48" s="728">
        <v>0.16</v>
      </c>
      <c r="H48" s="728">
        <v>0.1</v>
      </c>
      <c r="I48" s="728">
        <v>0.14000000000000001</v>
      </c>
      <c r="J48" s="728">
        <v>0.23</v>
      </c>
      <c r="K48" s="728">
        <v>0.31</v>
      </c>
      <c r="L48" s="728">
        <v>0.28000000000000003</v>
      </c>
      <c r="M48" s="728">
        <v>0.08</v>
      </c>
    </row>
    <row r="49" spans="1:24" x14ac:dyDescent="0.25">
      <c r="A49" s="311" t="s">
        <v>257</v>
      </c>
      <c r="B49" s="311">
        <v>49</v>
      </c>
      <c r="C49" s="312">
        <v>0.11</v>
      </c>
      <c r="D49" s="312">
        <v>0.17</v>
      </c>
      <c r="E49" s="312">
        <v>0.17</v>
      </c>
      <c r="F49" s="312">
        <v>0.17</v>
      </c>
      <c r="G49" s="312">
        <v>0.13</v>
      </c>
      <c r="H49" s="312">
        <v>0.11</v>
      </c>
      <c r="I49" s="312">
        <v>0.09</v>
      </c>
      <c r="J49" s="312">
        <v>0.16</v>
      </c>
      <c r="K49" s="312">
        <v>0.18</v>
      </c>
      <c r="L49" s="312">
        <v>0.14000000000000001</v>
      </c>
      <c r="M49" s="312">
        <v>0.06</v>
      </c>
    </row>
    <row r="50" spans="1:24" s="129" customFormat="1" x14ac:dyDescent="0.25">
      <c r="A50" s="309" t="s">
        <v>252</v>
      </c>
      <c r="B50" s="309">
        <v>50</v>
      </c>
      <c r="C50" s="314">
        <v>0.17</v>
      </c>
      <c r="D50" s="314">
        <v>0.16</v>
      </c>
      <c r="E50" s="314">
        <v>0.17</v>
      </c>
      <c r="F50" s="314">
        <v>0.19</v>
      </c>
      <c r="G50" s="314">
        <v>0.32</v>
      </c>
      <c r="H50" s="314">
        <v>0.16</v>
      </c>
      <c r="I50" s="314">
        <v>0.16</v>
      </c>
      <c r="J50" s="314">
        <v>0.17</v>
      </c>
      <c r="K50" s="314">
        <v>0.23</v>
      </c>
      <c r="L50" s="314">
        <v>0.34</v>
      </c>
      <c r="M50" s="314">
        <v>0.13</v>
      </c>
    </row>
    <row r="51" spans="1:24" x14ac:dyDescent="0.25">
      <c r="A51" s="313" t="s">
        <v>245</v>
      </c>
      <c r="B51" s="313">
        <v>51</v>
      </c>
      <c r="C51" s="312">
        <v>0.17</v>
      </c>
      <c r="D51" s="312">
        <v>0.31</v>
      </c>
      <c r="E51" s="312">
        <v>0.19</v>
      </c>
      <c r="F51" s="312">
        <v>0.17</v>
      </c>
      <c r="G51" s="312">
        <v>0.21</v>
      </c>
      <c r="H51" s="312">
        <v>0.14000000000000001</v>
      </c>
      <c r="I51" s="312">
        <v>0.1</v>
      </c>
      <c r="J51" s="312">
        <v>0.14000000000000001</v>
      </c>
      <c r="K51" s="312">
        <v>0.09</v>
      </c>
      <c r="L51" s="312">
        <v>0.28000000000000003</v>
      </c>
      <c r="M51" s="312">
        <v>0.09</v>
      </c>
    </row>
    <row r="52" spans="1:24" x14ac:dyDescent="0.25">
      <c r="A52" s="309" t="s">
        <v>785</v>
      </c>
      <c r="B52" s="309">
        <v>52</v>
      </c>
      <c r="C52" s="731">
        <v>0.1</v>
      </c>
      <c r="D52" s="731">
        <v>0.25</v>
      </c>
      <c r="E52" s="731">
        <v>0.18</v>
      </c>
      <c r="F52" s="731">
        <v>0.17</v>
      </c>
      <c r="G52" s="731">
        <v>0.11</v>
      </c>
      <c r="H52" s="731">
        <v>0.11</v>
      </c>
      <c r="I52" s="731">
        <v>0.11</v>
      </c>
      <c r="J52" s="731">
        <v>0.18</v>
      </c>
      <c r="K52" s="731">
        <v>0.22</v>
      </c>
      <c r="L52" s="731">
        <v>0.09</v>
      </c>
      <c r="M52" s="731">
        <v>0.09</v>
      </c>
      <c r="N52" s="702">
        <v>11</v>
      </c>
      <c r="O52" s="702">
        <v>23</v>
      </c>
      <c r="P52" s="702">
        <v>17</v>
      </c>
      <c r="Q52" s="702">
        <v>17</v>
      </c>
      <c r="R52" s="702">
        <v>12</v>
      </c>
      <c r="S52" s="702">
        <v>12</v>
      </c>
      <c r="T52" s="702">
        <v>13</v>
      </c>
      <c r="U52" s="702">
        <v>18</v>
      </c>
      <c r="V52" s="702">
        <v>21</v>
      </c>
      <c r="W52" s="702">
        <v>10</v>
      </c>
      <c r="X52" s="702">
        <v>11</v>
      </c>
    </row>
    <row r="53" spans="1:24" x14ac:dyDescent="0.25">
      <c r="A53" s="727" t="s">
        <v>834</v>
      </c>
      <c r="B53" s="727">
        <v>53</v>
      </c>
      <c r="C53" s="728">
        <v>0.19</v>
      </c>
      <c r="D53" s="728">
        <v>0.24</v>
      </c>
      <c r="E53" s="728">
        <v>0.13</v>
      </c>
      <c r="F53" s="728">
        <v>0.13</v>
      </c>
      <c r="G53" s="728">
        <v>0.14000000000000001</v>
      </c>
      <c r="H53" s="728">
        <v>0.19</v>
      </c>
      <c r="I53" s="728">
        <v>0.16</v>
      </c>
      <c r="J53" s="728">
        <v>0.25</v>
      </c>
      <c r="K53" s="728">
        <v>0.13</v>
      </c>
      <c r="L53" s="728">
        <v>0.27</v>
      </c>
      <c r="M53" s="728">
        <v>0.1</v>
      </c>
      <c r="N53" s="702">
        <v>19</v>
      </c>
      <c r="O53" s="702">
        <v>22</v>
      </c>
      <c r="P53" s="702">
        <v>13</v>
      </c>
      <c r="Q53" s="702">
        <v>12</v>
      </c>
      <c r="R53" s="702">
        <v>13</v>
      </c>
      <c r="S53" s="702">
        <v>18</v>
      </c>
      <c r="T53" s="702">
        <v>15</v>
      </c>
      <c r="U53" s="702">
        <v>24</v>
      </c>
      <c r="V53" s="702">
        <v>12</v>
      </c>
      <c r="W53" s="702">
        <v>26</v>
      </c>
      <c r="X53" s="702">
        <v>10</v>
      </c>
    </row>
    <row r="54" spans="1:24" x14ac:dyDescent="0.25">
      <c r="A54" s="727" t="s">
        <v>841</v>
      </c>
      <c r="B54" s="727">
        <v>54</v>
      </c>
      <c r="C54" s="728">
        <v>0.14000000000000001</v>
      </c>
      <c r="D54" s="728">
        <v>0.41</v>
      </c>
      <c r="E54" s="728">
        <v>0.13</v>
      </c>
      <c r="F54" s="728">
        <v>0.14000000000000001</v>
      </c>
      <c r="G54" s="728">
        <v>0.12</v>
      </c>
      <c r="H54" s="728">
        <v>0.15</v>
      </c>
      <c r="I54" s="728">
        <v>0.12</v>
      </c>
      <c r="J54" s="728">
        <v>0.18</v>
      </c>
      <c r="K54" s="728">
        <v>0.31</v>
      </c>
      <c r="L54" s="728">
        <v>0.13</v>
      </c>
      <c r="M54" s="728">
        <v>0.09</v>
      </c>
      <c r="N54" s="702">
        <v>12</v>
      </c>
      <c r="O54" s="702">
        <v>42</v>
      </c>
      <c r="P54" s="702">
        <v>11</v>
      </c>
      <c r="Q54" s="702">
        <v>12</v>
      </c>
      <c r="R54" s="702">
        <v>11</v>
      </c>
      <c r="S54" s="702">
        <v>14</v>
      </c>
      <c r="T54" s="702">
        <v>10</v>
      </c>
      <c r="U54" s="702">
        <v>16</v>
      </c>
      <c r="V54" s="702">
        <v>30</v>
      </c>
      <c r="W54" s="702">
        <v>10</v>
      </c>
      <c r="X54" s="702">
        <v>8</v>
      </c>
    </row>
    <row r="55" spans="1:24" x14ac:dyDescent="0.25">
      <c r="A55" s="727" t="s">
        <v>844</v>
      </c>
      <c r="B55" s="727">
        <v>55</v>
      </c>
      <c r="C55" s="728">
        <v>0.18</v>
      </c>
      <c r="D55" s="728">
        <v>0.24</v>
      </c>
      <c r="E55" s="728">
        <v>0.18</v>
      </c>
      <c r="F55" s="728">
        <v>0.19</v>
      </c>
      <c r="G55" s="728">
        <v>0.17</v>
      </c>
      <c r="H55" s="728">
        <v>0.14000000000000001</v>
      </c>
      <c r="I55" s="728">
        <v>0.16</v>
      </c>
      <c r="J55" s="728">
        <v>0.24</v>
      </c>
      <c r="K55" s="728">
        <v>0.21</v>
      </c>
      <c r="L55" s="728">
        <v>0.22</v>
      </c>
      <c r="M55" s="728">
        <v>0.15</v>
      </c>
      <c r="N55" s="702">
        <v>18</v>
      </c>
      <c r="O55" s="702">
        <v>23</v>
      </c>
      <c r="P55" s="702">
        <v>18</v>
      </c>
      <c r="Q55" s="702">
        <v>18</v>
      </c>
      <c r="R55" s="702">
        <v>17</v>
      </c>
      <c r="S55" s="702">
        <v>14</v>
      </c>
      <c r="T55" s="702">
        <v>15</v>
      </c>
      <c r="U55" s="702">
        <v>26</v>
      </c>
      <c r="V55" s="702">
        <v>20</v>
      </c>
      <c r="W55" s="702">
        <v>19</v>
      </c>
      <c r="X55" s="702">
        <v>15</v>
      </c>
    </row>
    <row r="56" spans="1:24" x14ac:dyDescent="0.25">
      <c r="A56" s="727" t="s">
        <v>829</v>
      </c>
      <c r="B56" s="727">
        <v>56</v>
      </c>
      <c r="C56" s="728">
        <v>0.26</v>
      </c>
      <c r="D56" s="728">
        <v>0.18</v>
      </c>
      <c r="E56" s="728">
        <v>0.13</v>
      </c>
      <c r="F56" s="728">
        <v>0.13</v>
      </c>
      <c r="G56" s="728">
        <v>0.28999999999999998</v>
      </c>
      <c r="H56" s="728">
        <v>0.22</v>
      </c>
      <c r="I56" s="728">
        <v>0.09</v>
      </c>
      <c r="J56" s="728">
        <v>0.25</v>
      </c>
      <c r="K56" s="728">
        <v>0.2</v>
      </c>
      <c r="L56" s="728">
        <v>0.28000000000000003</v>
      </c>
      <c r="M56" s="728">
        <v>0.08</v>
      </c>
      <c r="N56" s="702">
        <v>26</v>
      </c>
      <c r="O56" s="702">
        <v>15</v>
      </c>
      <c r="P56" s="702">
        <v>14</v>
      </c>
      <c r="Q56" s="702">
        <v>14</v>
      </c>
      <c r="R56" s="702">
        <v>20</v>
      </c>
      <c r="S56" s="702">
        <v>19</v>
      </c>
      <c r="T56" s="702">
        <v>9</v>
      </c>
      <c r="U56" s="702">
        <v>23</v>
      </c>
      <c r="V56" s="702">
        <v>20</v>
      </c>
      <c r="W56" s="702">
        <v>22</v>
      </c>
      <c r="X56" s="702">
        <v>10</v>
      </c>
    </row>
    <row r="57" spans="1:24" x14ac:dyDescent="0.25">
      <c r="A57" s="309" t="s">
        <v>870</v>
      </c>
      <c r="B57" s="309">
        <v>57</v>
      </c>
      <c r="C57" s="310">
        <v>0.14000000000000001</v>
      </c>
      <c r="D57" s="310">
        <v>0.32</v>
      </c>
      <c r="E57" s="310">
        <v>0.11</v>
      </c>
      <c r="F57" s="310">
        <v>0.11</v>
      </c>
      <c r="G57" s="310">
        <v>7.0000000000000007E-2</v>
      </c>
      <c r="H57" s="310">
        <v>0.06</v>
      </c>
      <c r="I57" s="310">
        <v>0.21</v>
      </c>
      <c r="J57" s="310">
        <v>0.13</v>
      </c>
      <c r="K57" s="310">
        <v>0.17</v>
      </c>
      <c r="L57" s="310">
        <v>0.11</v>
      </c>
      <c r="M57" s="310">
        <v>7.0000000000000007E-2</v>
      </c>
    </row>
    <row r="58" spans="1:24" x14ac:dyDescent="0.25">
      <c r="A58" s="309" t="s">
        <v>871</v>
      </c>
      <c r="B58" s="309">
        <v>58</v>
      </c>
      <c r="C58" s="310">
        <v>0.19</v>
      </c>
      <c r="D58" s="310">
        <v>0.66</v>
      </c>
      <c r="E58" s="310">
        <v>0.09</v>
      </c>
      <c r="F58" s="310">
        <v>0.11</v>
      </c>
      <c r="G58" s="310">
        <v>0.24</v>
      </c>
      <c r="H58" s="310">
        <v>0.1</v>
      </c>
      <c r="I58" s="310">
        <v>0.11</v>
      </c>
      <c r="J58" s="310">
        <v>0.17</v>
      </c>
      <c r="K58" s="310">
        <v>0.14000000000000001</v>
      </c>
      <c r="L58" s="310">
        <v>0.41</v>
      </c>
      <c r="M58" s="310">
        <v>0.13</v>
      </c>
    </row>
    <row r="59" spans="1:24" x14ac:dyDescent="0.25">
      <c r="A59" s="309" t="s">
        <v>837</v>
      </c>
      <c r="B59" s="309">
        <v>59</v>
      </c>
      <c r="C59" s="310">
        <v>0.12</v>
      </c>
      <c r="D59" s="310">
        <v>0.17</v>
      </c>
      <c r="E59" s="310">
        <v>0.22</v>
      </c>
      <c r="F59" s="310">
        <v>0.2</v>
      </c>
      <c r="G59" s="310">
        <v>0.11</v>
      </c>
      <c r="H59" s="310">
        <v>0.1</v>
      </c>
      <c r="I59" s="310">
        <v>0.09</v>
      </c>
      <c r="J59" s="310">
        <v>0.18</v>
      </c>
      <c r="K59" s="310">
        <v>0.25</v>
      </c>
      <c r="L59" s="310">
        <v>0.12</v>
      </c>
      <c r="M59" s="310">
        <v>0.11</v>
      </c>
    </row>
    <row r="60" spans="1:24" x14ac:dyDescent="0.25">
      <c r="A60" s="311" t="s">
        <v>848</v>
      </c>
      <c r="B60" s="309">
        <v>60</v>
      </c>
      <c r="C60" s="310">
        <v>0.14000000000000001</v>
      </c>
      <c r="D60" s="310">
        <v>0.59</v>
      </c>
      <c r="E60" s="310">
        <v>0.09</v>
      </c>
      <c r="F60" s="310">
        <v>0.1</v>
      </c>
      <c r="G60" s="310">
        <v>0.16</v>
      </c>
      <c r="H60" s="310">
        <v>0.1</v>
      </c>
      <c r="I60" s="310">
        <v>0.13</v>
      </c>
      <c r="J60" s="310">
        <v>0.15</v>
      </c>
      <c r="K60" s="310">
        <v>0.14000000000000001</v>
      </c>
      <c r="L60" s="310">
        <v>0.2</v>
      </c>
      <c r="M60" s="310">
        <v>0.1</v>
      </c>
    </row>
    <row r="61" spans="1:24" x14ac:dyDescent="0.25">
      <c r="A61" s="309" t="s">
        <v>839</v>
      </c>
      <c r="B61" s="309">
        <v>61</v>
      </c>
      <c r="C61" s="310">
        <v>0.1</v>
      </c>
      <c r="D61" s="310">
        <v>0.28999999999999998</v>
      </c>
      <c r="E61" s="310">
        <v>0.13</v>
      </c>
      <c r="F61" s="310">
        <v>0.13</v>
      </c>
      <c r="G61" s="310">
        <v>0.11</v>
      </c>
      <c r="H61" s="310">
        <v>7.0000000000000007E-2</v>
      </c>
      <c r="I61" s="310">
        <v>0.08</v>
      </c>
      <c r="J61" s="310">
        <v>0.16</v>
      </c>
      <c r="K61" s="310">
        <v>0.21</v>
      </c>
      <c r="L61" s="310">
        <v>0.11</v>
      </c>
      <c r="M61" s="310">
        <v>0.08</v>
      </c>
    </row>
    <row r="62" spans="1:24" x14ac:dyDescent="0.25">
      <c r="A62" s="311" t="s">
        <v>847</v>
      </c>
      <c r="B62" s="309">
        <v>62</v>
      </c>
      <c r="C62" s="310">
        <v>0.12</v>
      </c>
      <c r="D62" s="310">
        <v>0.33</v>
      </c>
      <c r="E62" s="310">
        <v>0.16</v>
      </c>
      <c r="F62" s="310">
        <v>0.18</v>
      </c>
      <c r="G62" s="310">
        <v>0.18</v>
      </c>
      <c r="H62" s="310">
        <v>0.11</v>
      </c>
      <c r="I62" s="310">
        <v>0.1</v>
      </c>
      <c r="J62" s="310">
        <v>0.28999999999999998</v>
      </c>
      <c r="K62" s="310">
        <v>0.19</v>
      </c>
      <c r="L62" s="310">
        <v>0.25</v>
      </c>
      <c r="M62" s="310">
        <v>0.09</v>
      </c>
    </row>
    <row r="63" spans="1:24" x14ac:dyDescent="0.25">
      <c r="A63" s="309"/>
      <c r="B63" s="309"/>
      <c r="C63" s="309"/>
      <c r="D63" s="309"/>
      <c r="E63" s="309"/>
      <c r="F63" s="309"/>
      <c r="G63" s="309"/>
      <c r="H63" s="309"/>
      <c r="I63" s="309"/>
      <c r="J63" s="309"/>
      <c r="K63" s="309"/>
      <c r="L63" s="309"/>
      <c r="M63" s="309"/>
    </row>
    <row r="64" spans="1:24" x14ac:dyDescent="0.25">
      <c r="A64" s="309"/>
      <c r="B64" s="309"/>
      <c r="C64" s="309"/>
      <c r="D64" s="309"/>
      <c r="E64" s="309"/>
      <c r="F64" s="309"/>
      <c r="G64" s="309"/>
      <c r="H64" s="309"/>
      <c r="I64" s="309"/>
      <c r="J64" s="309"/>
      <c r="K64" s="309"/>
      <c r="L64" s="309"/>
      <c r="M64" s="309"/>
    </row>
  </sheetData>
  <sheetProtection selectLockedCells="1"/>
  <customSheetViews>
    <customSheetView guid="{58F65609-3622-42C4-9926-1A56B88F9C36}" state="hidden" topLeftCell="A7">
      <selection activeCell="A32" sqref="A32"/>
      <pageMargins left="0.7" right="0.7" top="0.75" bottom="0.75" header="0.3" footer="0.3"/>
      <pageSetup paperSize="9" orientation="portrait" horizontalDpi="300" verticalDpi="300" r:id="rId1"/>
    </customSheetView>
  </customSheetViews>
  <pageMargins left="0.7" right="0.7" top="0.75" bottom="0.75" header="0.3" footer="0.3"/>
  <pageSetup paperSize="9" orientation="portrait" horizontalDpi="300" verticalDpi="30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E7D7A-A85B-4F89-A689-86E79E158D1A}">
  <sheetPr codeName="Sheet24"/>
  <dimension ref="A1:M53"/>
  <sheetViews>
    <sheetView zoomScaleNormal="100" workbookViewId="0">
      <selection activeCell="C22" sqref="C22"/>
    </sheetView>
  </sheetViews>
  <sheetFormatPr defaultRowHeight="15" x14ac:dyDescent="0.25"/>
  <cols>
    <col min="1" max="1" width="17.140625" style="121" customWidth="1"/>
    <col min="2" max="2" width="3" style="121" customWidth="1"/>
    <col min="3" max="3" width="7.42578125" style="121" customWidth="1"/>
    <col min="4" max="4" width="7" style="121" customWidth="1"/>
    <col min="5" max="5" width="10.7109375" style="121" customWidth="1"/>
    <col min="6" max="6" width="10" style="121" customWidth="1"/>
    <col min="7" max="7" width="10.85546875" style="121" customWidth="1"/>
    <col min="8" max="8" width="9.140625" style="121"/>
    <col min="9" max="9" width="7.7109375" style="121" customWidth="1"/>
    <col min="10" max="10" width="8.42578125" style="121" customWidth="1"/>
    <col min="11" max="11" width="6.85546875" style="121" customWidth="1"/>
    <col min="12" max="12" width="11.140625" style="121" customWidth="1"/>
    <col min="13" max="13" width="10.5703125" style="121" customWidth="1"/>
    <col min="14" max="16384" width="9.140625" style="121"/>
  </cols>
  <sheetData>
    <row r="1" spans="1:13" x14ac:dyDescent="0.25">
      <c r="A1" s="309" t="s">
        <v>168</v>
      </c>
      <c r="B1" s="309">
        <v>1</v>
      </c>
      <c r="C1" s="309" t="s">
        <v>299</v>
      </c>
      <c r="D1" s="309" t="s">
        <v>2</v>
      </c>
      <c r="E1" s="309" t="s">
        <v>0</v>
      </c>
      <c r="F1" s="309" t="s">
        <v>1</v>
      </c>
      <c r="G1" s="309" t="s">
        <v>298</v>
      </c>
      <c r="H1" s="309" t="s">
        <v>297</v>
      </c>
      <c r="I1" s="309" t="s">
        <v>296</v>
      </c>
      <c r="J1" s="309" t="s">
        <v>295</v>
      </c>
      <c r="K1" s="309" t="s">
        <v>3</v>
      </c>
      <c r="L1" s="309" t="s">
        <v>5</v>
      </c>
      <c r="M1" s="309" t="s">
        <v>294</v>
      </c>
    </row>
    <row r="2" spans="1:13" x14ac:dyDescent="0.25">
      <c r="A2" s="309" t="s">
        <v>84</v>
      </c>
      <c r="B2" s="309">
        <v>2</v>
      </c>
      <c r="C2" s="310">
        <v>0.17</v>
      </c>
      <c r="D2" s="310">
        <v>0.18</v>
      </c>
      <c r="E2" s="310">
        <v>0.32</v>
      </c>
      <c r="F2" s="310">
        <v>0.32</v>
      </c>
      <c r="G2" s="310">
        <v>0.15</v>
      </c>
      <c r="H2" s="310">
        <v>0.21</v>
      </c>
      <c r="I2" s="310">
        <v>0.11</v>
      </c>
      <c r="J2" s="310">
        <v>0.17</v>
      </c>
      <c r="K2" s="310">
        <v>0.21</v>
      </c>
      <c r="L2" s="310">
        <v>0.24</v>
      </c>
      <c r="M2" s="310">
        <v>0.14000000000000001</v>
      </c>
    </row>
    <row r="3" spans="1:13" x14ac:dyDescent="0.25">
      <c r="A3" s="309" t="s">
        <v>88</v>
      </c>
      <c r="B3" s="309">
        <v>3</v>
      </c>
      <c r="C3" s="310">
        <v>0.16</v>
      </c>
      <c r="D3" s="310">
        <v>0.1</v>
      </c>
      <c r="E3" s="310">
        <v>0.24</v>
      </c>
      <c r="F3" s="310">
        <v>0.28000000000000003</v>
      </c>
      <c r="G3" s="310">
        <v>0.19</v>
      </c>
      <c r="H3" s="310">
        <v>0.15</v>
      </c>
      <c r="I3" s="310">
        <v>0.22</v>
      </c>
      <c r="J3" s="310">
        <v>0.26</v>
      </c>
      <c r="K3" s="310">
        <v>0.31</v>
      </c>
      <c r="L3" s="310">
        <v>0.23</v>
      </c>
      <c r="M3" s="310">
        <v>0.16</v>
      </c>
    </row>
    <row r="4" spans="1:13" x14ac:dyDescent="0.25">
      <c r="A4" s="309" t="s">
        <v>78</v>
      </c>
      <c r="B4" s="309">
        <v>4</v>
      </c>
      <c r="C4" s="310">
        <v>0.16</v>
      </c>
      <c r="D4" s="310">
        <v>0.28000000000000003</v>
      </c>
      <c r="E4" s="310">
        <v>0.21</v>
      </c>
      <c r="F4" s="310">
        <v>0.16</v>
      </c>
      <c r="G4" s="310">
        <v>0.21</v>
      </c>
      <c r="H4" s="310">
        <v>0.11</v>
      </c>
      <c r="I4" s="310">
        <v>0.2</v>
      </c>
      <c r="J4" s="310">
        <v>0.23</v>
      </c>
      <c r="K4" s="310">
        <v>0.28000000000000003</v>
      </c>
      <c r="L4" s="310">
        <v>0.16</v>
      </c>
      <c r="M4" s="310">
        <v>0.11</v>
      </c>
    </row>
    <row r="5" spans="1:13" x14ac:dyDescent="0.25">
      <c r="A5" s="309" t="s">
        <v>66</v>
      </c>
      <c r="B5" s="309">
        <v>5</v>
      </c>
      <c r="C5" s="310">
        <v>0.19</v>
      </c>
      <c r="D5" s="310">
        <v>0.23</v>
      </c>
      <c r="E5" s="310">
        <v>0.16</v>
      </c>
      <c r="F5" s="310">
        <v>0.1</v>
      </c>
      <c r="G5" s="310">
        <v>0.1</v>
      </c>
      <c r="H5" s="310">
        <v>0.09</v>
      </c>
      <c r="I5" s="310">
        <v>0.16</v>
      </c>
      <c r="J5" s="310">
        <v>0.25</v>
      </c>
      <c r="K5" s="310">
        <v>0.3</v>
      </c>
      <c r="L5" s="310">
        <v>0.23</v>
      </c>
      <c r="M5" s="310">
        <v>0.05</v>
      </c>
    </row>
    <row r="6" spans="1:13" x14ac:dyDescent="0.25">
      <c r="A6" s="309" t="s">
        <v>62</v>
      </c>
      <c r="B6" s="309">
        <v>6</v>
      </c>
      <c r="C6" s="310">
        <v>0.28999999999999998</v>
      </c>
      <c r="D6" s="310">
        <v>0.36</v>
      </c>
      <c r="E6" s="310">
        <v>0.21</v>
      </c>
      <c r="F6" s="310">
        <v>0.16</v>
      </c>
      <c r="G6" s="310">
        <v>0.34</v>
      </c>
      <c r="H6" s="310">
        <v>0.17</v>
      </c>
      <c r="I6" s="310">
        <v>0.16</v>
      </c>
      <c r="J6" s="310">
        <v>0.21</v>
      </c>
      <c r="K6" s="310">
        <v>0.4</v>
      </c>
      <c r="L6" s="310">
        <v>0.28999999999999998</v>
      </c>
      <c r="M6" s="310">
        <v>0.14000000000000001</v>
      </c>
    </row>
    <row r="7" spans="1:13" x14ac:dyDescent="0.25">
      <c r="A7" s="309" t="s">
        <v>77</v>
      </c>
      <c r="B7" s="309">
        <v>7</v>
      </c>
      <c r="C7" s="310">
        <v>0.18</v>
      </c>
      <c r="D7" s="310">
        <v>0.4</v>
      </c>
      <c r="E7" s="310">
        <v>0.22</v>
      </c>
      <c r="F7" s="310">
        <v>0.17</v>
      </c>
      <c r="G7" s="310">
        <v>0.17</v>
      </c>
      <c r="H7" s="310">
        <v>0.21</v>
      </c>
      <c r="I7" s="310">
        <v>0.24</v>
      </c>
      <c r="J7" s="310">
        <v>0.2</v>
      </c>
      <c r="K7" s="310">
        <v>0.24</v>
      </c>
      <c r="L7" s="310">
        <v>0.24</v>
      </c>
      <c r="M7" s="310">
        <v>0.11</v>
      </c>
    </row>
    <row r="8" spans="1:13" x14ac:dyDescent="0.25">
      <c r="A8" s="309" t="s">
        <v>55</v>
      </c>
      <c r="B8" s="309">
        <v>8</v>
      </c>
      <c r="C8" s="310">
        <v>0.13</v>
      </c>
      <c r="D8" s="310">
        <v>0.31</v>
      </c>
      <c r="E8" s="310">
        <v>0.18</v>
      </c>
      <c r="F8" s="310">
        <v>0.15</v>
      </c>
      <c r="G8" s="310">
        <v>0.18</v>
      </c>
      <c r="H8" s="310">
        <v>0.13</v>
      </c>
      <c r="I8" s="310">
        <v>0.1</v>
      </c>
      <c r="J8" s="310">
        <v>0.23</v>
      </c>
      <c r="K8" s="310">
        <v>0.27</v>
      </c>
      <c r="L8" s="310">
        <v>0.21</v>
      </c>
      <c r="M8" s="310">
        <v>0.08</v>
      </c>
    </row>
    <row r="9" spans="1:13" x14ac:dyDescent="0.25">
      <c r="A9" s="309" t="s">
        <v>48</v>
      </c>
      <c r="B9" s="309">
        <v>9</v>
      </c>
      <c r="C9" s="310">
        <v>0.21</v>
      </c>
      <c r="D9" s="310">
        <v>0.39</v>
      </c>
      <c r="E9" s="310">
        <v>0.14000000000000001</v>
      </c>
      <c r="F9" s="310">
        <v>0.15</v>
      </c>
      <c r="G9" s="310">
        <v>0.15</v>
      </c>
      <c r="H9" s="310">
        <v>0.18</v>
      </c>
      <c r="I9" s="310">
        <v>0.13</v>
      </c>
      <c r="J9" s="310">
        <v>0.27</v>
      </c>
      <c r="K9" s="310">
        <v>0.32</v>
      </c>
      <c r="L9" s="310">
        <v>0.21</v>
      </c>
      <c r="M9" s="310">
        <v>0.15</v>
      </c>
    </row>
    <row r="10" spans="1:13" x14ac:dyDescent="0.25">
      <c r="A10" s="309" t="s">
        <v>70</v>
      </c>
      <c r="B10" s="309">
        <v>10</v>
      </c>
      <c r="C10" s="310">
        <v>0.09</v>
      </c>
      <c r="D10" s="310">
        <v>0.11</v>
      </c>
      <c r="E10" s="310">
        <v>0.38</v>
      </c>
      <c r="F10" s="310">
        <v>0.38</v>
      </c>
      <c r="G10" s="310">
        <v>0.2</v>
      </c>
      <c r="H10" s="310">
        <v>7.0000000000000007E-2</v>
      </c>
      <c r="I10" s="310">
        <v>0.1</v>
      </c>
      <c r="J10" s="310">
        <v>0.2</v>
      </c>
      <c r="K10" s="310">
        <v>0.35</v>
      </c>
      <c r="L10" s="310">
        <v>0.27</v>
      </c>
      <c r="M10" s="310">
        <v>0.08</v>
      </c>
    </row>
    <row r="11" spans="1:13" x14ac:dyDescent="0.25">
      <c r="A11" s="309" t="s">
        <v>68</v>
      </c>
      <c r="B11" s="309">
        <v>11</v>
      </c>
      <c r="C11" s="310">
        <v>0.14000000000000001</v>
      </c>
      <c r="D11" s="310">
        <v>0.31</v>
      </c>
      <c r="E11" s="310">
        <v>0.18</v>
      </c>
      <c r="F11" s="310">
        <v>0.2</v>
      </c>
      <c r="G11" s="310">
        <v>0.14000000000000001</v>
      </c>
      <c r="H11" s="310">
        <v>0.14000000000000001</v>
      </c>
      <c r="I11" s="310">
        <v>0.13</v>
      </c>
      <c r="J11" s="310">
        <v>0.21</v>
      </c>
      <c r="K11" s="310">
        <v>0.26</v>
      </c>
      <c r="L11" s="310">
        <v>0.14000000000000001</v>
      </c>
      <c r="M11" s="310">
        <v>0.11</v>
      </c>
    </row>
    <row r="12" spans="1:13" x14ac:dyDescent="0.25">
      <c r="A12" s="309" t="s">
        <v>159</v>
      </c>
      <c r="B12" s="309">
        <v>12</v>
      </c>
      <c r="C12" s="310">
        <v>0.17</v>
      </c>
      <c r="D12" s="310">
        <v>0.3</v>
      </c>
      <c r="E12" s="310">
        <v>0.19</v>
      </c>
      <c r="F12" s="310">
        <v>0.15</v>
      </c>
      <c r="G12" s="310">
        <v>0.21</v>
      </c>
      <c r="H12" s="310">
        <v>0.2</v>
      </c>
      <c r="I12" s="310">
        <v>0.19</v>
      </c>
      <c r="J12" s="310">
        <v>0.21</v>
      </c>
      <c r="K12" s="310">
        <v>0.23</v>
      </c>
      <c r="L12" s="310">
        <v>0.18</v>
      </c>
      <c r="M12" s="310">
        <v>0.13</v>
      </c>
    </row>
    <row r="13" spans="1:13" x14ac:dyDescent="0.25">
      <c r="A13" s="309" t="s">
        <v>54</v>
      </c>
      <c r="B13" s="309">
        <v>13</v>
      </c>
      <c r="C13" s="310">
        <v>0.19</v>
      </c>
      <c r="D13" s="310">
        <v>0.32</v>
      </c>
      <c r="E13" s="310">
        <v>0.13</v>
      </c>
      <c r="F13" s="310">
        <v>0.17</v>
      </c>
      <c r="G13" s="310">
        <v>0.13</v>
      </c>
      <c r="H13" s="310">
        <v>0.12</v>
      </c>
      <c r="I13" s="310">
        <v>0.17</v>
      </c>
      <c r="J13" s="310">
        <v>0.34</v>
      </c>
      <c r="K13" s="310">
        <v>0.52</v>
      </c>
      <c r="L13" s="310">
        <v>0.35</v>
      </c>
      <c r="M13" s="310">
        <v>0.12</v>
      </c>
    </row>
    <row r="14" spans="1:13" x14ac:dyDescent="0.25">
      <c r="A14" s="309" t="s">
        <v>80</v>
      </c>
      <c r="B14" s="309">
        <v>14</v>
      </c>
      <c r="C14" s="310">
        <v>0.15</v>
      </c>
      <c r="D14" s="310">
        <v>0.32</v>
      </c>
      <c r="E14" s="310">
        <v>0.14000000000000001</v>
      </c>
      <c r="F14" s="310">
        <v>0.16</v>
      </c>
      <c r="G14" s="310">
        <v>0.17</v>
      </c>
      <c r="H14" s="310">
        <v>0.1</v>
      </c>
      <c r="I14" s="310">
        <v>0.1</v>
      </c>
      <c r="J14" s="310">
        <v>0.23</v>
      </c>
      <c r="K14" s="310">
        <v>0.17</v>
      </c>
      <c r="L14" s="310">
        <v>0.14000000000000001</v>
      </c>
      <c r="M14" s="310">
        <v>0.08</v>
      </c>
    </row>
    <row r="15" spans="1:13" x14ac:dyDescent="0.25">
      <c r="A15" s="309" t="s">
        <v>72</v>
      </c>
      <c r="B15" s="309">
        <v>15</v>
      </c>
      <c r="C15" s="310">
        <v>0.17</v>
      </c>
      <c r="D15" s="310">
        <v>0.34</v>
      </c>
      <c r="E15" s="310">
        <v>0.11</v>
      </c>
      <c r="F15" s="310">
        <v>0.08</v>
      </c>
      <c r="G15" s="310">
        <v>0.16</v>
      </c>
      <c r="H15" s="310">
        <v>0.14000000000000001</v>
      </c>
      <c r="I15" s="310">
        <v>0.11</v>
      </c>
      <c r="J15" s="310">
        <v>0.26</v>
      </c>
      <c r="K15" s="310">
        <v>0.32</v>
      </c>
      <c r="L15" s="310">
        <v>0.17</v>
      </c>
      <c r="M15" s="310">
        <v>0.12</v>
      </c>
    </row>
    <row r="16" spans="1:13" x14ac:dyDescent="0.25">
      <c r="A16" s="309" t="s">
        <v>79</v>
      </c>
      <c r="B16" s="309">
        <v>16</v>
      </c>
      <c r="C16" s="310">
        <v>0.14000000000000001</v>
      </c>
      <c r="D16" s="310">
        <v>0.39</v>
      </c>
      <c r="E16" s="310">
        <v>0.23</v>
      </c>
      <c r="F16" s="310">
        <v>0.26</v>
      </c>
      <c r="G16" s="310">
        <v>0.25</v>
      </c>
      <c r="H16" s="310">
        <v>0.19</v>
      </c>
      <c r="I16" s="310">
        <v>0.18</v>
      </c>
      <c r="J16" s="310">
        <v>0.25</v>
      </c>
      <c r="K16" s="310">
        <v>0.3</v>
      </c>
      <c r="L16" s="310">
        <v>0.34</v>
      </c>
      <c r="M16" s="310">
        <v>0.13</v>
      </c>
    </row>
    <row r="17" spans="1:13" x14ac:dyDescent="0.25">
      <c r="A17" s="309" t="s">
        <v>59</v>
      </c>
      <c r="B17" s="309">
        <v>17</v>
      </c>
      <c r="C17" s="310">
        <v>0.16</v>
      </c>
      <c r="D17" s="310">
        <v>0.23</v>
      </c>
      <c r="E17" s="310">
        <v>0.49</v>
      </c>
      <c r="F17" s="310">
        <v>0.45</v>
      </c>
      <c r="G17" s="310">
        <v>0.23</v>
      </c>
      <c r="H17" s="310">
        <v>0.13</v>
      </c>
      <c r="I17" s="310">
        <v>0.1</v>
      </c>
      <c r="J17" s="310">
        <v>0.31</v>
      </c>
      <c r="K17" s="310">
        <v>0.22</v>
      </c>
      <c r="L17" s="310">
        <v>0.35</v>
      </c>
      <c r="M17" s="310">
        <v>0.09</v>
      </c>
    </row>
    <row r="18" spans="1:13" x14ac:dyDescent="0.25">
      <c r="A18" s="309" t="s">
        <v>63</v>
      </c>
      <c r="B18" s="309">
        <v>18</v>
      </c>
      <c r="C18" s="310">
        <v>0.17</v>
      </c>
      <c r="D18" s="310">
        <v>0.19</v>
      </c>
      <c r="E18" s="310">
        <v>0.1</v>
      </c>
      <c r="F18" s="310">
        <v>0.12</v>
      </c>
      <c r="G18" s="310">
        <v>0.13</v>
      </c>
      <c r="H18" s="310">
        <v>0.13</v>
      </c>
      <c r="I18" s="310">
        <v>0.17</v>
      </c>
      <c r="J18" s="310">
        <v>0.13</v>
      </c>
      <c r="K18" s="310">
        <v>0.28999999999999998</v>
      </c>
      <c r="L18" s="310">
        <v>0.12</v>
      </c>
      <c r="M18" s="310">
        <v>0.11</v>
      </c>
    </row>
    <row r="19" spans="1:13" x14ac:dyDescent="0.25">
      <c r="A19" s="309" t="s">
        <v>81</v>
      </c>
      <c r="B19" s="309">
        <v>19</v>
      </c>
      <c r="C19" s="310">
        <v>0.19</v>
      </c>
      <c r="D19" s="310">
        <v>0.14000000000000001</v>
      </c>
      <c r="E19" s="310">
        <v>0.23</v>
      </c>
      <c r="F19" s="310">
        <v>0.2</v>
      </c>
      <c r="G19" s="310">
        <v>0.22</v>
      </c>
      <c r="H19" s="310">
        <v>0.15</v>
      </c>
      <c r="I19" s="310">
        <v>0.19</v>
      </c>
      <c r="J19" s="310">
        <v>0.19</v>
      </c>
      <c r="K19" s="310">
        <v>0.3</v>
      </c>
      <c r="L19" s="310">
        <v>0.17</v>
      </c>
      <c r="M19" s="310">
        <v>0.17</v>
      </c>
    </row>
    <row r="20" spans="1:13" x14ac:dyDescent="0.25">
      <c r="A20" s="309" t="s">
        <v>57</v>
      </c>
      <c r="B20" s="309">
        <v>20</v>
      </c>
      <c r="C20" s="310">
        <v>0.23</v>
      </c>
      <c r="D20" s="310">
        <v>0.26</v>
      </c>
      <c r="E20" s="310">
        <v>0.14000000000000001</v>
      </c>
      <c r="F20" s="310">
        <v>0.17</v>
      </c>
      <c r="G20" s="310">
        <v>0.19</v>
      </c>
      <c r="H20" s="310">
        <v>0.19</v>
      </c>
      <c r="I20" s="310">
        <v>0.25</v>
      </c>
      <c r="J20" s="310">
        <v>0.2</v>
      </c>
      <c r="K20" s="310">
        <v>0.39</v>
      </c>
      <c r="L20" s="310">
        <v>0.16</v>
      </c>
      <c r="M20" s="310">
        <v>0.16</v>
      </c>
    </row>
    <row r="21" spans="1:13" x14ac:dyDescent="0.25">
      <c r="A21" s="309" t="s">
        <v>125</v>
      </c>
      <c r="B21" s="309">
        <v>21</v>
      </c>
      <c r="C21" s="310">
        <v>0.19</v>
      </c>
      <c r="D21" s="310">
        <v>0.38</v>
      </c>
      <c r="E21" s="310">
        <v>0.33</v>
      </c>
      <c r="F21" s="310">
        <v>0.31</v>
      </c>
      <c r="G21" s="310">
        <v>0.27</v>
      </c>
      <c r="H21" s="310">
        <v>0.24</v>
      </c>
      <c r="I21" s="310">
        <v>0.26</v>
      </c>
      <c r="J21" s="310">
        <v>0.34</v>
      </c>
      <c r="K21" s="310">
        <v>0.39</v>
      </c>
      <c r="L21" s="310">
        <v>0.26</v>
      </c>
      <c r="M21" s="310">
        <v>0.14000000000000001</v>
      </c>
    </row>
    <row r="22" spans="1:13" x14ac:dyDescent="0.25">
      <c r="A22" s="309" t="s">
        <v>51</v>
      </c>
      <c r="B22" s="309">
        <v>22</v>
      </c>
      <c r="C22" s="310">
        <v>0.17</v>
      </c>
      <c r="D22" s="310">
        <v>0.38</v>
      </c>
      <c r="E22" s="310">
        <v>0.28000000000000003</v>
      </c>
      <c r="F22" s="310">
        <v>0.33</v>
      </c>
      <c r="G22" s="310">
        <v>0.21</v>
      </c>
      <c r="H22" s="310">
        <v>0.14000000000000001</v>
      </c>
      <c r="I22" s="310">
        <v>0.14000000000000001</v>
      </c>
      <c r="J22" s="310">
        <v>0.22</v>
      </c>
      <c r="K22" s="310">
        <v>0.35</v>
      </c>
      <c r="L22" s="310">
        <v>0.27</v>
      </c>
      <c r="M22" s="310">
        <v>0.12</v>
      </c>
    </row>
    <row r="23" spans="1:13" x14ac:dyDescent="0.25">
      <c r="A23" s="309" t="s">
        <v>89</v>
      </c>
      <c r="B23" s="309">
        <v>23</v>
      </c>
      <c r="C23" s="310">
        <v>0.26</v>
      </c>
      <c r="D23" s="310">
        <v>0.36</v>
      </c>
      <c r="E23" s="310">
        <v>0.3</v>
      </c>
      <c r="F23" s="310">
        <v>0.35</v>
      </c>
      <c r="G23" s="310">
        <v>0.31</v>
      </c>
      <c r="H23" s="310">
        <v>0.25</v>
      </c>
      <c r="I23" s="310">
        <v>0.22</v>
      </c>
      <c r="J23" s="310">
        <v>0.27</v>
      </c>
      <c r="K23" s="310">
        <v>0.28000000000000003</v>
      </c>
      <c r="L23" s="310">
        <v>0.23</v>
      </c>
      <c r="M23" s="310">
        <v>0.2</v>
      </c>
    </row>
    <row r="24" spans="1:13" x14ac:dyDescent="0.25">
      <c r="A24" s="309" t="s">
        <v>82</v>
      </c>
      <c r="B24" s="309">
        <v>24</v>
      </c>
      <c r="C24" s="310">
        <v>0.17</v>
      </c>
      <c r="D24" s="310">
        <v>0.32</v>
      </c>
      <c r="E24" s="310">
        <v>0.17</v>
      </c>
      <c r="F24" s="310">
        <v>0.2</v>
      </c>
      <c r="G24" s="310">
        <v>0.2</v>
      </c>
      <c r="H24" s="310">
        <v>0.12</v>
      </c>
      <c r="I24" s="310">
        <v>0.1</v>
      </c>
      <c r="J24" s="310">
        <v>0.25</v>
      </c>
      <c r="K24" s="310">
        <v>0.27</v>
      </c>
      <c r="L24" s="310">
        <v>0.31</v>
      </c>
      <c r="M24" s="310">
        <v>0.09</v>
      </c>
    </row>
    <row r="25" spans="1:13" x14ac:dyDescent="0.25">
      <c r="A25" s="309" t="s">
        <v>50</v>
      </c>
      <c r="B25" s="309">
        <v>25</v>
      </c>
      <c r="C25" s="310">
        <v>0.14000000000000001</v>
      </c>
      <c r="D25" s="310">
        <v>0.3</v>
      </c>
      <c r="E25" s="310">
        <v>0.11</v>
      </c>
      <c r="F25" s="310">
        <v>0.1</v>
      </c>
      <c r="G25" s="310">
        <v>0.26</v>
      </c>
      <c r="H25" s="310">
        <v>0.18</v>
      </c>
      <c r="I25" s="310">
        <v>0.09</v>
      </c>
      <c r="J25" s="310">
        <v>0.24</v>
      </c>
      <c r="K25" s="310">
        <v>0.32</v>
      </c>
      <c r="L25" s="310">
        <v>0.13</v>
      </c>
      <c r="M25" s="310">
        <v>7.0000000000000007E-2</v>
      </c>
    </row>
    <row r="26" spans="1:13" x14ac:dyDescent="0.25">
      <c r="A26" s="309" t="s">
        <v>83</v>
      </c>
      <c r="B26" s="309">
        <v>26</v>
      </c>
      <c r="C26" s="310">
        <v>0.17</v>
      </c>
      <c r="D26" s="310">
        <v>0.17</v>
      </c>
      <c r="E26" s="310">
        <v>0.31</v>
      </c>
      <c r="F26" s="310">
        <v>0.31</v>
      </c>
      <c r="G26" s="310">
        <v>0.15</v>
      </c>
      <c r="H26" s="310">
        <v>0.21</v>
      </c>
      <c r="I26" s="310">
        <v>0.11</v>
      </c>
      <c r="J26" s="310">
        <v>0.17</v>
      </c>
      <c r="K26" s="310">
        <v>0.21</v>
      </c>
      <c r="L26" s="310">
        <v>0.24</v>
      </c>
      <c r="M26" s="310">
        <v>0.14000000000000001</v>
      </c>
    </row>
    <row r="27" spans="1:13" x14ac:dyDescent="0.25">
      <c r="A27" s="309" t="s">
        <v>71</v>
      </c>
      <c r="B27" s="309">
        <v>27</v>
      </c>
      <c r="C27" s="310">
        <v>0.17</v>
      </c>
      <c r="D27" s="310">
        <v>0.28999999999999998</v>
      </c>
      <c r="E27" s="310">
        <v>0.17</v>
      </c>
      <c r="F27" s="310">
        <v>0.1</v>
      </c>
      <c r="G27" s="310">
        <v>0.17</v>
      </c>
      <c r="H27" s="310">
        <v>0.12</v>
      </c>
      <c r="I27" s="310">
        <v>0.08</v>
      </c>
      <c r="J27" s="310">
        <v>0.23</v>
      </c>
      <c r="K27" s="310">
        <v>0.33</v>
      </c>
      <c r="L27" s="310">
        <v>0.28000000000000003</v>
      </c>
      <c r="M27" s="310">
        <v>0.08</v>
      </c>
    </row>
    <row r="28" spans="1:13" x14ac:dyDescent="0.25">
      <c r="A28" s="309" t="s">
        <v>87</v>
      </c>
      <c r="B28" s="309">
        <v>28</v>
      </c>
      <c r="C28" s="310">
        <v>0.12</v>
      </c>
      <c r="D28" s="310">
        <v>0.34</v>
      </c>
      <c r="E28" s="310">
        <v>0.25</v>
      </c>
      <c r="F28" s="310">
        <v>0.28000000000000003</v>
      </c>
      <c r="G28" s="310">
        <v>0.17</v>
      </c>
      <c r="H28" s="310">
        <v>0.18</v>
      </c>
      <c r="I28" s="310">
        <v>0.19</v>
      </c>
      <c r="J28" s="310">
        <v>0.21</v>
      </c>
      <c r="K28" s="310">
        <v>0.27</v>
      </c>
      <c r="L28" s="310">
        <v>0.23</v>
      </c>
      <c r="M28" s="310">
        <v>0.14000000000000001</v>
      </c>
    </row>
    <row r="29" spans="1:13" x14ac:dyDescent="0.25">
      <c r="A29" s="309" t="s">
        <v>65</v>
      </c>
      <c r="B29" s="309">
        <v>29</v>
      </c>
      <c r="C29" s="310">
        <v>0.14000000000000001</v>
      </c>
      <c r="D29" s="310">
        <v>0.21</v>
      </c>
      <c r="E29" s="310">
        <v>0.24</v>
      </c>
      <c r="F29" s="310">
        <v>0.26</v>
      </c>
      <c r="G29" s="310">
        <v>0.14000000000000001</v>
      </c>
      <c r="H29" s="310">
        <v>0.13</v>
      </c>
      <c r="I29" s="310">
        <v>0.22</v>
      </c>
      <c r="J29" s="310">
        <v>0.31</v>
      </c>
      <c r="K29" s="310">
        <v>0.18</v>
      </c>
      <c r="L29" s="310">
        <v>0.15</v>
      </c>
      <c r="M29" s="310">
        <v>0.14000000000000001</v>
      </c>
    </row>
    <row r="30" spans="1:13" x14ac:dyDescent="0.25">
      <c r="A30" s="309" t="s">
        <v>76</v>
      </c>
      <c r="B30" s="309">
        <v>30</v>
      </c>
      <c r="C30" s="310">
        <v>0.19</v>
      </c>
      <c r="D30" s="310">
        <v>0.4</v>
      </c>
      <c r="E30" s="310">
        <v>0.18</v>
      </c>
      <c r="F30" s="310">
        <v>0.23</v>
      </c>
      <c r="G30" s="310">
        <v>0.22</v>
      </c>
      <c r="H30" s="310">
        <v>0.11</v>
      </c>
      <c r="I30" s="310">
        <v>0.14000000000000001</v>
      </c>
      <c r="J30" s="310">
        <v>0.19</v>
      </c>
      <c r="K30" s="310">
        <v>0.35</v>
      </c>
      <c r="L30" s="310">
        <v>0.17</v>
      </c>
      <c r="M30" s="310">
        <v>7.0000000000000007E-2</v>
      </c>
    </row>
    <row r="31" spans="1:13" x14ac:dyDescent="0.25">
      <c r="A31" s="309" t="s">
        <v>73</v>
      </c>
      <c r="B31" s="309">
        <v>31</v>
      </c>
      <c r="C31" s="310">
        <v>0.13</v>
      </c>
      <c r="D31" s="310">
        <v>0.13</v>
      </c>
      <c r="E31" s="310">
        <v>0.16</v>
      </c>
      <c r="F31" s="310">
        <v>0.11</v>
      </c>
      <c r="G31" s="310">
        <v>0.18</v>
      </c>
      <c r="H31" s="310">
        <v>0.2</v>
      </c>
      <c r="I31" s="310">
        <v>0.21</v>
      </c>
      <c r="J31" s="310">
        <v>0.24</v>
      </c>
      <c r="K31" s="310">
        <v>0.21</v>
      </c>
      <c r="L31" s="310">
        <v>0.17</v>
      </c>
      <c r="M31" s="310">
        <v>0.1</v>
      </c>
    </row>
    <row r="32" spans="1:13" x14ac:dyDescent="0.25">
      <c r="A32" s="309" t="s">
        <v>75</v>
      </c>
      <c r="B32" s="309">
        <v>32</v>
      </c>
      <c r="C32" s="310">
        <v>0.14000000000000001</v>
      </c>
      <c r="D32" s="310">
        <v>0.32</v>
      </c>
      <c r="E32" s="310">
        <v>0.18</v>
      </c>
      <c r="F32" s="310">
        <v>0.21</v>
      </c>
      <c r="G32" s="310">
        <v>0.15</v>
      </c>
      <c r="H32" s="310">
        <v>0.13</v>
      </c>
      <c r="I32" s="310">
        <v>0.14000000000000001</v>
      </c>
      <c r="J32" s="310">
        <v>0.17</v>
      </c>
      <c r="K32" s="310">
        <v>0.27</v>
      </c>
      <c r="L32" s="310">
        <v>0.14000000000000001</v>
      </c>
      <c r="M32" s="310">
        <v>0.09</v>
      </c>
    </row>
    <row r="33" spans="1:13" x14ac:dyDescent="0.25">
      <c r="A33" s="309" t="s">
        <v>74</v>
      </c>
      <c r="B33" s="309">
        <v>33</v>
      </c>
      <c r="C33" s="310">
        <v>0.19</v>
      </c>
      <c r="D33" s="310">
        <v>0.3</v>
      </c>
      <c r="E33" s="310">
        <v>0.16</v>
      </c>
      <c r="F33" s="310">
        <v>0.23</v>
      </c>
      <c r="G33" s="310">
        <v>0.19</v>
      </c>
      <c r="H33" s="310">
        <v>0.1</v>
      </c>
      <c r="I33" s="310">
        <v>0.11</v>
      </c>
      <c r="J33" s="310">
        <v>0.2</v>
      </c>
      <c r="K33" s="310">
        <v>0.33</v>
      </c>
      <c r="L33" s="310">
        <v>0.3</v>
      </c>
      <c r="M33" s="310">
        <v>0.06</v>
      </c>
    </row>
    <row r="34" spans="1:13" x14ac:dyDescent="0.25">
      <c r="A34" s="309" t="s">
        <v>64</v>
      </c>
      <c r="B34" s="309">
        <v>34</v>
      </c>
      <c r="C34" s="310">
        <v>0.23</v>
      </c>
      <c r="D34" s="310">
        <v>0.35</v>
      </c>
      <c r="E34" s="310">
        <v>0.24</v>
      </c>
      <c r="F34" s="310">
        <v>0.26</v>
      </c>
      <c r="G34" s="310">
        <v>0.24</v>
      </c>
      <c r="H34" s="310">
        <v>0.2</v>
      </c>
      <c r="I34" s="310">
        <v>0.13</v>
      </c>
      <c r="J34" s="310">
        <v>0.2</v>
      </c>
      <c r="K34" s="310">
        <v>0.33</v>
      </c>
      <c r="L34" s="310">
        <v>0.33</v>
      </c>
      <c r="M34" s="310">
        <v>0.13</v>
      </c>
    </row>
    <row r="35" spans="1:13" x14ac:dyDescent="0.25">
      <c r="A35" s="309" t="s">
        <v>58</v>
      </c>
      <c r="B35" s="309">
        <v>35</v>
      </c>
      <c r="C35" s="310">
        <v>0.18</v>
      </c>
      <c r="D35" s="310">
        <v>0.38</v>
      </c>
      <c r="E35" s="310">
        <v>0.13</v>
      </c>
      <c r="F35" s="310">
        <v>0.14000000000000001</v>
      </c>
      <c r="G35" s="310">
        <v>0.15</v>
      </c>
      <c r="H35" s="310">
        <v>0.12</v>
      </c>
      <c r="I35" s="310">
        <v>0.12</v>
      </c>
      <c r="J35" s="310">
        <v>0.23</v>
      </c>
      <c r="K35" s="310">
        <v>0.32</v>
      </c>
      <c r="L35" s="310">
        <v>0.16</v>
      </c>
      <c r="M35" s="310">
        <v>0.1</v>
      </c>
    </row>
    <row r="36" spans="1:13" x14ac:dyDescent="0.25">
      <c r="A36" s="309" t="s">
        <v>69</v>
      </c>
      <c r="B36" s="309">
        <v>36</v>
      </c>
      <c r="C36" s="310">
        <v>7.0000000000000007E-2</v>
      </c>
      <c r="D36" s="310">
        <v>0.14000000000000001</v>
      </c>
      <c r="E36" s="310">
        <v>0.09</v>
      </c>
      <c r="F36" s="310">
        <v>0.08</v>
      </c>
      <c r="G36" s="310">
        <v>0.12</v>
      </c>
      <c r="H36" s="310">
        <v>0.08</v>
      </c>
      <c r="I36" s="310">
        <v>0.11</v>
      </c>
      <c r="J36" s="310">
        <v>0.19</v>
      </c>
      <c r="K36" s="310">
        <v>0.08</v>
      </c>
      <c r="L36" s="310">
        <v>0.24</v>
      </c>
      <c r="M36" s="310">
        <v>0.1</v>
      </c>
    </row>
    <row r="37" spans="1:13" x14ac:dyDescent="0.25">
      <c r="A37" s="309" t="s">
        <v>49</v>
      </c>
      <c r="B37" s="309">
        <v>37</v>
      </c>
      <c r="C37" s="310">
        <v>0.24</v>
      </c>
      <c r="D37" s="310">
        <v>0.12</v>
      </c>
      <c r="E37" s="310">
        <v>0.26</v>
      </c>
      <c r="F37" s="310">
        <v>0.3</v>
      </c>
      <c r="G37" s="310">
        <v>0.28999999999999998</v>
      </c>
      <c r="H37" s="310">
        <v>0.17</v>
      </c>
      <c r="I37" s="310">
        <v>0.19</v>
      </c>
      <c r="J37" s="310">
        <v>0.18</v>
      </c>
      <c r="K37" s="310">
        <v>0.16</v>
      </c>
      <c r="L37" s="310">
        <v>0.1</v>
      </c>
      <c r="M37" s="310">
        <v>0.14000000000000001</v>
      </c>
    </row>
    <row r="38" spans="1:13" x14ac:dyDescent="0.25">
      <c r="A38" s="309" t="s">
        <v>52</v>
      </c>
      <c r="B38" s="309">
        <v>38</v>
      </c>
      <c r="C38" s="310">
        <v>7.0000000000000007E-2</v>
      </c>
      <c r="D38" s="310">
        <v>0.21</v>
      </c>
      <c r="E38" s="310">
        <v>0.13</v>
      </c>
      <c r="F38" s="310">
        <v>0.16</v>
      </c>
      <c r="G38" s="310">
        <v>0.21</v>
      </c>
      <c r="H38" s="310">
        <v>0.11</v>
      </c>
      <c r="I38" s="310">
        <v>0.09</v>
      </c>
      <c r="J38" s="310">
        <v>0.14000000000000001</v>
      </c>
      <c r="K38" s="310">
        <v>0.27</v>
      </c>
      <c r="L38" s="310">
        <v>0.28000000000000003</v>
      </c>
      <c r="M38" s="310">
        <v>0.13</v>
      </c>
    </row>
    <row r="39" spans="1:13" x14ac:dyDescent="0.25">
      <c r="A39" s="309" t="s">
        <v>67</v>
      </c>
      <c r="B39" s="309">
        <v>39</v>
      </c>
      <c r="C39" s="310">
        <v>0.14000000000000001</v>
      </c>
      <c r="D39" s="310">
        <v>0.27</v>
      </c>
      <c r="E39" s="310">
        <v>0.18</v>
      </c>
      <c r="F39" s="310">
        <v>0.15</v>
      </c>
      <c r="G39" s="310">
        <v>0.17</v>
      </c>
      <c r="H39" s="310">
        <v>0.12</v>
      </c>
      <c r="I39" s="310">
        <v>0.12</v>
      </c>
      <c r="J39" s="310">
        <v>0.22</v>
      </c>
      <c r="K39" s="310">
        <v>0.31</v>
      </c>
      <c r="L39" s="310">
        <v>0.24</v>
      </c>
      <c r="M39" s="310">
        <v>7.0000000000000007E-2</v>
      </c>
    </row>
    <row r="40" spans="1:13" x14ac:dyDescent="0.25">
      <c r="A40" s="309" t="s">
        <v>86</v>
      </c>
      <c r="B40" s="309">
        <v>40</v>
      </c>
      <c r="C40" s="310">
        <v>0.1</v>
      </c>
      <c r="D40" s="310">
        <v>0.12</v>
      </c>
      <c r="E40" s="310">
        <v>0.15</v>
      </c>
      <c r="F40" s="310">
        <v>0.14000000000000001</v>
      </c>
      <c r="G40" s="310">
        <v>0.13</v>
      </c>
      <c r="H40" s="310">
        <v>0.14000000000000001</v>
      </c>
      <c r="I40" s="310">
        <v>0.13</v>
      </c>
      <c r="J40" s="310">
        <v>0.26</v>
      </c>
      <c r="K40" s="310">
        <v>0.18</v>
      </c>
      <c r="L40" s="310">
        <v>0.19</v>
      </c>
      <c r="M40" s="310">
        <v>0.11</v>
      </c>
    </row>
    <row r="41" spans="1:13" x14ac:dyDescent="0.25">
      <c r="A41" s="309" t="s">
        <v>61</v>
      </c>
      <c r="B41" s="309">
        <v>41</v>
      </c>
      <c r="C41" s="310">
        <v>0.27</v>
      </c>
      <c r="D41" s="310">
        <v>0.34</v>
      </c>
      <c r="E41" s="310">
        <v>0.17</v>
      </c>
      <c r="F41" s="310">
        <v>0.2</v>
      </c>
      <c r="G41" s="310">
        <v>0.25</v>
      </c>
      <c r="H41" s="310">
        <v>0.24</v>
      </c>
      <c r="I41" s="310">
        <v>0.13</v>
      </c>
      <c r="J41" s="310">
        <v>0.28999999999999998</v>
      </c>
      <c r="K41" s="310">
        <v>0.33</v>
      </c>
      <c r="L41" s="310">
        <v>0.31</v>
      </c>
      <c r="M41" s="310">
        <v>0.11</v>
      </c>
    </row>
    <row r="42" spans="1:13" x14ac:dyDescent="0.25">
      <c r="A42" s="309" t="s">
        <v>60</v>
      </c>
      <c r="B42" s="309">
        <v>42</v>
      </c>
      <c r="C42" s="310">
        <v>0.14000000000000001</v>
      </c>
      <c r="D42" s="310">
        <v>0.25</v>
      </c>
      <c r="E42" s="310">
        <v>0.24</v>
      </c>
      <c r="F42" s="310">
        <v>0.27</v>
      </c>
      <c r="G42" s="310">
        <v>0.2</v>
      </c>
      <c r="H42" s="310">
        <v>0.11</v>
      </c>
      <c r="I42" s="310">
        <v>0.13</v>
      </c>
      <c r="J42" s="310">
        <v>0.24</v>
      </c>
      <c r="K42" s="310">
        <v>0.3</v>
      </c>
      <c r="L42" s="310">
        <v>0.25</v>
      </c>
      <c r="M42" s="310">
        <v>0.12</v>
      </c>
    </row>
    <row r="43" spans="1:13" x14ac:dyDescent="0.25">
      <c r="A43" s="309" t="s">
        <v>56</v>
      </c>
      <c r="B43" s="309">
        <v>43</v>
      </c>
      <c r="C43" s="310">
        <v>0.15</v>
      </c>
      <c r="D43" s="310">
        <v>0.25</v>
      </c>
      <c r="E43" s="310">
        <v>0.19</v>
      </c>
      <c r="F43" s="310">
        <v>0.19</v>
      </c>
      <c r="G43" s="310">
        <v>0.2</v>
      </c>
      <c r="H43" s="310">
        <v>0.14000000000000001</v>
      </c>
      <c r="I43" s="310">
        <v>0.15</v>
      </c>
      <c r="J43" s="310">
        <v>0.2</v>
      </c>
      <c r="K43" s="310">
        <v>0.27</v>
      </c>
      <c r="L43" s="310">
        <v>0.2</v>
      </c>
      <c r="M43" s="310">
        <v>0.11</v>
      </c>
    </row>
    <row r="44" spans="1:13" x14ac:dyDescent="0.25">
      <c r="A44" s="309" t="s">
        <v>156</v>
      </c>
      <c r="B44" s="309">
        <v>44</v>
      </c>
      <c r="C44" s="310">
        <v>0.2</v>
      </c>
      <c r="D44" s="310">
        <v>0.4</v>
      </c>
      <c r="E44" s="310">
        <v>0.2</v>
      </c>
      <c r="F44" s="310">
        <v>0.21</v>
      </c>
      <c r="G44" s="310">
        <v>0.25</v>
      </c>
      <c r="H44" s="310">
        <v>0.18</v>
      </c>
      <c r="I44" s="310">
        <v>0.14000000000000001</v>
      </c>
      <c r="J44" s="310">
        <v>0.32</v>
      </c>
      <c r="K44" s="310">
        <v>0.41</v>
      </c>
      <c r="L44" s="310">
        <v>0.23</v>
      </c>
      <c r="M44" s="310">
        <v>0.16</v>
      </c>
    </row>
    <row r="45" spans="1:13" x14ac:dyDescent="0.25">
      <c r="A45" s="309" t="s">
        <v>53</v>
      </c>
      <c r="B45" s="309">
        <v>45</v>
      </c>
      <c r="C45" s="310">
        <v>0.13</v>
      </c>
      <c r="D45" s="310">
        <v>0.27</v>
      </c>
      <c r="E45" s="310">
        <v>0.16</v>
      </c>
      <c r="F45" s="310">
        <v>0.2</v>
      </c>
      <c r="G45" s="310">
        <v>0.15</v>
      </c>
      <c r="H45" s="310">
        <v>0.14000000000000001</v>
      </c>
      <c r="I45" s="310">
        <v>0.16</v>
      </c>
      <c r="J45" s="310">
        <v>0.21</v>
      </c>
      <c r="K45" s="310">
        <v>0.3</v>
      </c>
      <c r="L45" s="310">
        <v>0.14000000000000001</v>
      </c>
      <c r="M45" s="310">
        <v>0.12</v>
      </c>
    </row>
    <row r="46" spans="1:13" x14ac:dyDescent="0.25">
      <c r="A46" s="309" t="s">
        <v>85</v>
      </c>
      <c r="B46" s="309">
        <v>46</v>
      </c>
      <c r="C46" s="310">
        <v>0.24</v>
      </c>
      <c r="D46" s="310">
        <v>0.41</v>
      </c>
      <c r="E46" s="310">
        <v>0.3</v>
      </c>
      <c r="F46" s="310">
        <v>0.22</v>
      </c>
      <c r="G46" s="310">
        <v>0.2</v>
      </c>
      <c r="H46" s="310">
        <v>0.16</v>
      </c>
      <c r="I46" s="310">
        <v>0.15</v>
      </c>
      <c r="J46" s="310">
        <v>0.22</v>
      </c>
      <c r="K46" s="310">
        <v>0.32</v>
      </c>
      <c r="L46" s="310">
        <v>0.39</v>
      </c>
      <c r="M46" s="310">
        <v>0.12</v>
      </c>
    </row>
    <row r="47" spans="1:13" x14ac:dyDescent="0.25">
      <c r="A47" s="309" t="s">
        <v>256</v>
      </c>
      <c r="B47" s="309">
        <v>47</v>
      </c>
      <c r="C47" s="310">
        <v>0.18</v>
      </c>
      <c r="D47" s="310">
        <v>0.6</v>
      </c>
      <c r="E47" s="310">
        <v>0.13</v>
      </c>
      <c r="F47" s="310">
        <v>0.14000000000000001</v>
      </c>
      <c r="G47" s="310">
        <v>0.22</v>
      </c>
      <c r="H47" s="310">
        <v>0.15</v>
      </c>
      <c r="I47" s="310">
        <v>0.17</v>
      </c>
      <c r="J47" s="310">
        <v>0.12</v>
      </c>
      <c r="K47" s="310">
        <v>0.09</v>
      </c>
      <c r="L47" s="310">
        <v>0.2</v>
      </c>
      <c r="M47" s="310">
        <v>0.13</v>
      </c>
    </row>
    <row r="48" spans="1:13" x14ac:dyDescent="0.25">
      <c r="A48" s="309" t="s">
        <v>253</v>
      </c>
      <c r="B48" s="309">
        <v>48</v>
      </c>
      <c r="C48" s="310">
        <v>0.12</v>
      </c>
      <c r="D48" s="310">
        <v>0.34</v>
      </c>
      <c r="E48" s="310">
        <v>0.25</v>
      </c>
      <c r="F48" s="310">
        <v>0.28000000000000003</v>
      </c>
      <c r="G48" s="310">
        <v>0.17</v>
      </c>
      <c r="H48" s="310">
        <v>0.18</v>
      </c>
      <c r="I48" s="310">
        <v>0.19</v>
      </c>
      <c r="J48" s="310">
        <v>0.21</v>
      </c>
      <c r="K48" s="310">
        <v>0.27</v>
      </c>
      <c r="L48" s="310">
        <v>0.23</v>
      </c>
      <c r="M48" s="310">
        <v>0.14000000000000001</v>
      </c>
    </row>
    <row r="49" spans="1:13" x14ac:dyDescent="0.25">
      <c r="A49" s="311" t="s">
        <v>257</v>
      </c>
      <c r="B49" s="311">
        <v>49</v>
      </c>
      <c r="C49" s="312">
        <v>0.11</v>
      </c>
      <c r="D49" s="312">
        <v>0.14000000000000001</v>
      </c>
      <c r="E49" s="312">
        <v>0.15</v>
      </c>
      <c r="F49" s="312">
        <v>0.14000000000000001</v>
      </c>
      <c r="G49" s="312">
        <v>0.12</v>
      </c>
      <c r="H49" s="312">
        <v>0.11</v>
      </c>
      <c r="I49" s="312">
        <v>0.09</v>
      </c>
      <c r="J49" s="312">
        <v>0.14000000000000001</v>
      </c>
      <c r="K49" s="312">
        <v>0.17</v>
      </c>
      <c r="L49" s="312">
        <v>0.13</v>
      </c>
      <c r="M49" s="312">
        <v>7.0000000000000007E-2</v>
      </c>
    </row>
    <row r="50" spans="1:13" s="129" customFormat="1" x14ac:dyDescent="0.25">
      <c r="A50" s="309" t="s">
        <v>252</v>
      </c>
      <c r="B50" s="309">
        <v>50</v>
      </c>
      <c r="C50" s="314">
        <v>0.14000000000000001</v>
      </c>
      <c r="D50" s="314">
        <v>0.13</v>
      </c>
      <c r="E50" s="314">
        <v>0.15</v>
      </c>
      <c r="F50" s="314">
        <v>0.16</v>
      </c>
      <c r="G50" s="314">
        <v>0.27</v>
      </c>
      <c r="H50" s="314">
        <v>0.13</v>
      </c>
      <c r="I50" s="314">
        <v>0.13</v>
      </c>
      <c r="J50" s="314">
        <v>0.14000000000000001</v>
      </c>
      <c r="K50" s="314">
        <v>0.2</v>
      </c>
      <c r="L50" s="314">
        <v>0.28999999999999998</v>
      </c>
      <c r="M50" s="314">
        <v>0.11</v>
      </c>
    </row>
    <row r="51" spans="1:13" x14ac:dyDescent="0.25">
      <c r="A51" s="313" t="s">
        <v>245</v>
      </c>
      <c r="B51" s="313">
        <v>51</v>
      </c>
      <c r="C51" s="312">
        <v>0</v>
      </c>
      <c r="D51" s="312">
        <v>0</v>
      </c>
      <c r="E51" s="312">
        <v>0</v>
      </c>
      <c r="F51" s="312">
        <v>0</v>
      </c>
      <c r="G51" s="312">
        <v>0</v>
      </c>
      <c r="H51" s="312">
        <v>0</v>
      </c>
      <c r="I51" s="312">
        <v>0</v>
      </c>
      <c r="J51" s="312">
        <v>0</v>
      </c>
      <c r="K51" s="312">
        <v>0</v>
      </c>
      <c r="L51" s="312">
        <v>0</v>
      </c>
      <c r="M51" s="312">
        <v>0</v>
      </c>
    </row>
    <row r="52" spans="1:13" x14ac:dyDescent="0.25">
      <c r="A52" s="309"/>
      <c r="B52" s="309"/>
      <c r="C52" s="309"/>
      <c r="D52" s="309"/>
      <c r="E52" s="309"/>
      <c r="F52" s="309"/>
      <c r="G52" s="309"/>
      <c r="H52" s="309"/>
      <c r="I52" s="309"/>
      <c r="J52" s="309"/>
      <c r="K52" s="309"/>
      <c r="L52" s="309"/>
      <c r="M52" s="309"/>
    </row>
    <row r="53" spans="1:13" x14ac:dyDescent="0.25">
      <c r="A53" s="309"/>
      <c r="B53" s="309"/>
      <c r="C53" s="309"/>
      <c r="D53" s="309"/>
      <c r="E53" s="309"/>
      <c r="F53" s="309"/>
      <c r="G53" s="309"/>
      <c r="H53" s="309"/>
      <c r="I53" s="309"/>
      <c r="J53" s="309"/>
      <c r="K53" s="309"/>
      <c r="L53" s="309"/>
      <c r="M53" s="309"/>
    </row>
  </sheetData>
  <sheetProtection selectLockedCells="1"/>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S36"/>
  <sheetViews>
    <sheetView workbookViewId="0">
      <selection activeCell="E6" sqref="E6"/>
    </sheetView>
  </sheetViews>
  <sheetFormatPr defaultRowHeight="15" x14ac:dyDescent="0.25"/>
  <cols>
    <col min="1" max="1" width="15.85546875" bestFit="1" customWidth="1"/>
    <col min="2" max="2" width="12.140625" customWidth="1"/>
    <col min="3" max="4" width="9.42578125" customWidth="1"/>
    <col min="5" max="5" width="15.85546875" customWidth="1"/>
    <col min="6" max="6" width="11.140625" bestFit="1" customWidth="1"/>
    <col min="7" max="19" width="9.42578125" customWidth="1"/>
  </cols>
  <sheetData>
    <row r="1" spans="1:11" x14ac:dyDescent="0.25">
      <c r="A1" s="817" t="s">
        <v>293</v>
      </c>
      <c r="B1" s="817"/>
      <c r="D1" s="818" t="s">
        <v>292</v>
      </c>
      <c r="E1" s="819"/>
      <c r="F1" s="820"/>
      <c r="H1" s="93"/>
      <c r="I1" s="93"/>
      <c r="J1" s="93"/>
    </row>
    <row r="2" spans="1:11" x14ac:dyDescent="0.25">
      <c r="A2" s="80" t="s">
        <v>291</v>
      </c>
      <c r="B2" s="187" t="s">
        <v>290</v>
      </c>
      <c r="D2" s="80" t="s">
        <v>284</v>
      </c>
      <c r="E2" s="190" t="s">
        <v>288</v>
      </c>
      <c r="F2" s="87">
        <f t="shared" ref="F2:F18" si="0">IF(E2="Fitness Class",700000,0)+IF(E2="Yoga",700000,0)+IF(E2="PR Training",500000,0)+IF(E2="Technical Training",600000,0)+IF(E2="Sports Psychologist",400000,0)+IF(E2="Ninja Class",550000,0)</f>
        <v>700000</v>
      </c>
      <c r="I2" s="92"/>
      <c r="J2" s="92"/>
    </row>
    <row r="3" spans="1:11" x14ac:dyDescent="0.25">
      <c r="A3" s="80" t="s">
        <v>289</v>
      </c>
      <c r="B3" s="188">
        <v>1456000</v>
      </c>
      <c r="D3" s="80" t="s">
        <v>283</v>
      </c>
      <c r="E3" s="190" t="s">
        <v>288</v>
      </c>
      <c r="F3" s="87">
        <f t="shared" si="0"/>
        <v>700000</v>
      </c>
    </row>
    <row r="4" spans="1:11" x14ac:dyDescent="0.25">
      <c r="A4" s="90"/>
      <c r="B4" s="89"/>
      <c r="D4" s="80" t="s">
        <v>282</v>
      </c>
      <c r="E4" s="190" t="s">
        <v>288</v>
      </c>
      <c r="F4" s="87">
        <f t="shared" si="0"/>
        <v>700000</v>
      </c>
    </row>
    <row r="5" spans="1:11" x14ac:dyDescent="0.25">
      <c r="A5" s="80" t="s">
        <v>267</v>
      </c>
      <c r="B5" s="189">
        <f>(B7*8+B8*12+B9*7+B10*4+B11*6+B12*7+B13*4+B14*4-B18*4)/48</f>
        <v>107.95833333333333</v>
      </c>
      <c r="D5" s="80" t="s">
        <v>281</v>
      </c>
      <c r="E5" s="190" t="s">
        <v>288</v>
      </c>
      <c r="F5" s="87">
        <f t="shared" si="0"/>
        <v>700000</v>
      </c>
      <c r="I5" s="83"/>
      <c r="J5" s="83"/>
    </row>
    <row r="6" spans="1:11" x14ac:dyDescent="0.25">
      <c r="A6" s="90"/>
      <c r="B6" s="89"/>
      <c r="D6" s="80" t="s">
        <v>280</v>
      </c>
      <c r="E6" s="190" t="s">
        <v>869</v>
      </c>
      <c r="F6" s="87">
        <f t="shared" si="0"/>
        <v>400000</v>
      </c>
      <c r="I6" s="83"/>
      <c r="J6" s="83"/>
      <c r="K6" s="83"/>
    </row>
    <row r="7" spans="1:11" x14ac:dyDescent="0.25">
      <c r="A7" s="80" t="s">
        <v>266</v>
      </c>
      <c r="B7" s="186">
        <v>201</v>
      </c>
      <c r="D7" s="80" t="s">
        <v>279</v>
      </c>
      <c r="E7" s="190" t="s">
        <v>288</v>
      </c>
      <c r="F7" s="87">
        <f t="shared" si="0"/>
        <v>700000</v>
      </c>
      <c r="I7" s="83"/>
      <c r="J7" s="83"/>
      <c r="K7" s="83"/>
    </row>
    <row r="8" spans="1:11" x14ac:dyDescent="0.25">
      <c r="A8" s="80" t="s">
        <v>265</v>
      </c>
      <c r="B8" s="186">
        <v>160</v>
      </c>
      <c r="D8" s="80" t="s">
        <v>278</v>
      </c>
      <c r="E8" s="190" t="s">
        <v>288</v>
      </c>
      <c r="F8" s="87">
        <f t="shared" si="0"/>
        <v>700000</v>
      </c>
      <c r="I8" s="83"/>
      <c r="J8" s="83"/>
      <c r="K8" s="83"/>
    </row>
    <row r="9" spans="1:11" x14ac:dyDescent="0.25">
      <c r="A9" s="80" t="s">
        <v>196</v>
      </c>
      <c r="B9" s="186">
        <v>22</v>
      </c>
      <c r="D9" s="80" t="s">
        <v>277</v>
      </c>
      <c r="E9" s="190" t="s">
        <v>288</v>
      </c>
      <c r="F9" s="87">
        <f t="shared" si="0"/>
        <v>700000</v>
      </c>
      <c r="I9" s="83"/>
      <c r="J9" s="83"/>
    </row>
    <row r="10" spans="1:11" x14ac:dyDescent="0.25">
      <c r="A10" s="80" t="s">
        <v>10</v>
      </c>
      <c r="B10" s="186">
        <v>81</v>
      </c>
      <c r="D10" s="80" t="s">
        <v>276</v>
      </c>
      <c r="E10" s="190" t="s">
        <v>288</v>
      </c>
      <c r="F10" s="87">
        <f t="shared" si="0"/>
        <v>700000</v>
      </c>
      <c r="I10" s="83"/>
      <c r="J10" s="83"/>
    </row>
    <row r="11" spans="1:11" x14ac:dyDescent="0.25">
      <c r="A11" s="80" t="s">
        <v>9</v>
      </c>
      <c r="B11" s="186">
        <v>56</v>
      </c>
      <c r="D11" s="80" t="s">
        <v>275</v>
      </c>
      <c r="E11" s="190" t="s">
        <v>288</v>
      </c>
      <c r="F11" s="87">
        <f t="shared" si="0"/>
        <v>700000</v>
      </c>
      <c r="I11" s="83"/>
      <c r="J11" s="83"/>
    </row>
    <row r="12" spans="1:11" x14ac:dyDescent="0.25">
      <c r="A12" s="80" t="s">
        <v>264</v>
      </c>
      <c r="B12" s="186">
        <v>80</v>
      </c>
      <c r="D12" s="80" t="s">
        <v>274</v>
      </c>
      <c r="E12" s="190" t="s">
        <v>288</v>
      </c>
      <c r="F12" s="87">
        <f t="shared" si="0"/>
        <v>700000</v>
      </c>
    </row>
    <row r="13" spans="1:11" x14ac:dyDescent="0.25">
      <c r="A13" s="80" t="s">
        <v>263</v>
      </c>
      <c r="B13" s="186">
        <v>130</v>
      </c>
      <c r="D13" s="80" t="s">
        <v>273</v>
      </c>
      <c r="E13" s="190" t="s">
        <v>288</v>
      </c>
      <c r="F13" s="87">
        <f t="shared" si="0"/>
        <v>700000</v>
      </c>
      <c r="I13" s="83"/>
      <c r="J13" s="83"/>
    </row>
    <row r="14" spans="1:11" x14ac:dyDescent="0.25">
      <c r="A14" s="91" t="s">
        <v>262</v>
      </c>
      <c r="B14" s="186">
        <v>0</v>
      </c>
      <c r="D14" s="80" t="s">
        <v>272</v>
      </c>
      <c r="E14" s="190" t="s">
        <v>288</v>
      </c>
      <c r="F14" s="87">
        <f t="shared" si="0"/>
        <v>700000</v>
      </c>
      <c r="I14" s="83"/>
      <c r="J14" s="83"/>
    </row>
    <row r="15" spans="1:11" x14ac:dyDescent="0.25">
      <c r="A15" s="90"/>
      <c r="B15" s="89"/>
      <c r="D15" s="80" t="s">
        <v>271</v>
      </c>
      <c r="E15" s="190" t="s">
        <v>288</v>
      </c>
      <c r="F15" s="87">
        <f t="shared" si="0"/>
        <v>700000</v>
      </c>
      <c r="I15" s="83"/>
      <c r="J15" s="83"/>
    </row>
    <row r="16" spans="1:11" x14ac:dyDescent="0.25">
      <c r="A16" s="80" t="s">
        <v>287</v>
      </c>
      <c r="B16" s="186">
        <v>0</v>
      </c>
      <c r="D16" s="80" t="s">
        <v>270</v>
      </c>
      <c r="E16" s="190" t="s">
        <v>288</v>
      </c>
      <c r="F16" s="87">
        <f t="shared" si="0"/>
        <v>700000</v>
      </c>
      <c r="I16" s="83"/>
      <c r="J16" s="83"/>
    </row>
    <row r="17" spans="1:19" x14ac:dyDescent="0.25">
      <c r="A17" s="90"/>
      <c r="B17" s="89"/>
      <c r="D17" s="80" t="s">
        <v>269</v>
      </c>
      <c r="E17" s="190" t="s">
        <v>288</v>
      </c>
      <c r="F17" s="87">
        <f t="shared" si="0"/>
        <v>700000</v>
      </c>
      <c r="I17" s="83"/>
      <c r="J17" s="83"/>
    </row>
    <row r="18" spans="1:19" ht="15.75" thickBot="1" x14ac:dyDescent="0.3">
      <c r="A18" s="80" t="s">
        <v>261</v>
      </c>
      <c r="B18" s="186">
        <v>60</v>
      </c>
      <c r="D18" s="88" t="s">
        <v>268</v>
      </c>
      <c r="E18" s="191" t="s">
        <v>288</v>
      </c>
      <c r="F18" s="87">
        <f t="shared" si="0"/>
        <v>700000</v>
      </c>
      <c r="I18" s="83"/>
      <c r="J18" s="83"/>
    </row>
    <row r="19" spans="1:19" ht="15.75" thickTop="1" x14ac:dyDescent="0.25">
      <c r="A19" s="80" t="s">
        <v>286</v>
      </c>
      <c r="B19" s="186">
        <v>22</v>
      </c>
      <c r="D19" s="86"/>
      <c r="E19" s="85" t="s">
        <v>198</v>
      </c>
      <c r="F19" s="84">
        <f>SUM(F2:F18)</f>
        <v>11600000</v>
      </c>
      <c r="I19" s="83"/>
      <c r="J19" s="83"/>
    </row>
    <row r="21" spans="1:19" x14ac:dyDescent="0.25">
      <c r="A21" s="80"/>
      <c r="B21" s="80" t="s">
        <v>285</v>
      </c>
      <c r="C21" s="80" t="s">
        <v>284</v>
      </c>
      <c r="D21" s="80" t="s">
        <v>283</v>
      </c>
      <c r="E21" s="80" t="s">
        <v>282</v>
      </c>
      <c r="F21" s="80" t="s">
        <v>281</v>
      </c>
      <c r="G21" s="80" t="s">
        <v>280</v>
      </c>
      <c r="H21" s="80" t="s">
        <v>279</v>
      </c>
      <c r="I21" s="80" t="s">
        <v>278</v>
      </c>
      <c r="J21" s="80" t="s">
        <v>277</v>
      </c>
      <c r="K21" s="80" t="s">
        <v>276</v>
      </c>
      <c r="L21" s="80" t="s">
        <v>275</v>
      </c>
      <c r="M21" s="80" t="s">
        <v>274</v>
      </c>
      <c r="N21" s="80" t="s">
        <v>273</v>
      </c>
      <c r="O21" s="80" t="s">
        <v>272</v>
      </c>
      <c r="P21" s="80" t="s">
        <v>271</v>
      </c>
      <c r="Q21" s="80" t="s">
        <v>270</v>
      </c>
      <c r="R21" s="80" t="s">
        <v>269</v>
      </c>
      <c r="S21" s="80" t="s">
        <v>268</v>
      </c>
    </row>
    <row r="22" spans="1:19" x14ac:dyDescent="0.25">
      <c r="A22" s="81" t="s">
        <v>267</v>
      </c>
      <c r="B22" s="82">
        <f>B5</f>
        <v>107.95833333333333</v>
      </c>
      <c r="C22" s="82">
        <f t="shared" ref="C22:R22" ca="1" si="1">(C23*8+C24*12+C25*7+C26*4+C27*6+C28*7+C29*4+C30*4-C31*4)/48</f>
        <v>107.75</v>
      </c>
      <c r="D22" s="82">
        <f t="shared" ca="1" si="1"/>
        <v>107.54166666666667</v>
      </c>
      <c r="E22" s="82">
        <f t="shared" ca="1" si="1"/>
        <v>107.33333333333333</v>
      </c>
      <c r="F22" s="82">
        <f t="shared" ca="1" si="1"/>
        <v>107.125</v>
      </c>
      <c r="G22" s="82">
        <f t="shared" ca="1" si="1"/>
        <v>108.45833333333333</v>
      </c>
      <c r="H22" s="82">
        <f t="shared" ca="1" si="1"/>
        <v>108.25</v>
      </c>
      <c r="I22" s="82">
        <f t="shared" ca="1" si="1"/>
        <v>108.04166666666667</v>
      </c>
      <c r="J22" s="82">
        <f t="shared" ca="1" si="1"/>
        <v>107.83333333333333</v>
      </c>
      <c r="K22" s="82">
        <f t="shared" ca="1" si="1"/>
        <v>107.625</v>
      </c>
      <c r="L22" s="82">
        <f t="shared" ca="1" si="1"/>
        <v>107.41666666666667</v>
      </c>
      <c r="M22" s="82">
        <f t="shared" ca="1" si="1"/>
        <v>107.20833333333333</v>
      </c>
      <c r="N22" s="82">
        <f t="shared" ca="1" si="1"/>
        <v>107</v>
      </c>
      <c r="O22" s="82">
        <f t="shared" ca="1" si="1"/>
        <v>106.79166666666667</v>
      </c>
      <c r="P22" s="82">
        <f t="shared" ca="1" si="1"/>
        <v>106.58333333333333</v>
      </c>
      <c r="Q22" s="82">
        <f t="shared" ca="1" si="1"/>
        <v>106.375</v>
      </c>
      <c r="R22" s="82">
        <f t="shared" ca="1" si="1"/>
        <v>106.16666666666667</v>
      </c>
      <c r="S22" s="82">
        <f ca="1">(S23*8+S24*12+S25*6.85+S26*4+S27*6+S28*7+S29*4+S30*4-S31*4)/48</f>
        <v>105.88958333333333</v>
      </c>
    </row>
    <row r="23" spans="1:19" x14ac:dyDescent="0.25">
      <c r="A23" s="81" t="s">
        <v>266</v>
      </c>
      <c r="B23" s="80">
        <f t="shared" ref="B23:B30" si="2">B7</f>
        <v>201</v>
      </c>
      <c r="C23" s="80">
        <f t="shared" ref="C23:S23" ca="1" si="3">IF((INDIRECT(ADDRESS(COLUMN()-1,5)))="Ninja Class",B23+1,IF((INDIRECT(ADDRESS(COLUMN()-1,5)))="Yoga",B23+2,IF((INDIRECT(ADDRESS(COLUMN()-1,5)))="PR Training",B23-3,B23)))</f>
        <v>201</v>
      </c>
      <c r="D23" s="80">
        <f t="shared" ca="1" si="3"/>
        <v>201</v>
      </c>
      <c r="E23" s="80">
        <f t="shared" ca="1" si="3"/>
        <v>201</v>
      </c>
      <c r="F23" s="80">
        <f t="shared" ca="1" si="3"/>
        <v>201</v>
      </c>
      <c r="G23" s="80">
        <f t="shared" ca="1" si="3"/>
        <v>201</v>
      </c>
      <c r="H23" s="80">
        <f t="shared" ca="1" si="3"/>
        <v>201</v>
      </c>
      <c r="I23" s="80">
        <f t="shared" ca="1" si="3"/>
        <v>201</v>
      </c>
      <c r="J23" s="80">
        <f t="shared" ca="1" si="3"/>
        <v>201</v>
      </c>
      <c r="K23" s="80">
        <f t="shared" ca="1" si="3"/>
        <v>201</v>
      </c>
      <c r="L23" s="80">
        <f t="shared" ca="1" si="3"/>
        <v>201</v>
      </c>
      <c r="M23" s="80">
        <f t="shared" ca="1" si="3"/>
        <v>201</v>
      </c>
      <c r="N23" s="80">
        <f t="shared" ca="1" si="3"/>
        <v>201</v>
      </c>
      <c r="O23" s="80">
        <f t="shared" ca="1" si="3"/>
        <v>201</v>
      </c>
      <c r="P23" s="80">
        <f t="shared" ca="1" si="3"/>
        <v>201</v>
      </c>
      <c r="Q23" s="80">
        <f t="shared" ca="1" si="3"/>
        <v>201</v>
      </c>
      <c r="R23" s="80">
        <f t="shared" ca="1" si="3"/>
        <v>201</v>
      </c>
      <c r="S23" s="80">
        <f t="shared" ca="1" si="3"/>
        <v>201</v>
      </c>
    </row>
    <row r="24" spans="1:19" x14ac:dyDescent="0.25">
      <c r="A24" s="81" t="s">
        <v>265</v>
      </c>
      <c r="B24" s="80">
        <f t="shared" si="2"/>
        <v>160</v>
      </c>
      <c r="C24" s="80">
        <f t="shared" ref="C24:S24" si="4">B24</f>
        <v>160</v>
      </c>
      <c r="D24" s="80">
        <f t="shared" si="4"/>
        <v>160</v>
      </c>
      <c r="E24" s="80">
        <f t="shared" si="4"/>
        <v>160</v>
      </c>
      <c r="F24" s="80">
        <f t="shared" si="4"/>
        <v>160</v>
      </c>
      <c r="G24" s="80">
        <f t="shared" si="4"/>
        <v>160</v>
      </c>
      <c r="H24" s="80">
        <f t="shared" si="4"/>
        <v>160</v>
      </c>
      <c r="I24" s="80">
        <f t="shared" si="4"/>
        <v>160</v>
      </c>
      <c r="J24" s="80">
        <f t="shared" si="4"/>
        <v>160</v>
      </c>
      <c r="K24" s="80">
        <f t="shared" si="4"/>
        <v>160</v>
      </c>
      <c r="L24" s="80">
        <f t="shared" si="4"/>
        <v>160</v>
      </c>
      <c r="M24" s="80">
        <f t="shared" si="4"/>
        <v>160</v>
      </c>
      <c r="N24" s="80">
        <f t="shared" si="4"/>
        <v>160</v>
      </c>
      <c r="O24" s="80">
        <f t="shared" si="4"/>
        <v>160</v>
      </c>
      <c r="P24" s="80">
        <f t="shared" si="4"/>
        <v>160</v>
      </c>
      <c r="Q24" s="80">
        <f t="shared" si="4"/>
        <v>160</v>
      </c>
      <c r="R24" s="80">
        <f t="shared" si="4"/>
        <v>160</v>
      </c>
      <c r="S24" s="80">
        <f t="shared" si="4"/>
        <v>160</v>
      </c>
    </row>
    <row r="25" spans="1:19" x14ac:dyDescent="0.25">
      <c r="A25" s="81" t="s">
        <v>196</v>
      </c>
      <c r="B25" s="80">
        <f t="shared" si="2"/>
        <v>22</v>
      </c>
      <c r="C25" s="80">
        <f t="shared" ref="C25:S25" ca="1" si="5">IF((INDIRECT(ADDRESS(COLUMN()-1,5)))="Ninja Class",B25+5,IF((INDIRECT(ADDRESS(COLUMN()-1,5)))="Yoga",B25-2,B25))</f>
        <v>22</v>
      </c>
      <c r="D25" s="80">
        <f t="shared" ca="1" si="5"/>
        <v>22</v>
      </c>
      <c r="E25" s="80">
        <f t="shared" ca="1" si="5"/>
        <v>22</v>
      </c>
      <c r="F25" s="80">
        <f t="shared" ca="1" si="5"/>
        <v>22</v>
      </c>
      <c r="G25" s="80">
        <f t="shared" ca="1" si="5"/>
        <v>22</v>
      </c>
      <c r="H25" s="80">
        <f t="shared" ca="1" si="5"/>
        <v>22</v>
      </c>
      <c r="I25" s="80">
        <f t="shared" ca="1" si="5"/>
        <v>22</v>
      </c>
      <c r="J25" s="80">
        <f t="shared" ca="1" si="5"/>
        <v>22</v>
      </c>
      <c r="K25" s="80">
        <f t="shared" ca="1" si="5"/>
        <v>22</v>
      </c>
      <c r="L25" s="80">
        <f t="shared" ca="1" si="5"/>
        <v>22</v>
      </c>
      <c r="M25" s="80">
        <f t="shared" ca="1" si="5"/>
        <v>22</v>
      </c>
      <c r="N25" s="80">
        <f t="shared" ca="1" si="5"/>
        <v>22</v>
      </c>
      <c r="O25" s="80">
        <f t="shared" ca="1" si="5"/>
        <v>22</v>
      </c>
      <c r="P25" s="80">
        <f t="shared" ca="1" si="5"/>
        <v>22</v>
      </c>
      <c r="Q25" s="80">
        <f t="shared" ca="1" si="5"/>
        <v>22</v>
      </c>
      <c r="R25" s="80">
        <f t="shared" ca="1" si="5"/>
        <v>22</v>
      </c>
      <c r="S25" s="80">
        <f t="shared" ca="1" si="5"/>
        <v>22</v>
      </c>
    </row>
    <row r="26" spans="1:19" x14ac:dyDescent="0.25">
      <c r="A26" s="81" t="s">
        <v>10</v>
      </c>
      <c r="B26" s="80">
        <f t="shared" si="2"/>
        <v>81</v>
      </c>
      <c r="C26" s="80">
        <f t="shared" ref="C26:S26" si="6">B26+1</f>
        <v>82</v>
      </c>
      <c r="D26" s="80">
        <f t="shared" si="6"/>
        <v>83</v>
      </c>
      <c r="E26" s="80">
        <f t="shared" si="6"/>
        <v>84</v>
      </c>
      <c r="F26" s="80">
        <f t="shared" si="6"/>
        <v>85</v>
      </c>
      <c r="G26" s="80">
        <f t="shared" si="6"/>
        <v>86</v>
      </c>
      <c r="H26" s="80">
        <f t="shared" si="6"/>
        <v>87</v>
      </c>
      <c r="I26" s="80">
        <f t="shared" si="6"/>
        <v>88</v>
      </c>
      <c r="J26" s="80">
        <f t="shared" si="6"/>
        <v>89</v>
      </c>
      <c r="K26" s="80">
        <f t="shared" si="6"/>
        <v>90</v>
      </c>
      <c r="L26" s="80">
        <f t="shared" si="6"/>
        <v>91</v>
      </c>
      <c r="M26" s="80">
        <f t="shared" si="6"/>
        <v>92</v>
      </c>
      <c r="N26" s="80">
        <f t="shared" si="6"/>
        <v>93</v>
      </c>
      <c r="O26" s="80">
        <f t="shared" si="6"/>
        <v>94</v>
      </c>
      <c r="P26" s="80">
        <f t="shared" si="6"/>
        <v>95</v>
      </c>
      <c r="Q26" s="80">
        <f t="shared" si="6"/>
        <v>96</v>
      </c>
      <c r="R26" s="80">
        <f t="shared" si="6"/>
        <v>97</v>
      </c>
      <c r="S26" s="80">
        <f t="shared" si="6"/>
        <v>98</v>
      </c>
    </row>
    <row r="27" spans="1:19" x14ac:dyDescent="0.25">
      <c r="A27" s="81" t="s">
        <v>9</v>
      </c>
      <c r="B27" s="80">
        <f t="shared" si="2"/>
        <v>56</v>
      </c>
      <c r="C27" s="80">
        <f t="shared" ref="C27:S27" ca="1" si="7">IF((INDIRECT(ADDRESS(COLUMN()-1,5)))="Technical Training",B27+5,B27)</f>
        <v>56</v>
      </c>
      <c r="D27" s="80">
        <f t="shared" ca="1" si="7"/>
        <v>56</v>
      </c>
      <c r="E27" s="80">
        <f t="shared" ca="1" si="7"/>
        <v>56</v>
      </c>
      <c r="F27" s="80">
        <f t="shared" ca="1" si="7"/>
        <v>56</v>
      </c>
      <c r="G27" s="80">
        <f t="shared" ca="1" si="7"/>
        <v>56</v>
      </c>
      <c r="H27" s="80">
        <f t="shared" ca="1" si="7"/>
        <v>56</v>
      </c>
      <c r="I27" s="80">
        <f t="shared" ca="1" si="7"/>
        <v>56</v>
      </c>
      <c r="J27" s="80">
        <f t="shared" ca="1" si="7"/>
        <v>56</v>
      </c>
      <c r="K27" s="80">
        <f t="shared" ca="1" si="7"/>
        <v>56</v>
      </c>
      <c r="L27" s="80">
        <f t="shared" ca="1" si="7"/>
        <v>56</v>
      </c>
      <c r="M27" s="80">
        <f t="shared" ca="1" si="7"/>
        <v>56</v>
      </c>
      <c r="N27" s="80">
        <f t="shared" ca="1" si="7"/>
        <v>56</v>
      </c>
      <c r="O27" s="80">
        <f t="shared" ca="1" si="7"/>
        <v>56</v>
      </c>
      <c r="P27" s="80">
        <f t="shared" ca="1" si="7"/>
        <v>56</v>
      </c>
      <c r="Q27" s="80">
        <f t="shared" ca="1" si="7"/>
        <v>56</v>
      </c>
      <c r="R27" s="80">
        <f t="shared" ca="1" si="7"/>
        <v>56</v>
      </c>
      <c r="S27" s="80">
        <f t="shared" ca="1" si="7"/>
        <v>56</v>
      </c>
    </row>
    <row r="28" spans="1:19" x14ac:dyDescent="0.25">
      <c r="A28" s="81" t="s">
        <v>264</v>
      </c>
      <c r="B28" s="80">
        <f t="shared" si="2"/>
        <v>80</v>
      </c>
      <c r="C28" s="80">
        <f t="shared" ref="C28:S28" ca="1" si="8">IF((INDIRECT(ADDRESS(COLUMN()-1,5)))="Fitness Class",B28+2,IF((INDIRECT(ADDRESS(COLUMN()-1,5)))="Yoga",B28-2,B28))</f>
        <v>82</v>
      </c>
      <c r="D28" s="80">
        <f t="shared" ca="1" si="8"/>
        <v>84</v>
      </c>
      <c r="E28" s="80">
        <f t="shared" ca="1" si="8"/>
        <v>86</v>
      </c>
      <c r="F28" s="80">
        <f t="shared" ca="1" si="8"/>
        <v>88</v>
      </c>
      <c r="G28" s="80">
        <f t="shared" ca="1" si="8"/>
        <v>88</v>
      </c>
      <c r="H28" s="80">
        <f t="shared" ca="1" si="8"/>
        <v>90</v>
      </c>
      <c r="I28" s="80">
        <f t="shared" ca="1" si="8"/>
        <v>92</v>
      </c>
      <c r="J28" s="80">
        <f t="shared" ca="1" si="8"/>
        <v>94</v>
      </c>
      <c r="K28" s="80">
        <f t="shared" ca="1" si="8"/>
        <v>96</v>
      </c>
      <c r="L28" s="80">
        <f t="shared" ca="1" si="8"/>
        <v>98</v>
      </c>
      <c r="M28" s="80">
        <f t="shared" ca="1" si="8"/>
        <v>100</v>
      </c>
      <c r="N28" s="80">
        <f t="shared" ca="1" si="8"/>
        <v>102</v>
      </c>
      <c r="O28" s="80">
        <f t="shared" ca="1" si="8"/>
        <v>104</v>
      </c>
      <c r="P28" s="80">
        <f t="shared" ca="1" si="8"/>
        <v>106</v>
      </c>
      <c r="Q28" s="80">
        <f t="shared" ca="1" si="8"/>
        <v>108</v>
      </c>
      <c r="R28" s="80">
        <f t="shared" ca="1" si="8"/>
        <v>110</v>
      </c>
      <c r="S28" s="80">
        <f t="shared" ca="1" si="8"/>
        <v>112</v>
      </c>
    </row>
    <row r="29" spans="1:19" x14ac:dyDescent="0.25">
      <c r="A29" s="81" t="s">
        <v>263</v>
      </c>
      <c r="B29" s="80">
        <f t="shared" si="2"/>
        <v>130</v>
      </c>
      <c r="C29" s="80">
        <f t="shared" ref="C29:S29" ca="1" si="9">IF((INDIRECT(ADDRESS(COLUMN()-1,5)))="PR Training",B29+8,B29)</f>
        <v>130</v>
      </c>
      <c r="D29" s="80">
        <f t="shared" ca="1" si="9"/>
        <v>130</v>
      </c>
      <c r="E29" s="80">
        <f t="shared" ca="1" si="9"/>
        <v>130</v>
      </c>
      <c r="F29" s="80">
        <f t="shared" ca="1" si="9"/>
        <v>130</v>
      </c>
      <c r="G29" s="80">
        <f t="shared" ca="1" si="9"/>
        <v>130</v>
      </c>
      <c r="H29" s="80">
        <f t="shared" ca="1" si="9"/>
        <v>130</v>
      </c>
      <c r="I29" s="80">
        <f t="shared" ca="1" si="9"/>
        <v>130</v>
      </c>
      <c r="J29" s="80">
        <f t="shared" ca="1" si="9"/>
        <v>130</v>
      </c>
      <c r="K29" s="80">
        <f t="shared" ca="1" si="9"/>
        <v>130</v>
      </c>
      <c r="L29" s="80">
        <f t="shared" ca="1" si="9"/>
        <v>130</v>
      </c>
      <c r="M29" s="80">
        <f t="shared" ca="1" si="9"/>
        <v>130</v>
      </c>
      <c r="N29" s="80">
        <f t="shared" ca="1" si="9"/>
        <v>130</v>
      </c>
      <c r="O29" s="80">
        <f t="shared" ca="1" si="9"/>
        <v>130</v>
      </c>
      <c r="P29" s="80">
        <f t="shared" ca="1" si="9"/>
        <v>130</v>
      </c>
      <c r="Q29" s="80">
        <f t="shared" ca="1" si="9"/>
        <v>130</v>
      </c>
      <c r="R29" s="80">
        <f t="shared" ca="1" si="9"/>
        <v>130</v>
      </c>
      <c r="S29" s="80">
        <f t="shared" ca="1" si="9"/>
        <v>130</v>
      </c>
    </row>
    <row r="30" spans="1:19" x14ac:dyDescent="0.25">
      <c r="A30" s="81" t="s">
        <v>262</v>
      </c>
      <c r="B30" s="80">
        <f t="shared" si="2"/>
        <v>0</v>
      </c>
      <c r="C30" s="80">
        <f t="shared" ref="C30:S30" ca="1" si="10">IF((INDIRECT(ADDRESS(COLUMN()-1,5)))="Sports Psychologist",B30+15,IF((INDIRECT(ADDRESS(COLUMN()-1,5)))="Yoga",B30+8,IF((INDIRECT(ADDRESS(COLUMN()-1,5)))="Technical Training",B30-8,IF((INDIRECT(ADDRESS(COLUMN()-1,5)))="Fitness Class",B30-8,B30))))</f>
        <v>-8</v>
      </c>
      <c r="D30" s="80">
        <f t="shared" ca="1" si="10"/>
        <v>-16</v>
      </c>
      <c r="E30" s="80">
        <f t="shared" ca="1" si="10"/>
        <v>-24</v>
      </c>
      <c r="F30" s="80">
        <f t="shared" ca="1" si="10"/>
        <v>-32</v>
      </c>
      <c r="G30" s="80">
        <f t="shared" ca="1" si="10"/>
        <v>-17</v>
      </c>
      <c r="H30" s="80">
        <f t="shared" ca="1" si="10"/>
        <v>-25</v>
      </c>
      <c r="I30" s="80">
        <f t="shared" ca="1" si="10"/>
        <v>-33</v>
      </c>
      <c r="J30" s="80">
        <f t="shared" ca="1" si="10"/>
        <v>-41</v>
      </c>
      <c r="K30" s="80">
        <f t="shared" ca="1" si="10"/>
        <v>-49</v>
      </c>
      <c r="L30" s="80">
        <f t="shared" ca="1" si="10"/>
        <v>-57</v>
      </c>
      <c r="M30" s="80">
        <f t="shared" ca="1" si="10"/>
        <v>-65</v>
      </c>
      <c r="N30" s="80">
        <f t="shared" ca="1" si="10"/>
        <v>-73</v>
      </c>
      <c r="O30" s="80">
        <f t="shared" ca="1" si="10"/>
        <v>-81</v>
      </c>
      <c r="P30" s="80">
        <f t="shared" ca="1" si="10"/>
        <v>-89</v>
      </c>
      <c r="Q30" s="80">
        <f t="shared" ca="1" si="10"/>
        <v>-97</v>
      </c>
      <c r="R30" s="80">
        <f t="shared" ca="1" si="10"/>
        <v>-105</v>
      </c>
      <c r="S30" s="80">
        <f t="shared" ca="1" si="10"/>
        <v>-113</v>
      </c>
    </row>
    <row r="31" spans="1:19" x14ac:dyDescent="0.25">
      <c r="A31" s="81" t="s">
        <v>261</v>
      </c>
      <c r="B31" s="80">
        <f>B18</f>
        <v>60</v>
      </c>
      <c r="C31" s="80">
        <f t="shared" ref="C31:S31" ca="1" si="11">IF((INDIRECT(ADDRESS(COLUMN()-1,5)))="Fitness Class",B31-1,B31)</f>
        <v>59</v>
      </c>
      <c r="D31" s="80">
        <f t="shared" ca="1" si="11"/>
        <v>58</v>
      </c>
      <c r="E31" s="80">
        <f t="shared" ca="1" si="11"/>
        <v>57</v>
      </c>
      <c r="F31" s="80">
        <f t="shared" ca="1" si="11"/>
        <v>56</v>
      </c>
      <c r="G31" s="80">
        <f t="shared" ca="1" si="11"/>
        <v>56</v>
      </c>
      <c r="H31" s="80">
        <f t="shared" ca="1" si="11"/>
        <v>55</v>
      </c>
      <c r="I31" s="80">
        <f t="shared" ca="1" si="11"/>
        <v>54</v>
      </c>
      <c r="J31" s="80">
        <f t="shared" ca="1" si="11"/>
        <v>53</v>
      </c>
      <c r="K31" s="80">
        <f t="shared" ca="1" si="11"/>
        <v>52</v>
      </c>
      <c r="L31" s="80">
        <f t="shared" ca="1" si="11"/>
        <v>51</v>
      </c>
      <c r="M31" s="80">
        <f t="shared" ca="1" si="11"/>
        <v>50</v>
      </c>
      <c r="N31" s="80">
        <f t="shared" ca="1" si="11"/>
        <v>49</v>
      </c>
      <c r="O31" s="80">
        <f t="shared" ca="1" si="11"/>
        <v>48</v>
      </c>
      <c r="P31" s="80">
        <f t="shared" ca="1" si="11"/>
        <v>47</v>
      </c>
      <c r="Q31" s="80">
        <f t="shared" ca="1" si="11"/>
        <v>46</v>
      </c>
      <c r="R31" s="80">
        <f t="shared" ca="1" si="11"/>
        <v>45</v>
      </c>
      <c r="S31" s="80">
        <f t="shared" ca="1" si="11"/>
        <v>44</v>
      </c>
    </row>
    <row r="36" spans="3:3" x14ac:dyDescent="0.25">
      <c r="C36" s="79"/>
    </row>
  </sheetData>
  <sheetProtection selectLockedCells="1"/>
  <customSheetViews>
    <customSheetView guid="{58F65609-3622-42C4-9926-1A56B88F9C36}">
      <selection activeCell="E15" sqref="E15"/>
      <pageMargins left="0.7" right="0.7" top="0.75" bottom="0.75" header="0.3" footer="0.3"/>
    </customSheetView>
  </customSheetViews>
  <mergeCells count="2">
    <mergeCell ref="A1:B1"/>
    <mergeCell ref="D1:F1"/>
  </mergeCells>
  <dataValidations count="1">
    <dataValidation type="list" allowBlank="1" showInputMessage="1" showErrorMessage="1" sqref="E2:E18 JA2:JA18 SW2:SW18 ACS2:ACS18 AMO2:AMO18 AWK2:AWK18 BGG2:BGG18 BQC2:BQC18 BZY2:BZY18 CJU2:CJU18 CTQ2:CTQ18 DDM2:DDM18 DNI2:DNI18 DXE2:DXE18 EHA2:EHA18 EQW2:EQW18 FAS2:FAS18 FKO2:FKO18 FUK2:FUK18 GEG2:GEG18 GOC2:GOC18 GXY2:GXY18 HHU2:HHU18 HRQ2:HRQ18 IBM2:IBM18 ILI2:ILI18 IVE2:IVE18 JFA2:JFA18 JOW2:JOW18 JYS2:JYS18 KIO2:KIO18 KSK2:KSK18 LCG2:LCG18 LMC2:LMC18 LVY2:LVY18 MFU2:MFU18 MPQ2:MPQ18 MZM2:MZM18 NJI2:NJI18 NTE2:NTE18 ODA2:ODA18 OMW2:OMW18 OWS2:OWS18 PGO2:PGO18 PQK2:PQK18 QAG2:QAG18 QKC2:QKC18 QTY2:QTY18 RDU2:RDU18 RNQ2:RNQ18 RXM2:RXM18 SHI2:SHI18 SRE2:SRE18 TBA2:TBA18 TKW2:TKW18 TUS2:TUS18 UEO2:UEO18 UOK2:UOK18 UYG2:UYG18 VIC2:VIC18 VRY2:VRY18 WBU2:WBU18 WLQ2:WLQ18 WVM2:WVM18 E65538:E65554 JA65538:JA65554 SW65538:SW65554 ACS65538:ACS65554 AMO65538:AMO65554 AWK65538:AWK65554 BGG65538:BGG65554 BQC65538:BQC65554 BZY65538:BZY65554 CJU65538:CJU65554 CTQ65538:CTQ65554 DDM65538:DDM65554 DNI65538:DNI65554 DXE65538:DXE65554 EHA65538:EHA65554 EQW65538:EQW65554 FAS65538:FAS65554 FKO65538:FKO65554 FUK65538:FUK65554 GEG65538:GEG65554 GOC65538:GOC65554 GXY65538:GXY65554 HHU65538:HHU65554 HRQ65538:HRQ65554 IBM65538:IBM65554 ILI65538:ILI65554 IVE65538:IVE65554 JFA65538:JFA65554 JOW65538:JOW65554 JYS65538:JYS65554 KIO65538:KIO65554 KSK65538:KSK65554 LCG65538:LCG65554 LMC65538:LMC65554 LVY65538:LVY65554 MFU65538:MFU65554 MPQ65538:MPQ65554 MZM65538:MZM65554 NJI65538:NJI65554 NTE65538:NTE65554 ODA65538:ODA65554 OMW65538:OMW65554 OWS65538:OWS65554 PGO65538:PGO65554 PQK65538:PQK65554 QAG65538:QAG65554 QKC65538:QKC65554 QTY65538:QTY65554 RDU65538:RDU65554 RNQ65538:RNQ65554 RXM65538:RXM65554 SHI65538:SHI65554 SRE65538:SRE65554 TBA65538:TBA65554 TKW65538:TKW65554 TUS65538:TUS65554 UEO65538:UEO65554 UOK65538:UOK65554 UYG65538:UYG65554 VIC65538:VIC65554 VRY65538:VRY65554 WBU65538:WBU65554 WLQ65538:WLQ65554 WVM65538:WVM65554 E131074:E131090 JA131074:JA131090 SW131074:SW131090 ACS131074:ACS131090 AMO131074:AMO131090 AWK131074:AWK131090 BGG131074:BGG131090 BQC131074:BQC131090 BZY131074:BZY131090 CJU131074:CJU131090 CTQ131074:CTQ131090 DDM131074:DDM131090 DNI131074:DNI131090 DXE131074:DXE131090 EHA131074:EHA131090 EQW131074:EQW131090 FAS131074:FAS131090 FKO131074:FKO131090 FUK131074:FUK131090 GEG131074:GEG131090 GOC131074:GOC131090 GXY131074:GXY131090 HHU131074:HHU131090 HRQ131074:HRQ131090 IBM131074:IBM131090 ILI131074:ILI131090 IVE131074:IVE131090 JFA131074:JFA131090 JOW131074:JOW131090 JYS131074:JYS131090 KIO131074:KIO131090 KSK131074:KSK131090 LCG131074:LCG131090 LMC131074:LMC131090 LVY131074:LVY131090 MFU131074:MFU131090 MPQ131074:MPQ131090 MZM131074:MZM131090 NJI131074:NJI131090 NTE131074:NTE131090 ODA131074:ODA131090 OMW131074:OMW131090 OWS131074:OWS131090 PGO131074:PGO131090 PQK131074:PQK131090 QAG131074:QAG131090 QKC131074:QKC131090 QTY131074:QTY131090 RDU131074:RDU131090 RNQ131074:RNQ131090 RXM131074:RXM131090 SHI131074:SHI131090 SRE131074:SRE131090 TBA131074:TBA131090 TKW131074:TKW131090 TUS131074:TUS131090 UEO131074:UEO131090 UOK131074:UOK131090 UYG131074:UYG131090 VIC131074:VIC131090 VRY131074:VRY131090 WBU131074:WBU131090 WLQ131074:WLQ131090 WVM131074:WVM131090 E196610:E196626 JA196610:JA196626 SW196610:SW196626 ACS196610:ACS196626 AMO196610:AMO196626 AWK196610:AWK196626 BGG196610:BGG196626 BQC196610:BQC196626 BZY196610:BZY196626 CJU196610:CJU196626 CTQ196610:CTQ196626 DDM196610:DDM196626 DNI196610:DNI196626 DXE196610:DXE196626 EHA196610:EHA196626 EQW196610:EQW196626 FAS196610:FAS196626 FKO196610:FKO196626 FUK196610:FUK196626 GEG196610:GEG196626 GOC196610:GOC196626 GXY196610:GXY196626 HHU196610:HHU196626 HRQ196610:HRQ196626 IBM196610:IBM196626 ILI196610:ILI196626 IVE196610:IVE196626 JFA196610:JFA196626 JOW196610:JOW196626 JYS196610:JYS196626 KIO196610:KIO196626 KSK196610:KSK196626 LCG196610:LCG196626 LMC196610:LMC196626 LVY196610:LVY196626 MFU196610:MFU196626 MPQ196610:MPQ196626 MZM196610:MZM196626 NJI196610:NJI196626 NTE196610:NTE196626 ODA196610:ODA196626 OMW196610:OMW196626 OWS196610:OWS196626 PGO196610:PGO196626 PQK196610:PQK196626 QAG196610:QAG196626 QKC196610:QKC196626 QTY196610:QTY196626 RDU196610:RDU196626 RNQ196610:RNQ196626 RXM196610:RXM196626 SHI196610:SHI196626 SRE196610:SRE196626 TBA196610:TBA196626 TKW196610:TKW196626 TUS196610:TUS196626 UEO196610:UEO196626 UOK196610:UOK196626 UYG196610:UYG196626 VIC196610:VIC196626 VRY196610:VRY196626 WBU196610:WBU196626 WLQ196610:WLQ196626 WVM196610:WVM196626 E262146:E262162 JA262146:JA262162 SW262146:SW262162 ACS262146:ACS262162 AMO262146:AMO262162 AWK262146:AWK262162 BGG262146:BGG262162 BQC262146:BQC262162 BZY262146:BZY262162 CJU262146:CJU262162 CTQ262146:CTQ262162 DDM262146:DDM262162 DNI262146:DNI262162 DXE262146:DXE262162 EHA262146:EHA262162 EQW262146:EQW262162 FAS262146:FAS262162 FKO262146:FKO262162 FUK262146:FUK262162 GEG262146:GEG262162 GOC262146:GOC262162 GXY262146:GXY262162 HHU262146:HHU262162 HRQ262146:HRQ262162 IBM262146:IBM262162 ILI262146:ILI262162 IVE262146:IVE262162 JFA262146:JFA262162 JOW262146:JOW262162 JYS262146:JYS262162 KIO262146:KIO262162 KSK262146:KSK262162 LCG262146:LCG262162 LMC262146:LMC262162 LVY262146:LVY262162 MFU262146:MFU262162 MPQ262146:MPQ262162 MZM262146:MZM262162 NJI262146:NJI262162 NTE262146:NTE262162 ODA262146:ODA262162 OMW262146:OMW262162 OWS262146:OWS262162 PGO262146:PGO262162 PQK262146:PQK262162 QAG262146:QAG262162 QKC262146:QKC262162 QTY262146:QTY262162 RDU262146:RDU262162 RNQ262146:RNQ262162 RXM262146:RXM262162 SHI262146:SHI262162 SRE262146:SRE262162 TBA262146:TBA262162 TKW262146:TKW262162 TUS262146:TUS262162 UEO262146:UEO262162 UOK262146:UOK262162 UYG262146:UYG262162 VIC262146:VIC262162 VRY262146:VRY262162 WBU262146:WBU262162 WLQ262146:WLQ262162 WVM262146:WVM262162 E327682:E327698 JA327682:JA327698 SW327682:SW327698 ACS327682:ACS327698 AMO327682:AMO327698 AWK327682:AWK327698 BGG327682:BGG327698 BQC327682:BQC327698 BZY327682:BZY327698 CJU327682:CJU327698 CTQ327682:CTQ327698 DDM327682:DDM327698 DNI327682:DNI327698 DXE327682:DXE327698 EHA327682:EHA327698 EQW327682:EQW327698 FAS327682:FAS327698 FKO327682:FKO327698 FUK327682:FUK327698 GEG327682:GEG327698 GOC327682:GOC327698 GXY327682:GXY327698 HHU327682:HHU327698 HRQ327682:HRQ327698 IBM327682:IBM327698 ILI327682:ILI327698 IVE327682:IVE327698 JFA327682:JFA327698 JOW327682:JOW327698 JYS327682:JYS327698 KIO327682:KIO327698 KSK327682:KSK327698 LCG327682:LCG327698 LMC327682:LMC327698 LVY327682:LVY327698 MFU327682:MFU327698 MPQ327682:MPQ327698 MZM327682:MZM327698 NJI327682:NJI327698 NTE327682:NTE327698 ODA327682:ODA327698 OMW327682:OMW327698 OWS327682:OWS327698 PGO327682:PGO327698 PQK327682:PQK327698 QAG327682:QAG327698 QKC327682:QKC327698 QTY327682:QTY327698 RDU327682:RDU327698 RNQ327682:RNQ327698 RXM327682:RXM327698 SHI327682:SHI327698 SRE327682:SRE327698 TBA327682:TBA327698 TKW327682:TKW327698 TUS327682:TUS327698 UEO327682:UEO327698 UOK327682:UOK327698 UYG327682:UYG327698 VIC327682:VIC327698 VRY327682:VRY327698 WBU327682:WBU327698 WLQ327682:WLQ327698 WVM327682:WVM327698 E393218:E393234 JA393218:JA393234 SW393218:SW393234 ACS393218:ACS393234 AMO393218:AMO393234 AWK393218:AWK393234 BGG393218:BGG393234 BQC393218:BQC393234 BZY393218:BZY393234 CJU393218:CJU393234 CTQ393218:CTQ393234 DDM393218:DDM393234 DNI393218:DNI393234 DXE393218:DXE393234 EHA393218:EHA393234 EQW393218:EQW393234 FAS393218:FAS393234 FKO393218:FKO393234 FUK393218:FUK393234 GEG393218:GEG393234 GOC393218:GOC393234 GXY393218:GXY393234 HHU393218:HHU393234 HRQ393218:HRQ393234 IBM393218:IBM393234 ILI393218:ILI393234 IVE393218:IVE393234 JFA393218:JFA393234 JOW393218:JOW393234 JYS393218:JYS393234 KIO393218:KIO393234 KSK393218:KSK393234 LCG393218:LCG393234 LMC393218:LMC393234 LVY393218:LVY393234 MFU393218:MFU393234 MPQ393218:MPQ393234 MZM393218:MZM393234 NJI393218:NJI393234 NTE393218:NTE393234 ODA393218:ODA393234 OMW393218:OMW393234 OWS393218:OWS393234 PGO393218:PGO393234 PQK393218:PQK393234 QAG393218:QAG393234 QKC393218:QKC393234 QTY393218:QTY393234 RDU393218:RDU393234 RNQ393218:RNQ393234 RXM393218:RXM393234 SHI393218:SHI393234 SRE393218:SRE393234 TBA393218:TBA393234 TKW393218:TKW393234 TUS393218:TUS393234 UEO393218:UEO393234 UOK393218:UOK393234 UYG393218:UYG393234 VIC393218:VIC393234 VRY393218:VRY393234 WBU393218:WBU393234 WLQ393218:WLQ393234 WVM393218:WVM393234 E458754:E458770 JA458754:JA458770 SW458754:SW458770 ACS458754:ACS458770 AMO458754:AMO458770 AWK458754:AWK458770 BGG458754:BGG458770 BQC458754:BQC458770 BZY458754:BZY458770 CJU458754:CJU458770 CTQ458754:CTQ458770 DDM458754:DDM458770 DNI458754:DNI458770 DXE458754:DXE458770 EHA458754:EHA458770 EQW458754:EQW458770 FAS458754:FAS458770 FKO458754:FKO458770 FUK458754:FUK458770 GEG458754:GEG458770 GOC458754:GOC458770 GXY458754:GXY458770 HHU458754:HHU458770 HRQ458754:HRQ458770 IBM458754:IBM458770 ILI458754:ILI458770 IVE458754:IVE458770 JFA458754:JFA458770 JOW458754:JOW458770 JYS458754:JYS458770 KIO458754:KIO458770 KSK458754:KSK458770 LCG458754:LCG458770 LMC458754:LMC458770 LVY458754:LVY458770 MFU458754:MFU458770 MPQ458754:MPQ458770 MZM458754:MZM458770 NJI458754:NJI458770 NTE458754:NTE458770 ODA458754:ODA458770 OMW458754:OMW458770 OWS458754:OWS458770 PGO458754:PGO458770 PQK458754:PQK458770 QAG458754:QAG458770 QKC458754:QKC458770 QTY458754:QTY458770 RDU458754:RDU458770 RNQ458754:RNQ458770 RXM458754:RXM458770 SHI458754:SHI458770 SRE458754:SRE458770 TBA458754:TBA458770 TKW458754:TKW458770 TUS458754:TUS458770 UEO458754:UEO458770 UOK458754:UOK458770 UYG458754:UYG458770 VIC458754:VIC458770 VRY458754:VRY458770 WBU458754:WBU458770 WLQ458754:WLQ458770 WVM458754:WVM458770 E524290:E524306 JA524290:JA524306 SW524290:SW524306 ACS524290:ACS524306 AMO524290:AMO524306 AWK524290:AWK524306 BGG524290:BGG524306 BQC524290:BQC524306 BZY524290:BZY524306 CJU524290:CJU524306 CTQ524290:CTQ524306 DDM524290:DDM524306 DNI524290:DNI524306 DXE524290:DXE524306 EHA524290:EHA524306 EQW524290:EQW524306 FAS524290:FAS524306 FKO524290:FKO524306 FUK524290:FUK524306 GEG524290:GEG524306 GOC524290:GOC524306 GXY524290:GXY524306 HHU524290:HHU524306 HRQ524290:HRQ524306 IBM524290:IBM524306 ILI524290:ILI524306 IVE524290:IVE524306 JFA524290:JFA524306 JOW524290:JOW524306 JYS524290:JYS524306 KIO524290:KIO524306 KSK524290:KSK524306 LCG524290:LCG524306 LMC524290:LMC524306 LVY524290:LVY524306 MFU524290:MFU524306 MPQ524290:MPQ524306 MZM524290:MZM524306 NJI524290:NJI524306 NTE524290:NTE524306 ODA524290:ODA524306 OMW524290:OMW524306 OWS524290:OWS524306 PGO524290:PGO524306 PQK524290:PQK524306 QAG524290:QAG524306 QKC524290:QKC524306 QTY524290:QTY524306 RDU524290:RDU524306 RNQ524290:RNQ524306 RXM524290:RXM524306 SHI524290:SHI524306 SRE524290:SRE524306 TBA524290:TBA524306 TKW524290:TKW524306 TUS524290:TUS524306 UEO524290:UEO524306 UOK524290:UOK524306 UYG524290:UYG524306 VIC524290:VIC524306 VRY524290:VRY524306 WBU524290:WBU524306 WLQ524290:WLQ524306 WVM524290:WVM524306 E589826:E589842 JA589826:JA589842 SW589826:SW589842 ACS589826:ACS589842 AMO589826:AMO589842 AWK589826:AWK589842 BGG589826:BGG589842 BQC589826:BQC589842 BZY589826:BZY589842 CJU589826:CJU589842 CTQ589826:CTQ589842 DDM589826:DDM589842 DNI589826:DNI589842 DXE589826:DXE589842 EHA589826:EHA589842 EQW589826:EQW589842 FAS589826:FAS589842 FKO589826:FKO589842 FUK589826:FUK589842 GEG589826:GEG589842 GOC589826:GOC589842 GXY589826:GXY589842 HHU589826:HHU589842 HRQ589826:HRQ589842 IBM589826:IBM589842 ILI589826:ILI589842 IVE589826:IVE589842 JFA589826:JFA589842 JOW589826:JOW589842 JYS589826:JYS589842 KIO589826:KIO589842 KSK589826:KSK589842 LCG589826:LCG589842 LMC589826:LMC589842 LVY589826:LVY589842 MFU589826:MFU589842 MPQ589826:MPQ589842 MZM589826:MZM589842 NJI589826:NJI589842 NTE589826:NTE589842 ODA589826:ODA589842 OMW589826:OMW589842 OWS589826:OWS589842 PGO589826:PGO589842 PQK589826:PQK589842 QAG589826:QAG589842 QKC589826:QKC589842 QTY589826:QTY589842 RDU589826:RDU589842 RNQ589826:RNQ589842 RXM589826:RXM589842 SHI589826:SHI589842 SRE589826:SRE589842 TBA589826:TBA589842 TKW589826:TKW589842 TUS589826:TUS589842 UEO589826:UEO589842 UOK589826:UOK589842 UYG589826:UYG589842 VIC589826:VIC589842 VRY589826:VRY589842 WBU589826:WBU589842 WLQ589826:WLQ589842 WVM589826:WVM589842 E655362:E655378 JA655362:JA655378 SW655362:SW655378 ACS655362:ACS655378 AMO655362:AMO655378 AWK655362:AWK655378 BGG655362:BGG655378 BQC655362:BQC655378 BZY655362:BZY655378 CJU655362:CJU655378 CTQ655362:CTQ655378 DDM655362:DDM655378 DNI655362:DNI655378 DXE655362:DXE655378 EHA655362:EHA655378 EQW655362:EQW655378 FAS655362:FAS655378 FKO655362:FKO655378 FUK655362:FUK655378 GEG655362:GEG655378 GOC655362:GOC655378 GXY655362:GXY655378 HHU655362:HHU655378 HRQ655362:HRQ655378 IBM655362:IBM655378 ILI655362:ILI655378 IVE655362:IVE655378 JFA655362:JFA655378 JOW655362:JOW655378 JYS655362:JYS655378 KIO655362:KIO655378 KSK655362:KSK655378 LCG655362:LCG655378 LMC655362:LMC655378 LVY655362:LVY655378 MFU655362:MFU655378 MPQ655362:MPQ655378 MZM655362:MZM655378 NJI655362:NJI655378 NTE655362:NTE655378 ODA655362:ODA655378 OMW655362:OMW655378 OWS655362:OWS655378 PGO655362:PGO655378 PQK655362:PQK655378 QAG655362:QAG655378 QKC655362:QKC655378 QTY655362:QTY655378 RDU655362:RDU655378 RNQ655362:RNQ655378 RXM655362:RXM655378 SHI655362:SHI655378 SRE655362:SRE655378 TBA655362:TBA655378 TKW655362:TKW655378 TUS655362:TUS655378 UEO655362:UEO655378 UOK655362:UOK655378 UYG655362:UYG655378 VIC655362:VIC655378 VRY655362:VRY655378 WBU655362:WBU655378 WLQ655362:WLQ655378 WVM655362:WVM655378 E720898:E720914 JA720898:JA720914 SW720898:SW720914 ACS720898:ACS720914 AMO720898:AMO720914 AWK720898:AWK720914 BGG720898:BGG720914 BQC720898:BQC720914 BZY720898:BZY720914 CJU720898:CJU720914 CTQ720898:CTQ720914 DDM720898:DDM720914 DNI720898:DNI720914 DXE720898:DXE720914 EHA720898:EHA720914 EQW720898:EQW720914 FAS720898:FAS720914 FKO720898:FKO720914 FUK720898:FUK720914 GEG720898:GEG720914 GOC720898:GOC720914 GXY720898:GXY720914 HHU720898:HHU720914 HRQ720898:HRQ720914 IBM720898:IBM720914 ILI720898:ILI720914 IVE720898:IVE720914 JFA720898:JFA720914 JOW720898:JOW720914 JYS720898:JYS720914 KIO720898:KIO720914 KSK720898:KSK720914 LCG720898:LCG720914 LMC720898:LMC720914 LVY720898:LVY720914 MFU720898:MFU720914 MPQ720898:MPQ720914 MZM720898:MZM720914 NJI720898:NJI720914 NTE720898:NTE720914 ODA720898:ODA720914 OMW720898:OMW720914 OWS720898:OWS720914 PGO720898:PGO720914 PQK720898:PQK720914 QAG720898:QAG720914 QKC720898:QKC720914 QTY720898:QTY720914 RDU720898:RDU720914 RNQ720898:RNQ720914 RXM720898:RXM720914 SHI720898:SHI720914 SRE720898:SRE720914 TBA720898:TBA720914 TKW720898:TKW720914 TUS720898:TUS720914 UEO720898:UEO720914 UOK720898:UOK720914 UYG720898:UYG720914 VIC720898:VIC720914 VRY720898:VRY720914 WBU720898:WBU720914 WLQ720898:WLQ720914 WVM720898:WVM720914 E786434:E786450 JA786434:JA786450 SW786434:SW786450 ACS786434:ACS786450 AMO786434:AMO786450 AWK786434:AWK786450 BGG786434:BGG786450 BQC786434:BQC786450 BZY786434:BZY786450 CJU786434:CJU786450 CTQ786434:CTQ786450 DDM786434:DDM786450 DNI786434:DNI786450 DXE786434:DXE786450 EHA786434:EHA786450 EQW786434:EQW786450 FAS786434:FAS786450 FKO786434:FKO786450 FUK786434:FUK786450 GEG786434:GEG786450 GOC786434:GOC786450 GXY786434:GXY786450 HHU786434:HHU786450 HRQ786434:HRQ786450 IBM786434:IBM786450 ILI786434:ILI786450 IVE786434:IVE786450 JFA786434:JFA786450 JOW786434:JOW786450 JYS786434:JYS786450 KIO786434:KIO786450 KSK786434:KSK786450 LCG786434:LCG786450 LMC786434:LMC786450 LVY786434:LVY786450 MFU786434:MFU786450 MPQ786434:MPQ786450 MZM786434:MZM786450 NJI786434:NJI786450 NTE786434:NTE786450 ODA786434:ODA786450 OMW786434:OMW786450 OWS786434:OWS786450 PGO786434:PGO786450 PQK786434:PQK786450 QAG786434:QAG786450 QKC786434:QKC786450 QTY786434:QTY786450 RDU786434:RDU786450 RNQ786434:RNQ786450 RXM786434:RXM786450 SHI786434:SHI786450 SRE786434:SRE786450 TBA786434:TBA786450 TKW786434:TKW786450 TUS786434:TUS786450 UEO786434:UEO786450 UOK786434:UOK786450 UYG786434:UYG786450 VIC786434:VIC786450 VRY786434:VRY786450 WBU786434:WBU786450 WLQ786434:WLQ786450 WVM786434:WVM786450 E851970:E851986 JA851970:JA851986 SW851970:SW851986 ACS851970:ACS851986 AMO851970:AMO851986 AWK851970:AWK851986 BGG851970:BGG851986 BQC851970:BQC851986 BZY851970:BZY851986 CJU851970:CJU851986 CTQ851970:CTQ851986 DDM851970:DDM851986 DNI851970:DNI851986 DXE851970:DXE851986 EHA851970:EHA851986 EQW851970:EQW851986 FAS851970:FAS851986 FKO851970:FKO851986 FUK851970:FUK851986 GEG851970:GEG851986 GOC851970:GOC851986 GXY851970:GXY851986 HHU851970:HHU851986 HRQ851970:HRQ851986 IBM851970:IBM851986 ILI851970:ILI851986 IVE851970:IVE851986 JFA851970:JFA851986 JOW851970:JOW851986 JYS851970:JYS851986 KIO851970:KIO851986 KSK851970:KSK851986 LCG851970:LCG851986 LMC851970:LMC851986 LVY851970:LVY851986 MFU851970:MFU851986 MPQ851970:MPQ851986 MZM851970:MZM851986 NJI851970:NJI851986 NTE851970:NTE851986 ODA851970:ODA851986 OMW851970:OMW851986 OWS851970:OWS851986 PGO851970:PGO851986 PQK851970:PQK851986 QAG851970:QAG851986 QKC851970:QKC851986 QTY851970:QTY851986 RDU851970:RDU851986 RNQ851970:RNQ851986 RXM851970:RXM851986 SHI851970:SHI851986 SRE851970:SRE851986 TBA851970:TBA851986 TKW851970:TKW851986 TUS851970:TUS851986 UEO851970:UEO851986 UOK851970:UOK851986 UYG851970:UYG851986 VIC851970:VIC851986 VRY851970:VRY851986 WBU851970:WBU851986 WLQ851970:WLQ851986 WVM851970:WVM851986 E917506:E917522 JA917506:JA917522 SW917506:SW917522 ACS917506:ACS917522 AMO917506:AMO917522 AWK917506:AWK917522 BGG917506:BGG917522 BQC917506:BQC917522 BZY917506:BZY917522 CJU917506:CJU917522 CTQ917506:CTQ917522 DDM917506:DDM917522 DNI917506:DNI917522 DXE917506:DXE917522 EHA917506:EHA917522 EQW917506:EQW917522 FAS917506:FAS917522 FKO917506:FKO917522 FUK917506:FUK917522 GEG917506:GEG917522 GOC917506:GOC917522 GXY917506:GXY917522 HHU917506:HHU917522 HRQ917506:HRQ917522 IBM917506:IBM917522 ILI917506:ILI917522 IVE917506:IVE917522 JFA917506:JFA917522 JOW917506:JOW917522 JYS917506:JYS917522 KIO917506:KIO917522 KSK917506:KSK917522 LCG917506:LCG917522 LMC917506:LMC917522 LVY917506:LVY917522 MFU917506:MFU917522 MPQ917506:MPQ917522 MZM917506:MZM917522 NJI917506:NJI917522 NTE917506:NTE917522 ODA917506:ODA917522 OMW917506:OMW917522 OWS917506:OWS917522 PGO917506:PGO917522 PQK917506:PQK917522 QAG917506:QAG917522 QKC917506:QKC917522 QTY917506:QTY917522 RDU917506:RDU917522 RNQ917506:RNQ917522 RXM917506:RXM917522 SHI917506:SHI917522 SRE917506:SRE917522 TBA917506:TBA917522 TKW917506:TKW917522 TUS917506:TUS917522 UEO917506:UEO917522 UOK917506:UOK917522 UYG917506:UYG917522 VIC917506:VIC917522 VRY917506:VRY917522 WBU917506:WBU917522 WLQ917506:WLQ917522 WVM917506:WVM917522 E983042:E983058 JA983042:JA983058 SW983042:SW983058 ACS983042:ACS983058 AMO983042:AMO983058 AWK983042:AWK983058 BGG983042:BGG983058 BQC983042:BQC983058 BZY983042:BZY983058 CJU983042:CJU983058 CTQ983042:CTQ983058 DDM983042:DDM983058 DNI983042:DNI983058 DXE983042:DXE983058 EHA983042:EHA983058 EQW983042:EQW983058 FAS983042:FAS983058 FKO983042:FKO983058 FUK983042:FUK983058 GEG983042:GEG983058 GOC983042:GOC983058 GXY983042:GXY983058 HHU983042:HHU983058 HRQ983042:HRQ983058 IBM983042:IBM983058 ILI983042:ILI983058 IVE983042:IVE983058 JFA983042:JFA983058 JOW983042:JOW983058 JYS983042:JYS983058 KIO983042:KIO983058 KSK983042:KSK983058 LCG983042:LCG983058 LMC983042:LMC983058 LVY983042:LVY983058 MFU983042:MFU983058 MPQ983042:MPQ983058 MZM983042:MZM983058 NJI983042:NJI983058 NTE983042:NTE983058 ODA983042:ODA983058 OMW983042:OMW983058 OWS983042:OWS983058 PGO983042:PGO983058 PQK983042:PQK983058 QAG983042:QAG983058 QKC983042:QKC983058 QTY983042:QTY983058 RDU983042:RDU983058 RNQ983042:RNQ983058 RXM983042:RXM983058 SHI983042:SHI983058 SRE983042:SRE983058 TBA983042:TBA983058 TKW983042:TKW983058 TUS983042:TUS983058 UEO983042:UEO983058 UOK983042:UOK983058 UYG983042:UYG983058 VIC983042:VIC983058 VRY983042:VRY983058 WBU983042:WBU983058 WLQ983042:WLQ983058 WVM983042:WVM983058" xr:uid="{00000000-0002-0000-0800-000000000000}">
      <formula1>"Fitness Class,Yoga,PR Training,Technical Training,Sports Psychologist,Ninja Class"</formula1>
    </dataValidation>
  </dataValidations>
  <pageMargins left="0.7" right="0.7" top="0.75" bottom="0.75" header="0.3" footer="0.3"/>
  <ignoredErrors>
    <ignoredError sqref="B5" unlockedFormula="1"/>
    <ignoredError sqref="C25:S25"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P65"/>
  <sheetViews>
    <sheetView workbookViewId="0">
      <selection activeCell="A53" sqref="A53"/>
    </sheetView>
  </sheetViews>
  <sheetFormatPr defaultRowHeight="15" x14ac:dyDescent="0.25"/>
  <cols>
    <col min="1" max="1" width="16.7109375" style="46" customWidth="1"/>
    <col min="2" max="2" width="13.7109375" style="46" customWidth="1"/>
    <col min="3" max="3" width="11.7109375" style="46" customWidth="1"/>
    <col min="4" max="4" width="7" style="46" customWidth="1"/>
    <col min="5" max="5" width="12" style="46" customWidth="1"/>
    <col min="6" max="6" width="13.28515625" style="46" customWidth="1"/>
    <col min="7" max="7" width="15.140625" style="46" customWidth="1"/>
    <col min="8" max="9" width="11.7109375" style="46" customWidth="1"/>
    <col min="10" max="10" width="12.7109375" style="46" customWidth="1"/>
    <col min="11" max="16" width="11.7109375" style="47" customWidth="1"/>
    <col min="17" max="16384" width="9.140625" style="46"/>
  </cols>
  <sheetData>
    <row r="1" spans="1:16" s="63" customFormat="1" ht="15.75" thickBot="1" x14ac:dyDescent="0.3">
      <c r="A1" s="78" t="s">
        <v>168</v>
      </c>
      <c r="B1" s="77" t="s">
        <v>229</v>
      </c>
      <c r="C1" s="77" t="s">
        <v>232</v>
      </c>
      <c r="D1" s="77" t="s">
        <v>218</v>
      </c>
      <c r="E1" s="77" t="s">
        <v>197</v>
      </c>
      <c r="F1" s="77" t="s">
        <v>260</v>
      </c>
      <c r="G1" s="77" t="s">
        <v>259</v>
      </c>
      <c r="H1" s="77" t="s">
        <v>221</v>
      </c>
      <c r="I1" s="77" t="s">
        <v>219</v>
      </c>
      <c r="J1" s="76" t="s">
        <v>217</v>
      </c>
      <c r="K1" s="75" t="s">
        <v>212</v>
      </c>
      <c r="L1" s="75" t="s">
        <v>227</v>
      </c>
      <c r="M1" s="75" t="s">
        <v>5</v>
      </c>
      <c r="N1" s="74" t="s">
        <v>258</v>
      </c>
      <c r="O1" s="73" t="s">
        <v>211</v>
      </c>
      <c r="P1" s="72" t="s">
        <v>205</v>
      </c>
    </row>
    <row r="2" spans="1:16" x14ac:dyDescent="0.25">
      <c r="A2" s="71" t="s">
        <v>48</v>
      </c>
      <c r="B2" s="70">
        <v>307.10000000000002</v>
      </c>
      <c r="C2" s="70">
        <v>4.3250000000000002</v>
      </c>
      <c r="D2" s="70">
        <v>71</v>
      </c>
      <c r="E2" s="70">
        <v>226.29</v>
      </c>
      <c r="F2" s="70">
        <v>9</v>
      </c>
      <c r="G2" s="70">
        <v>21</v>
      </c>
      <c r="H2" s="70">
        <v>13</v>
      </c>
      <c r="I2" s="70">
        <v>8</v>
      </c>
      <c r="J2" s="70">
        <v>9</v>
      </c>
      <c r="K2" s="69" t="s">
        <v>147</v>
      </c>
      <c r="L2" s="69" t="s">
        <v>251</v>
      </c>
      <c r="M2" s="69" t="s">
        <v>143</v>
      </c>
      <c r="N2" s="68" t="s">
        <v>151</v>
      </c>
      <c r="O2" s="67" t="s">
        <v>143</v>
      </c>
      <c r="P2" s="66" t="s">
        <v>249</v>
      </c>
    </row>
    <row r="3" spans="1:16" x14ac:dyDescent="0.25">
      <c r="A3" s="58" t="s">
        <v>49</v>
      </c>
      <c r="B3" s="57">
        <v>298.60000000000002</v>
      </c>
      <c r="C3" s="57">
        <v>3.78</v>
      </c>
      <c r="D3" s="57">
        <v>79</v>
      </c>
      <c r="E3" s="57">
        <v>190.87</v>
      </c>
      <c r="F3" s="57">
        <v>12</v>
      </c>
      <c r="G3" s="57">
        <v>19.5</v>
      </c>
      <c r="H3" s="57">
        <v>8</v>
      </c>
      <c r="I3" s="57">
        <v>9</v>
      </c>
      <c r="J3" s="57">
        <v>10</v>
      </c>
      <c r="K3" s="56" t="s">
        <v>143</v>
      </c>
      <c r="L3" s="56" t="s">
        <v>248</v>
      </c>
      <c r="M3" s="56" t="s">
        <v>143</v>
      </c>
      <c r="N3" s="55" t="s">
        <v>147</v>
      </c>
      <c r="O3" s="56" t="s">
        <v>143</v>
      </c>
      <c r="P3" s="53" t="s">
        <v>147</v>
      </c>
    </row>
    <row r="4" spans="1:16" x14ac:dyDescent="0.25">
      <c r="A4" s="58" t="s">
        <v>257</v>
      </c>
      <c r="B4" s="57">
        <v>243.2</v>
      </c>
      <c r="C4" s="57">
        <v>3.04</v>
      </c>
      <c r="D4" s="57">
        <v>80</v>
      </c>
      <c r="E4" s="57">
        <v>148.41999999999999</v>
      </c>
      <c r="F4" s="57">
        <v>10</v>
      </c>
      <c r="G4" s="57">
        <v>11.5</v>
      </c>
      <c r="H4" s="57">
        <v>5</v>
      </c>
      <c r="I4" s="57">
        <v>10</v>
      </c>
      <c r="J4" s="57">
        <v>7</v>
      </c>
      <c r="K4" s="56" t="s">
        <v>151</v>
      </c>
      <c r="L4" s="56" t="s">
        <v>249</v>
      </c>
      <c r="M4" s="56" t="s">
        <v>250</v>
      </c>
      <c r="N4" s="55" t="s">
        <v>143</v>
      </c>
      <c r="O4" s="56" t="s">
        <v>151</v>
      </c>
      <c r="P4" s="53" t="s">
        <v>249</v>
      </c>
    </row>
    <row r="5" spans="1:16" x14ac:dyDescent="0.25">
      <c r="A5" s="58" t="s">
        <v>50</v>
      </c>
      <c r="B5" s="57">
        <v>281.8</v>
      </c>
      <c r="C5" s="57">
        <v>4.0259999999999998</v>
      </c>
      <c r="D5" s="57">
        <v>70</v>
      </c>
      <c r="E5" s="57">
        <v>203.49</v>
      </c>
      <c r="F5" s="57">
        <v>10</v>
      </c>
      <c r="G5" s="57">
        <v>13.5</v>
      </c>
      <c r="H5" s="57">
        <v>9</v>
      </c>
      <c r="I5" s="57">
        <v>11</v>
      </c>
      <c r="J5" s="57">
        <v>9</v>
      </c>
      <c r="K5" s="56" t="s">
        <v>147</v>
      </c>
      <c r="L5" s="56" t="s">
        <v>254</v>
      </c>
      <c r="M5" s="56" t="s">
        <v>250</v>
      </c>
      <c r="N5" s="55" t="s">
        <v>151</v>
      </c>
      <c r="O5" s="56" t="s">
        <v>143</v>
      </c>
      <c r="P5" s="53" t="s">
        <v>147</v>
      </c>
    </row>
    <row r="6" spans="1:16" x14ac:dyDescent="0.25">
      <c r="A6" s="58" t="s">
        <v>785</v>
      </c>
      <c r="B6" s="57">
        <v>308.89999999999998</v>
      </c>
      <c r="C6" s="57">
        <v>5.516</v>
      </c>
      <c r="D6" s="57">
        <v>56</v>
      </c>
      <c r="E6" s="64">
        <v>197.46</v>
      </c>
      <c r="F6" s="57">
        <v>20</v>
      </c>
      <c r="G6" s="57">
        <v>17.5</v>
      </c>
      <c r="H6" s="57">
        <v>11</v>
      </c>
      <c r="I6" s="57">
        <v>18</v>
      </c>
      <c r="J6" s="57">
        <v>10</v>
      </c>
      <c r="K6" s="56" t="s">
        <v>143</v>
      </c>
      <c r="L6" s="56" t="s">
        <v>251</v>
      </c>
      <c r="M6" s="56" t="s">
        <v>248</v>
      </c>
      <c r="N6" s="55" t="s">
        <v>143</v>
      </c>
      <c r="O6" s="56" t="s">
        <v>143</v>
      </c>
      <c r="P6" s="53" t="s">
        <v>151</v>
      </c>
    </row>
    <row r="7" spans="1:16" x14ac:dyDescent="0.25">
      <c r="A7" s="58" t="s">
        <v>871</v>
      </c>
      <c r="B7" s="57">
        <v>312.3</v>
      </c>
      <c r="C7" s="57">
        <v>4.88</v>
      </c>
      <c r="D7" s="57">
        <v>64</v>
      </c>
      <c r="E7" s="64">
        <v>312.70999999999998</v>
      </c>
      <c r="F7" s="57">
        <v>4</v>
      </c>
      <c r="G7" s="57">
        <v>13</v>
      </c>
      <c r="H7" s="57">
        <v>22</v>
      </c>
      <c r="I7" s="57">
        <v>3</v>
      </c>
      <c r="J7" s="57">
        <v>9</v>
      </c>
      <c r="K7" s="56" t="s">
        <v>147</v>
      </c>
      <c r="L7" s="56" t="s">
        <v>251</v>
      </c>
      <c r="M7" s="56" t="s">
        <v>248</v>
      </c>
      <c r="N7" s="55" t="s">
        <v>139</v>
      </c>
      <c r="O7" s="56" t="s">
        <v>147</v>
      </c>
      <c r="P7" s="53" t="s">
        <v>249</v>
      </c>
    </row>
    <row r="8" spans="1:16" x14ac:dyDescent="0.25">
      <c r="A8" s="58" t="s">
        <v>841</v>
      </c>
      <c r="B8" s="57">
        <v>306.3</v>
      </c>
      <c r="C8" s="57">
        <v>6.0060000000000002</v>
      </c>
      <c r="D8" s="57">
        <v>51</v>
      </c>
      <c r="E8" s="64">
        <v>214.79</v>
      </c>
      <c r="F8" s="57">
        <v>20</v>
      </c>
      <c r="G8" s="57">
        <v>17</v>
      </c>
      <c r="H8" s="57">
        <v>18</v>
      </c>
      <c r="I8" s="57">
        <v>8</v>
      </c>
      <c r="J8" s="57">
        <v>16</v>
      </c>
      <c r="K8" s="56" t="s">
        <v>143</v>
      </c>
      <c r="L8" s="56" t="s">
        <v>251</v>
      </c>
      <c r="M8" s="56" t="s">
        <v>248</v>
      </c>
      <c r="N8" s="55" t="s">
        <v>151</v>
      </c>
      <c r="O8" s="56" t="s">
        <v>139</v>
      </c>
      <c r="P8" s="53" t="s">
        <v>151</v>
      </c>
    </row>
    <row r="9" spans="1:16" x14ac:dyDescent="0.25">
      <c r="A9" s="58" t="s">
        <v>51</v>
      </c>
      <c r="B9" s="57">
        <v>307.3</v>
      </c>
      <c r="C9" s="57">
        <v>4.7279999999999998</v>
      </c>
      <c r="D9" s="57">
        <v>65</v>
      </c>
      <c r="E9" s="57">
        <v>217.02</v>
      </c>
      <c r="F9" s="57">
        <v>16</v>
      </c>
      <c r="G9" s="57">
        <v>21</v>
      </c>
      <c r="H9" s="57">
        <v>11</v>
      </c>
      <c r="I9" s="57">
        <v>13</v>
      </c>
      <c r="J9" s="57">
        <v>8</v>
      </c>
      <c r="K9" s="56" t="s">
        <v>143</v>
      </c>
      <c r="L9" s="56" t="s">
        <v>248</v>
      </c>
      <c r="M9" s="56" t="s">
        <v>250</v>
      </c>
      <c r="N9" s="55" t="s">
        <v>151</v>
      </c>
      <c r="O9" s="56" t="s">
        <v>143</v>
      </c>
      <c r="P9" s="53" t="s">
        <v>147</v>
      </c>
    </row>
    <row r="10" spans="1:16" x14ac:dyDescent="0.25">
      <c r="A10" s="58" t="s">
        <v>52</v>
      </c>
      <c r="B10" s="57">
        <v>315.5</v>
      </c>
      <c r="C10" s="57">
        <v>4.2069999999999999</v>
      </c>
      <c r="D10" s="57">
        <v>75</v>
      </c>
      <c r="E10" s="57">
        <v>211.02</v>
      </c>
      <c r="F10" s="57">
        <v>12</v>
      </c>
      <c r="G10" s="57">
        <v>25.5</v>
      </c>
      <c r="H10" s="57">
        <v>10</v>
      </c>
      <c r="I10" s="57">
        <v>12</v>
      </c>
      <c r="J10" s="57">
        <v>8</v>
      </c>
      <c r="K10" s="56" t="s">
        <v>143</v>
      </c>
      <c r="L10" s="56" t="s">
        <v>249</v>
      </c>
      <c r="M10" s="56" t="s">
        <v>143</v>
      </c>
      <c r="N10" s="55" t="s">
        <v>147</v>
      </c>
      <c r="O10" s="56" t="s">
        <v>147</v>
      </c>
      <c r="P10" s="53" t="s">
        <v>249</v>
      </c>
    </row>
    <row r="11" spans="1:16" x14ac:dyDescent="0.25">
      <c r="A11" s="58" t="s">
        <v>53</v>
      </c>
      <c r="B11" s="57">
        <v>301.10000000000002</v>
      </c>
      <c r="C11" s="57">
        <v>5.4749999999999996</v>
      </c>
      <c r="D11" s="57">
        <v>55</v>
      </c>
      <c r="E11" s="57">
        <v>206.08</v>
      </c>
      <c r="F11" s="57">
        <v>12</v>
      </c>
      <c r="G11" s="57">
        <v>13.5</v>
      </c>
      <c r="H11" s="57">
        <v>16</v>
      </c>
      <c r="I11" s="57">
        <v>15</v>
      </c>
      <c r="J11" s="57">
        <v>7</v>
      </c>
      <c r="K11" s="56" t="s">
        <v>143</v>
      </c>
      <c r="L11" s="56" t="s">
        <v>248</v>
      </c>
      <c r="M11" s="56" t="s">
        <v>248</v>
      </c>
      <c r="N11" s="55" t="s">
        <v>151</v>
      </c>
      <c r="O11" s="56" t="s">
        <v>143</v>
      </c>
      <c r="P11" s="53" t="s">
        <v>249</v>
      </c>
    </row>
    <row r="12" spans="1:16" x14ac:dyDescent="0.25">
      <c r="A12" s="58" t="s">
        <v>829</v>
      </c>
      <c r="B12" s="57">
        <v>305.8</v>
      </c>
      <c r="C12" s="57">
        <v>7.2809999999999997</v>
      </c>
      <c r="D12" s="57">
        <v>42</v>
      </c>
      <c r="E12" s="57">
        <v>270.77999999999997</v>
      </c>
      <c r="F12" s="57">
        <v>16</v>
      </c>
      <c r="G12" s="57">
        <v>17</v>
      </c>
      <c r="H12" s="57">
        <v>8</v>
      </c>
      <c r="I12" s="57">
        <v>26</v>
      </c>
      <c r="J12" s="57">
        <v>17</v>
      </c>
      <c r="K12" s="56" t="s">
        <v>143</v>
      </c>
      <c r="L12" s="56" t="s">
        <v>249</v>
      </c>
      <c r="M12" s="56" t="s">
        <v>143</v>
      </c>
      <c r="N12" s="55" t="s">
        <v>143</v>
      </c>
      <c r="O12" s="56" t="s">
        <v>143</v>
      </c>
      <c r="P12" s="53" t="s">
        <v>147</v>
      </c>
    </row>
    <row r="13" spans="1:16" x14ac:dyDescent="0.25">
      <c r="A13" s="58" t="s">
        <v>159</v>
      </c>
      <c r="B13" s="57">
        <v>308</v>
      </c>
      <c r="C13" s="57">
        <v>5.4039999999999999</v>
      </c>
      <c r="D13" s="57">
        <v>57</v>
      </c>
      <c r="E13" s="57">
        <v>206.57</v>
      </c>
      <c r="F13" s="57">
        <v>15</v>
      </c>
      <c r="G13" s="57">
        <v>14</v>
      </c>
      <c r="H13" s="57">
        <v>12</v>
      </c>
      <c r="I13" s="57">
        <v>12</v>
      </c>
      <c r="J13" s="57">
        <v>14</v>
      </c>
      <c r="K13" s="56" t="s">
        <v>143</v>
      </c>
      <c r="L13" s="56" t="s">
        <v>251</v>
      </c>
      <c r="M13" s="56" t="s">
        <v>143</v>
      </c>
      <c r="N13" s="55" t="s">
        <v>143</v>
      </c>
      <c r="O13" s="56" t="s">
        <v>151</v>
      </c>
      <c r="P13" s="53" t="s">
        <v>249</v>
      </c>
    </row>
    <row r="14" spans="1:16" x14ac:dyDescent="0.25">
      <c r="A14" s="58" t="s">
        <v>156</v>
      </c>
      <c r="B14" s="57">
        <v>245.7</v>
      </c>
      <c r="C14" s="57">
        <v>3.0710000000000002</v>
      </c>
      <c r="D14" s="57">
        <v>80</v>
      </c>
      <c r="E14" s="57">
        <v>146.34</v>
      </c>
      <c r="F14" s="57">
        <v>14</v>
      </c>
      <c r="G14" s="57">
        <v>24</v>
      </c>
      <c r="H14" s="57">
        <v>8</v>
      </c>
      <c r="I14" s="57">
        <v>6</v>
      </c>
      <c r="J14" s="57">
        <v>8</v>
      </c>
      <c r="K14" s="56" t="s">
        <v>147</v>
      </c>
      <c r="L14" s="56" t="s">
        <v>251</v>
      </c>
      <c r="M14" s="56" t="s">
        <v>248</v>
      </c>
      <c r="N14" s="55" t="s">
        <v>139</v>
      </c>
      <c r="O14" s="56" t="s">
        <v>147</v>
      </c>
      <c r="P14" s="53" t="s">
        <v>249</v>
      </c>
    </row>
    <row r="15" spans="1:16" x14ac:dyDescent="0.25">
      <c r="A15" s="58" t="s">
        <v>54</v>
      </c>
      <c r="B15" s="57">
        <v>306.60000000000002</v>
      </c>
      <c r="C15" s="57">
        <v>4.258</v>
      </c>
      <c r="D15" s="57">
        <v>72</v>
      </c>
      <c r="E15" s="57">
        <v>185.31</v>
      </c>
      <c r="F15" s="57">
        <v>16</v>
      </c>
      <c r="G15" s="57">
        <v>19.5</v>
      </c>
      <c r="H15" s="57">
        <v>12</v>
      </c>
      <c r="I15" s="57">
        <v>11</v>
      </c>
      <c r="J15" s="57">
        <v>9</v>
      </c>
      <c r="K15" s="56" t="s">
        <v>151</v>
      </c>
      <c r="L15" s="56" t="s">
        <v>254</v>
      </c>
      <c r="M15" s="56" t="s">
        <v>248</v>
      </c>
      <c r="N15" s="55" t="s">
        <v>136</v>
      </c>
      <c r="O15" s="56" t="s">
        <v>151</v>
      </c>
      <c r="P15" s="53" t="s">
        <v>249</v>
      </c>
    </row>
    <row r="16" spans="1:16" x14ac:dyDescent="0.25">
      <c r="A16" s="58" t="s">
        <v>55</v>
      </c>
      <c r="B16" s="57">
        <v>305.2</v>
      </c>
      <c r="C16" s="57">
        <v>4.3600000000000003</v>
      </c>
      <c r="D16" s="57">
        <v>70</v>
      </c>
      <c r="E16" s="57">
        <v>221.29</v>
      </c>
      <c r="F16" s="57">
        <v>13</v>
      </c>
      <c r="G16" s="57">
        <v>22.5</v>
      </c>
      <c r="H16" s="57">
        <v>11</v>
      </c>
      <c r="I16" s="57">
        <v>8</v>
      </c>
      <c r="J16" s="57">
        <v>14</v>
      </c>
      <c r="K16" s="56" t="s">
        <v>143</v>
      </c>
      <c r="L16" s="56" t="s">
        <v>249</v>
      </c>
      <c r="M16" s="56" t="s">
        <v>143</v>
      </c>
      <c r="N16" s="55" t="s">
        <v>143</v>
      </c>
      <c r="O16" s="56" t="s">
        <v>143</v>
      </c>
      <c r="P16" s="53" t="s">
        <v>147</v>
      </c>
    </row>
    <row r="17" spans="1:16" x14ac:dyDescent="0.25">
      <c r="A17" s="58" t="s">
        <v>56</v>
      </c>
      <c r="B17" s="57">
        <v>238.6</v>
      </c>
      <c r="C17" s="57">
        <v>3.02</v>
      </c>
      <c r="D17" s="57">
        <v>79</v>
      </c>
      <c r="E17" s="57">
        <v>183.36</v>
      </c>
      <c r="F17" s="57">
        <v>14</v>
      </c>
      <c r="G17" s="57">
        <v>16.5</v>
      </c>
      <c r="H17" s="57">
        <v>8</v>
      </c>
      <c r="I17" s="57">
        <v>6</v>
      </c>
      <c r="J17" s="57">
        <v>7</v>
      </c>
      <c r="K17" s="56" t="s">
        <v>143</v>
      </c>
      <c r="L17" s="56" t="s">
        <v>249</v>
      </c>
      <c r="M17" s="56" t="s">
        <v>248</v>
      </c>
      <c r="N17" s="55" t="s">
        <v>139</v>
      </c>
      <c r="O17" s="56" t="s">
        <v>151</v>
      </c>
      <c r="P17" s="53" t="s">
        <v>147</v>
      </c>
    </row>
    <row r="18" spans="1:16" x14ac:dyDescent="0.25">
      <c r="A18" s="58" t="s">
        <v>57</v>
      </c>
      <c r="B18" s="57">
        <v>305.39999999999998</v>
      </c>
      <c r="C18" s="57">
        <v>4.5579999999999998</v>
      </c>
      <c r="D18" s="57">
        <v>67</v>
      </c>
      <c r="E18" s="57">
        <v>191.99</v>
      </c>
      <c r="F18" s="57">
        <v>16</v>
      </c>
      <c r="G18" s="57">
        <v>18.5</v>
      </c>
      <c r="H18" s="57">
        <v>13</v>
      </c>
      <c r="I18" s="57">
        <v>11</v>
      </c>
      <c r="J18" s="57">
        <v>8</v>
      </c>
      <c r="K18" s="56" t="s">
        <v>147</v>
      </c>
      <c r="L18" s="56" t="s">
        <v>251</v>
      </c>
      <c r="M18" s="56" t="s">
        <v>143</v>
      </c>
      <c r="N18" s="55" t="s">
        <v>143</v>
      </c>
      <c r="O18" s="56" t="s">
        <v>143</v>
      </c>
      <c r="P18" s="53" t="s">
        <v>249</v>
      </c>
    </row>
    <row r="19" spans="1:16" x14ac:dyDescent="0.25">
      <c r="A19" s="58" t="s">
        <v>834</v>
      </c>
      <c r="B19" s="57">
        <v>308.39999999999998</v>
      </c>
      <c r="C19" s="57">
        <v>4.1680000000000001</v>
      </c>
      <c r="D19" s="57">
        <v>74</v>
      </c>
      <c r="E19" s="57">
        <v>224.81</v>
      </c>
      <c r="F19" s="57">
        <v>15</v>
      </c>
      <c r="G19" s="57">
        <v>13</v>
      </c>
      <c r="H19" s="57">
        <v>8</v>
      </c>
      <c r="I19" s="57">
        <v>15</v>
      </c>
      <c r="J19" s="57">
        <v>7</v>
      </c>
      <c r="K19" s="56" t="s">
        <v>835</v>
      </c>
      <c r="L19" s="56" t="s">
        <v>248</v>
      </c>
      <c r="M19" s="56" t="s">
        <v>143</v>
      </c>
      <c r="N19" s="55" t="s">
        <v>147</v>
      </c>
      <c r="O19" s="56" t="s">
        <v>139</v>
      </c>
      <c r="P19" s="53" t="s">
        <v>139</v>
      </c>
    </row>
    <row r="20" spans="1:16" x14ac:dyDescent="0.25">
      <c r="A20" s="58" t="s">
        <v>58</v>
      </c>
      <c r="B20" s="57">
        <v>306.39999999999998</v>
      </c>
      <c r="C20" s="57">
        <v>4.5730000000000004</v>
      </c>
      <c r="D20" s="57">
        <v>67</v>
      </c>
      <c r="E20" s="57">
        <v>238.22</v>
      </c>
      <c r="F20" s="57">
        <v>12</v>
      </c>
      <c r="G20" s="57">
        <v>16.5</v>
      </c>
      <c r="H20" s="57">
        <v>12</v>
      </c>
      <c r="I20" s="57">
        <v>9</v>
      </c>
      <c r="J20" s="57">
        <v>11</v>
      </c>
      <c r="K20" s="56" t="s">
        <v>143</v>
      </c>
      <c r="L20" s="56" t="s">
        <v>249</v>
      </c>
      <c r="M20" s="56" t="s">
        <v>250</v>
      </c>
      <c r="N20" s="55" t="s">
        <v>151</v>
      </c>
      <c r="O20" s="56" t="s">
        <v>143</v>
      </c>
      <c r="P20" s="53" t="s">
        <v>151</v>
      </c>
    </row>
    <row r="21" spans="1:16" x14ac:dyDescent="0.25">
      <c r="A21" s="58" t="s">
        <v>59</v>
      </c>
      <c r="B21" s="57">
        <v>305.5</v>
      </c>
      <c r="C21" s="57">
        <v>3.968</v>
      </c>
      <c r="D21" s="57">
        <v>77</v>
      </c>
      <c r="E21" s="57">
        <v>190.61</v>
      </c>
      <c r="F21" s="57">
        <v>14</v>
      </c>
      <c r="G21" s="57">
        <v>16.5</v>
      </c>
      <c r="H21" s="57">
        <v>7</v>
      </c>
      <c r="I21" s="57">
        <v>10</v>
      </c>
      <c r="J21" s="57">
        <v>13</v>
      </c>
      <c r="K21" s="56" t="s">
        <v>151</v>
      </c>
      <c r="L21" s="56" t="s">
        <v>254</v>
      </c>
      <c r="M21" s="56" t="s">
        <v>143</v>
      </c>
      <c r="N21" s="55" t="s">
        <v>136</v>
      </c>
      <c r="O21" s="56" t="s">
        <v>136</v>
      </c>
      <c r="P21" s="53" t="s">
        <v>139</v>
      </c>
    </row>
    <row r="22" spans="1:16" x14ac:dyDescent="0.25">
      <c r="A22" s="58" t="s">
        <v>60</v>
      </c>
      <c r="B22" s="57">
        <v>305.60000000000002</v>
      </c>
      <c r="C22" s="57">
        <v>4.9290000000000003</v>
      </c>
      <c r="D22" s="57">
        <v>62</v>
      </c>
      <c r="E22" s="57">
        <v>215.41</v>
      </c>
      <c r="F22" s="57">
        <v>16</v>
      </c>
      <c r="G22" s="57">
        <v>12</v>
      </c>
      <c r="H22" s="57">
        <v>12</v>
      </c>
      <c r="I22" s="57">
        <v>13</v>
      </c>
      <c r="J22" s="57">
        <v>9</v>
      </c>
      <c r="K22" s="56" t="s">
        <v>143</v>
      </c>
      <c r="L22" s="56" t="s">
        <v>248</v>
      </c>
      <c r="M22" s="56" t="s">
        <v>143</v>
      </c>
      <c r="N22" s="55" t="s">
        <v>143</v>
      </c>
      <c r="O22" s="56" t="s">
        <v>143</v>
      </c>
      <c r="P22" s="53" t="s">
        <v>147</v>
      </c>
    </row>
    <row r="23" spans="1:16" x14ac:dyDescent="0.25">
      <c r="A23" s="58" t="s">
        <v>61</v>
      </c>
      <c r="B23" s="57">
        <v>306.60000000000002</v>
      </c>
      <c r="C23" s="57">
        <v>4.2</v>
      </c>
      <c r="D23" s="57">
        <v>73</v>
      </c>
      <c r="E23" s="57">
        <v>208.47</v>
      </c>
      <c r="F23" s="57">
        <v>13</v>
      </c>
      <c r="G23" s="57">
        <v>25.5</v>
      </c>
      <c r="H23" s="57">
        <v>10</v>
      </c>
      <c r="I23" s="57">
        <v>9</v>
      </c>
      <c r="J23" s="57">
        <v>11</v>
      </c>
      <c r="K23" s="56" t="s">
        <v>147</v>
      </c>
      <c r="L23" s="56" t="s">
        <v>251</v>
      </c>
      <c r="M23" s="56" t="s">
        <v>143</v>
      </c>
      <c r="N23" s="55" t="s">
        <v>151</v>
      </c>
      <c r="O23" s="56" t="s">
        <v>143</v>
      </c>
      <c r="P23" s="53" t="s">
        <v>151</v>
      </c>
    </row>
    <row r="24" spans="1:16" x14ac:dyDescent="0.25">
      <c r="A24" s="58" t="s">
        <v>256</v>
      </c>
      <c r="B24" s="57">
        <v>804.4</v>
      </c>
      <c r="C24" s="57">
        <v>4.0220000000000002</v>
      </c>
      <c r="D24" s="57">
        <v>200</v>
      </c>
      <c r="E24" s="57">
        <v>471.65</v>
      </c>
      <c r="F24" s="57">
        <v>4</v>
      </c>
      <c r="G24" s="57">
        <v>45</v>
      </c>
      <c r="H24" s="57">
        <v>17</v>
      </c>
      <c r="I24" s="57">
        <v>9</v>
      </c>
      <c r="J24" s="57">
        <v>2</v>
      </c>
      <c r="K24" s="56" t="s">
        <v>147</v>
      </c>
      <c r="L24" s="56" t="s">
        <v>255</v>
      </c>
      <c r="M24" s="56" t="s">
        <v>250</v>
      </c>
      <c r="N24" s="55" t="s">
        <v>139</v>
      </c>
      <c r="O24" s="56" t="s">
        <v>147</v>
      </c>
      <c r="P24" s="53" t="s">
        <v>147</v>
      </c>
    </row>
    <row r="25" spans="1:16" x14ac:dyDescent="0.25">
      <c r="A25" s="58" t="s">
        <v>62</v>
      </c>
      <c r="B25" s="57">
        <v>305.89999999999998</v>
      </c>
      <c r="C25" s="57">
        <v>4.3079999999999998</v>
      </c>
      <c r="D25" s="57">
        <v>71</v>
      </c>
      <c r="E25" s="57">
        <v>217.49</v>
      </c>
      <c r="F25" s="57">
        <v>14</v>
      </c>
      <c r="G25" s="57">
        <v>18</v>
      </c>
      <c r="H25" s="57">
        <v>12</v>
      </c>
      <c r="I25" s="57">
        <v>9</v>
      </c>
      <c r="J25" s="57">
        <v>10</v>
      </c>
      <c r="K25" s="56" t="s">
        <v>143</v>
      </c>
      <c r="L25" s="56" t="s">
        <v>249</v>
      </c>
      <c r="M25" s="56" t="s">
        <v>250</v>
      </c>
      <c r="N25" s="55" t="s">
        <v>143</v>
      </c>
      <c r="O25" s="56" t="s">
        <v>143</v>
      </c>
      <c r="P25" s="53" t="s">
        <v>151</v>
      </c>
    </row>
    <row r="26" spans="1:16" x14ac:dyDescent="0.25">
      <c r="A26" s="58" t="s">
        <v>125</v>
      </c>
      <c r="B26" s="57">
        <v>293.60000000000002</v>
      </c>
      <c r="C26" s="57">
        <v>3.7160000000000002</v>
      </c>
      <c r="D26" s="57">
        <v>79</v>
      </c>
      <c r="E26" s="57">
        <v>168.61</v>
      </c>
      <c r="F26" s="57">
        <v>12</v>
      </c>
      <c r="G26" s="57">
        <v>14</v>
      </c>
      <c r="H26" s="57">
        <v>8</v>
      </c>
      <c r="I26" s="57">
        <v>12</v>
      </c>
      <c r="J26" s="57">
        <v>7</v>
      </c>
      <c r="K26" s="56" t="s">
        <v>143</v>
      </c>
      <c r="L26" s="56" t="s">
        <v>251</v>
      </c>
      <c r="M26" s="56" t="s">
        <v>143</v>
      </c>
      <c r="N26" s="55" t="s">
        <v>143</v>
      </c>
      <c r="O26" s="56" t="s">
        <v>151</v>
      </c>
      <c r="P26" s="53" t="s">
        <v>151</v>
      </c>
    </row>
    <row r="27" spans="1:16" x14ac:dyDescent="0.25">
      <c r="A27" s="58" t="s">
        <v>63</v>
      </c>
      <c r="B27" s="57">
        <v>309.39999999999998</v>
      </c>
      <c r="C27" s="57">
        <v>5.3339999999999996</v>
      </c>
      <c r="D27" s="57">
        <v>58</v>
      </c>
      <c r="E27" s="57">
        <v>227.29</v>
      </c>
      <c r="F27" s="57">
        <v>14</v>
      </c>
      <c r="G27" s="57">
        <v>16</v>
      </c>
      <c r="H27" s="57">
        <v>13</v>
      </c>
      <c r="I27" s="57">
        <v>10</v>
      </c>
      <c r="J27" s="57">
        <v>14</v>
      </c>
      <c r="K27" s="56" t="s">
        <v>143</v>
      </c>
      <c r="L27" s="56" t="s">
        <v>249</v>
      </c>
      <c r="M27" s="56" t="s">
        <v>143</v>
      </c>
      <c r="N27" s="55" t="s">
        <v>143</v>
      </c>
      <c r="O27" s="56" t="s">
        <v>143</v>
      </c>
      <c r="P27" s="53" t="s">
        <v>151</v>
      </c>
    </row>
    <row r="28" spans="1:16" x14ac:dyDescent="0.25">
      <c r="A28" s="58" t="s">
        <v>870</v>
      </c>
      <c r="B28" s="57">
        <v>308.7</v>
      </c>
      <c r="C28" s="57">
        <v>6.1740000000000004</v>
      </c>
      <c r="D28" s="57">
        <v>50</v>
      </c>
      <c r="E28" s="57"/>
      <c r="F28" s="57">
        <v>27</v>
      </c>
      <c r="G28" s="57">
        <v>21</v>
      </c>
      <c r="H28" s="57">
        <v>20</v>
      </c>
      <c r="I28" s="57">
        <v>12</v>
      </c>
      <c r="J28" s="57">
        <v>11</v>
      </c>
      <c r="K28" s="56" t="s">
        <v>147</v>
      </c>
      <c r="L28" s="56" t="s">
        <v>249</v>
      </c>
      <c r="M28" s="56" t="s">
        <v>143</v>
      </c>
      <c r="N28" s="55" t="s">
        <v>139</v>
      </c>
      <c r="O28" s="56" t="s">
        <v>151</v>
      </c>
      <c r="P28" s="53" t="s">
        <v>249</v>
      </c>
    </row>
    <row r="29" spans="1:16" s="63" customFormat="1" x14ac:dyDescent="0.25">
      <c r="A29" s="58" t="s">
        <v>64</v>
      </c>
      <c r="B29" s="57">
        <v>306.39999999999998</v>
      </c>
      <c r="C29" s="57">
        <v>4.4409999999999998</v>
      </c>
      <c r="D29" s="57">
        <v>69</v>
      </c>
      <c r="E29" s="57">
        <v>199.89</v>
      </c>
      <c r="F29" s="57">
        <v>14</v>
      </c>
      <c r="G29" s="57">
        <v>18</v>
      </c>
      <c r="H29" s="57">
        <v>8</v>
      </c>
      <c r="I29" s="57">
        <v>16</v>
      </c>
      <c r="J29" s="57">
        <v>8</v>
      </c>
      <c r="K29" s="56" t="s">
        <v>143</v>
      </c>
      <c r="L29" s="56" t="s">
        <v>248</v>
      </c>
      <c r="M29" s="56" t="s">
        <v>250</v>
      </c>
      <c r="N29" s="55" t="s">
        <v>151</v>
      </c>
      <c r="O29" s="56" t="s">
        <v>139</v>
      </c>
      <c r="P29" s="53" t="s">
        <v>147</v>
      </c>
    </row>
    <row r="30" spans="1:16" s="63" customFormat="1" x14ac:dyDescent="0.25">
      <c r="A30" s="58" t="s">
        <v>837</v>
      </c>
      <c r="B30" s="57">
        <v>312.8</v>
      </c>
      <c r="C30" s="57">
        <v>2.2999999999999998</v>
      </c>
      <c r="D30" s="57">
        <v>136</v>
      </c>
      <c r="E30" s="57">
        <v>157.76</v>
      </c>
      <c r="F30" s="57">
        <v>20</v>
      </c>
      <c r="G30" s="57">
        <v>19.5</v>
      </c>
      <c r="H30" s="57">
        <v>5</v>
      </c>
      <c r="I30" s="57">
        <v>9</v>
      </c>
      <c r="J30" s="57">
        <v>4</v>
      </c>
      <c r="K30" s="56" t="s">
        <v>151</v>
      </c>
      <c r="L30" s="56" t="s">
        <v>249</v>
      </c>
      <c r="M30" s="56" t="s">
        <v>143</v>
      </c>
      <c r="N30" s="55" t="s">
        <v>147</v>
      </c>
      <c r="O30" s="56" t="s">
        <v>151</v>
      </c>
      <c r="P30" s="53" t="s">
        <v>249</v>
      </c>
    </row>
    <row r="31" spans="1:16" x14ac:dyDescent="0.25">
      <c r="A31" s="65" t="s">
        <v>245</v>
      </c>
      <c r="B31" s="64">
        <v>264.10000000000002</v>
      </c>
      <c r="C31" s="64">
        <v>3.3010000000000002</v>
      </c>
      <c r="D31" s="64">
        <v>80</v>
      </c>
      <c r="E31" s="64">
        <v>123.82</v>
      </c>
      <c r="F31" s="64">
        <v>10</v>
      </c>
      <c r="G31" s="64">
        <v>11</v>
      </c>
      <c r="H31" s="64">
        <v>9</v>
      </c>
      <c r="I31" s="64">
        <v>10</v>
      </c>
      <c r="J31" s="64">
        <v>5</v>
      </c>
      <c r="K31" s="56" t="s">
        <v>143</v>
      </c>
      <c r="L31" s="56" t="s">
        <v>249</v>
      </c>
      <c r="M31" s="56" t="s">
        <v>143</v>
      </c>
      <c r="N31" s="55" t="s">
        <v>143</v>
      </c>
      <c r="O31" s="56" t="s">
        <v>151</v>
      </c>
      <c r="P31" s="53" t="s">
        <v>147</v>
      </c>
    </row>
    <row r="32" spans="1:16" x14ac:dyDescent="0.25">
      <c r="A32" s="58" t="s">
        <v>65</v>
      </c>
      <c r="B32" s="57">
        <v>306.8</v>
      </c>
      <c r="C32" s="57">
        <v>4.2610000000000001</v>
      </c>
      <c r="D32" s="57">
        <v>72</v>
      </c>
      <c r="E32" s="57">
        <v>230.27</v>
      </c>
      <c r="F32" s="57">
        <v>14</v>
      </c>
      <c r="G32" s="57">
        <v>15</v>
      </c>
      <c r="H32" s="57">
        <v>9</v>
      </c>
      <c r="I32" s="57">
        <v>12</v>
      </c>
      <c r="J32" s="57">
        <v>9</v>
      </c>
      <c r="K32" s="56" t="s">
        <v>151</v>
      </c>
      <c r="L32" s="56" t="s">
        <v>248</v>
      </c>
      <c r="M32" s="56" t="s">
        <v>248</v>
      </c>
      <c r="N32" s="55" t="s">
        <v>136</v>
      </c>
      <c r="O32" s="56" t="s">
        <v>143</v>
      </c>
      <c r="P32" s="53" t="s">
        <v>136</v>
      </c>
    </row>
    <row r="33" spans="1:16" x14ac:dyDescent="0.25">
      <c r="A33" s="58" t="s">
        <v>66</v>
      </c>
      <c r="B33" s="57">
        <v>284.5</v>
      </c>
      <c r="C33" s="57">
        <v>3.601</v>
      </c>
      <c r="D33" s="57">
        <v>79</v>
      </c>
      <c r="E33" s="57">
        <v>180.7</v>
      </c>
      <c r="F33" s="57">
        <v>11</v>
      </c>
      <c r="G33" s="57">
        <v>16.7</v>
      </c>
      <c r="H33" s="57">
        <v>11</v>
      </c>
      <c r="I33" s="57">
        <v>8</v>
      </c>
      <c r="J33" s="57">
        <v>7</v>
      </c>
      <c r="K33" s="56" t="s">
        <v>143</v>
      </c>
      <c r="L33" s="56" t="s">
        <v>251</v>
      </c>
      <c r="M33" s="56" t="s">
        <v>250</v>
      </c>
      <c r="N33" s="55" t="s">
        <v>139</v>
      </c>
      <c r="O33" s="56" t="s">
        <v>151</v>
      </c>
      <c r="P33" s="53" t="s">
        <v>136</v>
      </c>
    </row>
    <row r="34" spans="1:16" x14ac:dyDescent="0.25">
      <c r="A34" s="58" t="s">
        <v>879</v>
      </c>
      <c r="B34" s="57">
        <v>305.89999999999998</v>
      </c>
      <c r="C34" s="57">
        <v>6.1180000000000003</v>
      </c>
      <c r="D34" s="57">
        <v>50</v>
      </c>
      <c r="E34" s="57"/>
      <c r="F34" s="57">
        <v>17</v>
      </c>
      <c r="G34" s="57">
        <v>23</v>
      </c>
      <c r="H34" s="57">
        <v>12</v>
      </c>
      <c r="I34" s="57">
        <v>11</v>
      </c>
      <c r="J34" s="57">
        <v>20</v>
      </c>
      <c r="K34" s="56" t="s">
        <v>147</v>
      </c>
      <c r="L34" s="56" t="s">
        <v>251</v>
      </c>
      <c r="M34" s="56" t="s">
        <v>143</v>
      </c>
      <c r="N34" s="55" t="s">
        <v>151</v>
      </c>
      <c r="O34" s="56" t="s">
        <v>143</v>
      </c>
      <c r="P34" s="53" t="s">
        <v>147</v>
      </c>
    </row>
    <row r="35" spans="1:16" x14ac:dyDescent="0.25">
      <c r="A35" s="58" t="s">
        <v>878</v>
      </c>
      <c r="B35" s="57">
        <v>306.7</v>
      </c>
      <c r="C35" s="57">
        <v>5.3810000000000002</v>
      </c>
      <c r="D35" s="57">
        <v>57</v>
      </c>
      <c r="E35" s="57">
        <v>235.94</v>
      </c>
      <c r="F35" s="57">
        <v>16</v>
      </c>
      <c r="G35" s="57">
        <v>24</v>
      </c>
      <c r="H35" s="57">
        <v>13</v>
      </c>
      <c r="I35" s="57">
        <v>16</v>
      </c>
      <c r="J35" s="57">
        <v>9</v>
      </c>
      <c r="K35" s="56" t="s">
        <v>151</v>
      </c>
      <c r="L35" s="56" t="s">
        <v>248</v>
      </c>
      <c r="M35" s="56" t="s">
        <v>250</v>
      </c>
      <c r="N35" s="55" t="s">
        <v>147</v>
      </c>
      <c r="O35" s="56" t="s">
        <v>143</v>
      </c>
      <c r="P35" s="53" t="s">
        <v>151</v>
      </c>
    </row>
    <row r="36" spans="1:16" x14ac:dyDescent="0.25">
      <c r="A36" s="58" t="s">
        <v>67</v>
      </c>
      <c r="B36" s="57">
        <v>305.8</v>
      </c>
      <c r="C36" s="57">
        <v>4.2469999999999999</v>
      </c>
      <c r="D36" s="57">
        <v>72</v>
      </c>
      <c r="E36" s="57">
        <v>208.84</v>
      </c>
      <c r="F36" s="57">
        <v>14</v>
      </c>
      <c r="G36" s="57">
        <v>18</v>
      </c>
      <c r="H36" s="57">
        <v>12</v>
      </c>
      <c r="I36" s="57">
        <v>8</v>
      </c>
      <c r="J36" s="57">
        <v>11</v>
      </c>
      <c r="K36" s="56" t="s">
        <v>143</v>
      </c>
      <c r="L36" s="56" t="s">
        <v>248</v>
      </c>
      <c r="M36" s="56" t="s">
        <v>143</v>
      </c>
      <c r="N36" s="55" t="s">
        <v>143</v>
      </c>
      <c r="O36" s="56" t="s">
        <v>143</v>
      </c>
      <c r="P36" s="53" t="s">
        <v>151</v>
      </c>
    </row>
    <row r="37" spans="1:16" x14ac:dyDescent="0.25">
      <c r="A37" s="58" t="s">
        <v>68</v>
      </c>
      <c r="B37" s="57">
        <v>307.60000000000002</v>
      </c>
      <c r="C37" s="57">
        <v>5.3029999999999999</v>
      </c>
      <c r="D37" s="57">
        <v>58</v>
      </c>
      <c r="E37" s="57">
        <v>220.25</v>
      </c>
      <c r="F37" s="57">
        <v>17</v>
      </c>
      <c r="G37" s="57">
        <v>16.5</v>
      </c>
      <c r="H37" s="57">
        <v>12</v>
      </c>
      <c r="I37" s="57">
        <v>15</v>
      </c>
      <c r="J37" s="57">
        <v>10</v>
      </c>
      <c r="K37" s="56" t="s">
        <v>143</v>
      </c>
      <c r="L37" s="56" t="s">
        <v>248</v>
      </c>
      <c r="M37" s="56" t="s">
        <v>250</v>
      </c>
      <c r="N37" s="55" t="s">
        <v>143</v>
      </c>
      <c r="O37" s="56" t="s">
        <v>143</v>
      </c>
      <c r="P37" s="53" t="s">
        <v>147</v>
      </c>
    </row>
    <row r="38" spans="1:16" x14ac:dyDescent="0.25">
      <c r="A38" s="58" t="s">
        <v>69</v>
      </c>
      <c r="B38" s="57">
        <v>305</v>
      </c>
      <c r="C38" s="57">
        <v>4.42</v>
      </c>
      <c r="D38" s="57">
        <v>69</v>
      </c>
      <c r="E38" s="57">
        <v>224.8</v>
      </c>
      <c r="F38" s="57">
        <v>9</v>
      </c>
      <c r="G38" s="57">
        <v>24</v>
      </c>
      <c r="H38" s="57">
        <v>13</v>
      </c>
      <c r="I38" s="57">
        <v>12</v>
      </c>
      <c r="J38" s="57">
        <v>7</v>
      </c>
      <c r="K38" s="56" t="s">
        <v>143</v>
      </c>
      <c r="L38" s="56" t="s">
        <v>248</v>
      </c>
      <c r="M38" s="56" t="s">
        <v>250</v>
      </c>
      <c r="N38" s="55" t="s">
        <v>147</v>
      </c>
      <c r="O38" s="56" t="s">
        <v>143</v>
      </c>
      <c r="P38" s="53" t="s">
        <v>249</v>
      </c>
    </row>
    <row r="39" spans="1:16" x14ac:dyDescent="0.25">
      <c r="A39" s="58" t="s">
        <v>873</v>
      </c>
      <c r="B39" s="57">
        <v>308.39999999999998</v>
      </c>
      <c r="C39" s="57">
        <v>5.4109999999999996</v>
      </c>
      <c r="D39" s="57">
        <v>57</v>
      </c>
      <c r="E39" s="57"/>
      <c r="F39" s="57">
        <v>19</v>
      </c>
      <c r="G39" s="57">
        <v>17</v>
      </c>
      <c r="H39" s="57">
        <v>14</v>
      </c>
      <c r="I39" s="57">
        <v>13</v>
      </c>
      <c r="J39" s="57">
        <v>11</v>
      </c>
      <c r="K39" s="56" t="s">
        <v>143</v>
      </c>
      <c r="L39" s="56" t="s">
        <v>249</v>
      </c>
      <c r="M39" s="56" t="s">
        <v>248</v>
      </c>
      <c r="N39" s="55" t="s">
        <v>147</v>
      </c>
      <c r="O39" s="56" t="s">
        <v>147</v>
      </c>
      <c r="P39" s="53" t="s">
        <v>151</v>
      </c>
    </row>
    <row r="40" spans="1:16" x14ac:dyDescent="0.25">
      <c r="A40" s="58" t="s">
        <v>70</v>
      </c>
      <c r="B40" s="57">
        <v>262.8</v>
      </c>
      <c r="C40" s="57">
        <v>3.3690000000000002</v>
      </c>
      <c r="D40" s="57">
        <v>78</v>
      </c>
      <c r="E40" s="57">
        <v>154.5</v>
      </c>
      <c r="F40" s="57">
        <v>19</v>
      </c>
      <c r="G40" s="57">
        <v>18</v>
      </c>
      <c r="H40" s="57">
        <v>7</v>
      </c>
      <c r="I40" s="57">
        <v>7</v>
      </c>
      <c r="J40" s="57">
        <v>12</v>
      </c>
      <c r="K40" s="56" t="s">
        <v>151</v>
      </c>
      <c r="L40" s="56" t="s">
        <v>254</v>
      </c>
      <c r="M40" s="56" t="s">
        <v>143</v>
      </c>
      <c r="N40" s="55" t="s">
        <v>147</v>
      </c>
      <c r="O40" s="56" t="s">
        <v>143</v>
      </c>
      <c r="P40" s="53" t="s">
        <v>249</v>
      </c>
    </row>
    <row r="41" spans="1:16" x14ac:dyDescent="0.25">
      <c r="A41" s="58" t="s">
        <v>71</v>
      </c>
      <c r="B41" s="57">
        <v>305</v>
      </c>
      <c r="C41" s="57">
        <v>4.42</v>
      </c>
      <c r="D41" s="57">
        <v>69</v>
      </c>
      <c r="E41" s="57">
        <v>208.55</v>
      </c>
      <c r="F41" s="57">
        <v>12</v>
      </c>
      <c r="G41" s="57">
        <v>16.5</v>
      </c>
      <c r="H41" s="57">
        <v>12</v>
      </c>
      <c r="I41" s="57">
        <v>7</v>
      </c>
      <c r="J41" s="57">
        <v>14</v>
      </c>
      <c r="K41" s="56" t="s">
        <v>143</v>
      </c>
      <c r="L41" s="56" t="s">
        <v>249</v>
      </c>
      <c r="M41" s="56" t="s">
        <v>250</v>
      </c>
      <c r="N41" s="55" t="s">
        <v>143</v>
      </c>
      <c r="O41" s="56" t="s">
        <v>143</v>
      </c>
      <c r="P41" s="53" t="s">
        <v>136</v>
      </c>
    </row>
    <row r="42" spans="1:16" x14ac:dyDescent="0.25">
      <c r="A42" s="58" t="s">
        <v>72</v>
      </c>
      <c r="B42" s="57">
        <v>306.7</v>
      </c>
      <c r="C42" s="57">
        <v>5.7869999999999999</v>
      </c>
      <c r="D42" s="57">
        <v>53</v>
      </c>
      <c r="E42" s="57">
        <v>258.83</v>
      </c>
      <c r="F42" s="57">
        <v>13</v>
      </c>
      <c r="G42" s="57">
        <v>25.5</v>
      </c>
      <c r="H42" s="57">
        <v>17</v>
      </c>
      <c r="I42" s="57">
        <v>12</v>
      </c>
      <c r="J42" s="57">
        <v>9</v>
      </c>
      <c r="K42" s="56" t="s">
        <v>147</v>
      </c>
      <c r="L42" s="56" t="s">
        <v>251</v>
      </c>
      <c r="M42" s="56" t="s">
        <v>143</v>
      </c>
      <c r="N42" s="55" t="s">
        <v>139</v>
      </c>
      <c r="O42" s="56" t="s">
        <v>143</v>
      </c>
      <c r="P42" s="53" t="s">
        <v>136</v>
      </c>
    </row>
    <row r="43" spans="1:16" x14ac:dyDescent="0.25">
      <c r="A43" s="58" t="s">
        <v>73</v>
      </c>
      <c r="B43" s="57">
        <v>304.3</v>
      </c>
      <c r="C43" s="57">
        <v>5.2469999999999999</v>
      </c>
      <c r="D43" s="57">
        <v>58</v>
      </c>
      <c r="E43" s="57">
        <v>246.56</v>
      </c>
      <c r="F43" s="57">
        <v>14</v>
      </c>
      <c r="G43" s="57">
        <v>13.5</v>
      </c>
      <c r="H43" s="57">
        <v>11</v>
      </c>
      <c r="I43" s="57">
        <v>13</v>
      </c>
      <c r="J43" s="57">
        <v>12</v>
      </c>
      <c r="K43" s="56" t="s">
        <v>143</v>
      </c>
      <c r="L43" s="56" t="s">
        <v>248</v>
      </c>
      <c r="M43" s="56" t="s">
        <v>143</v>
      </c>
      <c r="N43" s="55" t="s">
        <v>143</v>
      </c>
      <c r="O43" s="56" t="s">
        <v>143</v>
      </c>
      <c r="P43" s="53" t="s">
        <v>151</v>
      </c>
    </row>
    <row r="44" spans="1:16" x14ac:dyDescent="0.25">
      <c r="A44" s="58" t="s">
        <v>253</v>
      </c>
      <c r="B44" s="61">
        <v>308.2</v>
      </c>
      <c r="C44" s="61">
        <v>5.1369999999999996</v>
      </c>
      <c r="D44" s="61">
        <v>60</v>
      </c>
      <c r="E44" s="61">
        <v>227.27</v>
      </c>
      <c r="F44" s="61">
        <v>16</v>
      </c>
      <c r="G44" s="61">
        <v>19</v>
      </c>
      <c r="H44" s="61">
        <v>11</v>
      </c>
      <c r="I44" s="61">
        <v>15</v>
      </c>
      <c r="J44" s="61">
        <v>10</v>
      </c>
      <c r="K44" s="59" t="s">
        <v>143</v>
      </c>
      <c r="L44" s="59" t="s">
        <v>249</v>
      </c>
      <c r="M44" s="59" t="s">
        <v>250</v>
      </c>
      <c r="N44" s="60" t="s">
        <v>143</v>
      </c>
      <c r="O44" s="59" t="s">
        <v>139</v>
      </c>
      <c r="P44" s="53" t="s">
        <v>136</v>
      </c>
    </row>
    <row r="45" spans="1:16" x14ac:dyDescent="0.25">
      <c r="A45" s="58" t="s">
        <v>74</v>
      </c>
      <c r="B45" s="57">
        <v>308.7</v>
      </c>
      <c r="C45" s="57">
        <v>5.1449999999999996</v>
      </c>
      <c r="D45" s="57">
        <v>60</v>
      </c>
      <c r="E45" s="57">
        <v>224.22</v>
      </c>
      <c r="F45" s="57">
        <v>16</v>
      </c>
      <c r="G45" s="57">
        <v>15</v>
      </c>
      <c r="H45" s="57">
        <v>12</v>
      </c>
      <c r="I45" s="57">
        <v>12</v>
      </c>
      <c r="J45" s="57">
        <v>13</v>
      </c>
      <c r="K45" s="56" t="s">
        <v>143</v>
      </c>
      <c r="L45" s="56" t="s">
        <v>249</v>
      </c>
      <c r="M45" s="56" t="s">
        <v>250</v>
      </c>
      <c r="N45" s="55" t="s">
        <v>136</v>
      </c>
      <c r="O45" s="56" t="s">
        <v>147</v>
      </c>
      <c r="P45" s="53" t="s">
        <v>249</v>
      </c>
    </row>
    <row r="46" spans="1:16" x14ac:dyDescent="0.25">
      <c r="A46" s="58" t="s">
        <v>75</v>
      </c>
      <c r="B46" s="57">
        <v>308.89999999999998</v>
      </c>
      <c r="C46" s="57">
        <v>5.94</v>
      </c>
      <c r="D46" s="57">
        <v>52</v>
      </c>
      <c r="E46" s="57">
        <v>269.24</v>
      </c>
      <c r="F46" s="57">
        <v>11</v>
      </c>
      <c r="G46" s="57">
        <v>21</v>
      </c>
      <c r="H46" s="57">
        <v>19</v>
      </c>
      <c r="I46" s="57">
        <v>14</v>
      </c>
      <c r="J46" s="57">
        <v>9</v>
      </c>
      <c r="K46" s="56" t="s">
        <v>143</v>
      </c>
      <c r="L46" s="56" t="s">
        <v>251</v>
      </c>
      <c r="M46" s="56" t="s">
        <v>143</v>
      </c>
      <c r="N46" s="55" t="s">
        <v>151</v>
      </c>
      <c r="O46" s="56" t="s">
        <v>143</v>
      </c>
      <c r="P46" s="53" t="s">
        <v>147</v>
      </c>
    </row>
    <row r="47" spans="1:16" x14ac:dyDescent="0.25">
      <c r="A47" s="58" t="s">
        <v>76</v>
      </c>
      <c r="B47" s="57">
        <v>305</v>
      </c>
      <c r="C47" s="57">
        <v>3.8610000000000002</v>
      </c>
      <c r="D47" s="57">
        <v>79</v>
      </c>
      <c r="E47" s="57">
        <v>225.75</v>
      </c>
      <c r="F47" s="57">
        <v>11</v>
      </c>
      <c r="G47" s="57">
        <v>19.5</v>
      </c>
      <c r="H47" s="57">
        <v>9</v>
      </c>
      <c r="I47" s="57">
        <v>11</v>
      </c>
      <c r="J47" s="57">
        <v>8</v>
      </c>
      <c r="K47" s="56" t="s">
        <v>143</v>
      </c>
      <c r="L47" s="56" t="s">
        <v>251</v>
      </c>
      <c r="M47" s="56" t="s">
        <v>143</v>
      </c>
      <c r="N47" s="55" t="s">
        <v>151</v>
      </c>
      <c r="O47" s="56" t="s">
        <v>139</v>
      </c>
      <c r="P47" s="53" t="s">
        <v>139</v>
      </c>
    </row>
    <row r="48" spans="1:16" x14ac:dyDescent="0.25">
      <c r="A48" s="62" t="s">
        <v>252</v>
      </c>
      <c r="B48" s="61">
        <v>309.7</v>
      </c>
      <c r="C48" s="61">
        <v>4.6920000000000002</v>
      </c>
      <c r="D48" s="61">
        <v>66</v>
      </c>
      <c r="E48" s="61">
        <v>198.24</v>
      </c>
      <c r="F48" s="61">
        <v>18</v>
      </c>
      <c r="G48" s="61">
        <v>15.5</v>
      </c>
      <c r="H48" s="61">
        <v>9</v>
      </c>
      <c r="I48" s="61">
        <v>14</v>
      </c>
      <c r="J48" s="61">
        <v>11</v>
      </c>
      <c r="K48" s="59" t="s">
        <v>151</v>
      </c>
      <c r="L48" s="59" t="s">
        <v>251</v>
      </c>
      <c r="M48" s="59" t="s">
        <v>250</v>
      </c>
      <c r="N48" s="60" t="s">
        <v>143</v>
      </c>
      <c r="O48" s="59" t="s">
        <v>151</v>
      </c>
      <c r="P48" s="53" t="s">
        <v>147</v>
      </c>
    </row>
    <row r="49" spans="1:16" x14ac:dyDescent="0.25">
      <c r="A49" s="58" t="s">
        <v>89</v>
      </c>
      <c r="B49" s="57">
        <v>306.2</v>
      </c>
      <c r="C49" s="57">
        <v>4.0830000000000002</v>
      </c>
      <c r="D49" s="57">
        <v>75</v>
      </c>
      <c r="E49" s="57">
        <v>214.34</v>
      </c>
      <c r="F49" s="57">
        <v>14</v>
      </c>
      <c r="G49" s="57">
        <v>14</v>
      </c>
      <c r="H49" s="57">
        <v>7</v>
      </c>
      <c r="I49" s="57">
        <v>14</v>
      </c>
      <c r="J49" s="57">
        <v>8</v>
      </c>
      <c r="K49" s="56" t="s">
        <v>143</v>
      </c>
      <c r="L49" s="56" t="s">
        <v>248</v>
      </c>
      <c r="M49" s="56" t="s">
        <v>143</v>
      </c>
      <c r="N49" s="55" t="s">
        <v>147</v>
      </c>
      <c r="O49" s="56" t="s">
        <v>143</v>
      </c>
      <c r="P49" s="53" t="s">
        <v>249</v>
      </c>
    </row>
    <row r="50" spans="1:16" x14ac:dyDescent="0.25">
      <c r="A50" s="58" t="s">
        <v>848</v>
      </c>
      <c r="B50" s="57">
        <v>317.3</v>
      </c>
      <c r="C50" s="57">
        <v>4.7359999999999998</v>
      </c>
      <c r="D50" s="57">
        <v>67</v>
      </c>
      <c r="E50" s="57">
        <v>341.7</v>
      </c>
      <c r="F50" s="57">
        <v>8</v>
      </c>
      <c r="G50" s="57">
        <v>10</v>
      </c>
      <c r="H50" s="57">
        <v>18</v>
      </c>
      <c r="I50" s="57">
        <v>10</v>
      </c>
      <c r="J50" s="57">
        <v>6</v>
      </c>
      <c r="K50" s="56" t="s">
        <v>147</v>
      </c>
      <c r="L50" s="56" t="s">
        <v>255</v>
      </c>
      <c r="M50" s="56" t="s">
        <v>143</v>
      </c>
      <c r="N50" s="55" t="s">
        <v>139</v>
      </c>
      <c r="O50" s="56" t="s">
        <v>151</v>
      </c>
      <c r="P50" s="53" t="s">
        <v>249</v>
      </c>
    </row>
    <row r="51" spans="1:16" x14ac:dyDescent="0.25">
      <c r="A51" s="58" t="s">
        <v>77</v>
      </c>
      <c r="B51" s="57">
        <v>308.5</v>
      </c>
      <c r="C51" s="57">
        <v>5.4119999999999999</v>
      </c>
      <c r="D51" s="57">
        <v>57</v>
      </c>
      <c r="E51" s="57">
        <v>237.09</v>
      </c>
      <c r="F51" s="57">
        <v>14</v>
      </c>
      <c r="G51" s="57">
        <v>25.5</v>
      </c>
      <c r="H51" s="57">
        <v>16</v>
      </c>
      <c r="I51" s="57">
        <v>11</v>
      </c>
      <c r="J51" s="57">
        <v>9</v>
      </c>
      <c r="K51" s="56" t="s">
        <v>147</v>
      </c>
      <c r="L51" s="56" t="s">
        <v>249</v>
      </c>
      <c r="M51" s="56" t="s">
        <v>250</v>
      </c>
      <c r="N51" s="55" t="s">
        <v>139</v>
      </c>
      <c r="O51" s="56" t="s">
        <v>143</v>
      </c>
      <c r="P51" s="53" t="s">
        <v>139</v>
      </c>
    </row>
    <row r="52" spans="1:16" x14ac:dyDescent="0.25">
      <c r="A52" s="58" t="s">
        <v>78</v>
      </c>
      <c r="B52" s="57">
        <v>310.39999999999998</v>
      </c>
      <c r="C52" s="57">
        <v>5.6440000000000001</v>
      </c>
      <c r="D52" s="57">
        <v>55</v>
      </c>
      <c r="E52" s="57">
        <v>217.17</v>
      </c>
      <c r="F52" s="57">
        <v>17</v>
      </c>
      <c r="G52" s="57">
        <v>24</v>
      </c>
      <c r="H52" s="57">
        <v>14</v>
      </c>
      <c r="I52" s="57">
        <v>11</v>
      </c>
      <c r="J52" s="57">
        <v>14</v>
      </c>
      <c r="K52" s="56" t="s">
        <v>143</v>
      </c>
      <c r="L52" s="56" t="s">
        <v>249</v>
      </c>
      <c r="M52" s="56" t="s">
        <v>143</v>
      </c>
      <c r="N52" s="55" t="s">
        <v>143</v>
      </c>
      <c r="O52" s="56" t="s">
        <v>143</v>
      </c>
      <c r="P52" s="53" t="s">
        <v>139</v>
      </c>
    </row>
    <row r="53" spans="1:16" x14ac:dyDescent="0.25">
      <c r="A53" s="58" t="s">
        <v>844</v>
      </c>
      <c r="B53" s="57">
        <v>254.9</v>
      </c>
      <c r="C53" s="57">
        <v>3.1859999999999999</v>
      </c>
      <c r="D53" s="57">
        <v>80</v>
      </c>
      <c r="E53" s="57">
        <v>203.51</v>
      </c>
      <c r="F53" s="57">
        <v>16</v>
      </c>
      <c r="G53" s="57">
        <v>12</v>
      </c>
      <c r="H53" s="57">
        <v>5</v>
      </c>
      <c r="I53" s="57">
        <v>10</v>
      </c>
      <c r="J53" s="57">
        <v>9</v>
      </c>
      <c r="K53" s="56" t="s">
        <v>151</v>
      </c>
      <c r="L53" s="56" t="s">
        <v>248</v>
      </c>
      <c r="M53" s="56" t="s">
        <v>143</v>
      </c>
      <c r="N53" s="55" t="s">
        <v>143</v>
      </c>
      <c r="O53" s="56" t="s">
        <v>143</v>
      </c>
      <c r="P53" s="53" t="s">
        <v>249</v>
      </c>
    </row>
    <row r="54" spans="1:16" x14ac:dyDescent="0.25">
      <c r="A54" s="58" t="s">
        <v>79</v>
      </c>
      <c r="B54" s="57">
        <v>305.2</v>
      </c>
      <c r="C54" s="57">
        <v>5.45</v>
      </c>
      <c r="D54" s="57">
        <v>56</v>
      </c>
      <c r="E54" s="57">
        <v>217.18</v>
      </c>
      <c r="F54" s="57">
        <v>10</v>
      </c>
      <c r="G54" s="57">
        <v>24</v>
      </c>
      <c r="H54" s="57">
        <v>9</v>
      </c>
      <c r="I54" s="57">
        <v>16</v>
      </c>
      <c r="J54" s="57">
        <v>15</v>
      </c>
      <c r="K54" s="56" t="s">
        <v>143</v>
      </c>
      <c r="L54" s="56" t="s">
        <v>249</v>
      </c>
      <c r="M54" s="56" t="s">
        <v>250</v>
      </c>
      <c r="N54" s="55" t="s">
        <v>139</v>
      </c>
      <c r="O54" s="56" t="s">
        <v>143</v>
      </c>
      <c r="P54" s="53" t="s">
        <v>151</v>
      </c>
    </row>
    <row r="55" spans="1:16" x14ac:dyDescent="0.25">
      <c r="A55" s="58" t="s">
        <v>80</v>
      </c>
      <c r="B55" s="57">
        <v>308.3</v>
      </c>
      <c r="C55" s="57">
        <v>5.1379999999999999</v>
      </c>
      <c r="D55" s="57">
        <v>60</v>
      </c>
      <c r="E55" s="57">
        <v>225.46</v>
      </c>
      <c r="F55" s="57">
        <v>14</v>
      </c>
      <c r="G55" s="57">
        <v>22.5</v>
      </c>
      <c r="H55" s="57">
        <v>11</v>
      </c>
      <c r="I55" s="57">
        <v>11</v>
      </c>
      <c r="J55" s="57">
        <v>16</v>
      </c>
      <c r="K55" s="56" t="s">
        <v>147</v>
      </c>
      <c r="L55" s="56" t="s">
        <v>249</v>
      </c>
      <c r="M55" s="56" t="s">
        <v>143</v>
      </c>
      <c r="N55" s="55" t="s">
        <v>151</v>
      </c>
      <c r="O55" s="56" t="s">
        <v>147</v>
      </c>
      <c r="P55" s="53" t="s">
        <v>249</v>
      </c>
    </row>
    <row r="56" spans="1:16" x14ac:dyDescent="0.25">
      <c r="A56" s="58" t="s">
        <v>81</v>
      </c>
      <c r="B56" s="57">
        <v>309.10000000000002</v>
      </c>
      <c r="C56" s="57">
        <v>5.0670000000000002</v>
      </c>
      <c r="D56" s="57">
        <v>61</v>
      </c>
      <c r="E56" s="57">
        <v>214.05</v>
      </c>
      <c r="F56" s="57">
        <v>23</v>
      </c>
      <c r="G56" s="57">
        <v>17</v>
      </c>
      <c r="H56" s="57">
        <v>7</v>
      </c>
      <c r="I56" s="57">
        <v>11</v>
      </c>
      <c r="J56" s="57">
        <v>17</v>
      </c>
      <c r="K56" s="56" t="s">
        <v>151</v>
      </c>
      <c r="L56" s="56" t="s">
        <v>248</v>
      </c>
      <c r="M56" s="56" t="s">
        <v>248</v>
      </c>
      <c r="N56" s="55" t="s">
        <v>143</v>
      </c>
      <c r="O56" s="56" t="s">
        <v>151</v>
      </c>
      <c r="P56" s="53" t="s">
        <v>147</v>
      </c>
    </row>
    <row r="57" spans="1:16" x14ac:dyDescent="0.25">
      <c r="A57" s="58" t="s">
        <v>847</v>
      </c>
      <c r="B57" s="57">
        <v>313.89999999999998</v>
      </c>
      <c r="C57" s="57">
        <v>5.923</v>
      </c>
      <c r="D57" s="57">
        <v>53</v>
      </c>
      <c r="E57" s="57">
        <v>226.89</v>
      </c>
      <c r="F57" s="57">
        <v>14</v>
      </c>
      <c r="G57" s="57">
        <v>19.5</v>
      </c>
      <c r="H57" s="57">
        <v>17</v>
      </c>
      <c r="I57" s="57">
        <v>10</v>
      </c>
      <c r="J57" s="57">
        <v>15</v>
      </c>
      <c r="K57" s="56" t="s">
        <v>143</v>
      </c>
      <c r="L57" s="56" t="s">
        <v>248</v>
      </c>
      <c r="M57" s="56" t="s">
        <v>143</v>
      </c>
      <c r="N57" s="55" t="s">
        <v>151</v>
      </c>
      <c r="O57" s="56" t="s">
        <v>151</v>
      </c>
      <c r="P57" s="53" t="s">
        <v>151</v>
      </c>
    </row>
    <row r="58" spans="1:16" x14ac:dyDescent="0.25">
      <c r="A58" s="58" t="s">
        <v>839</v>
      </c>
      <c r="B58" s="57">
        <v>310.10000000000002</v>
      </c>
      <c r="C58" s="57">
        <v>5.851</v>
      </c>
      <c r="D58" s="57">
        <v>53</v>
      </c>
      <c r="E58" s="57">
        <v>209.11</v>
      </c>
      <c r="F58" s="57">
        <v>19</v>
      </c>
      <c r="G58" s="57">
        <v>23</v>
      </c>
      <c r="H58" s="57">
        <v>8</v>
      </c>
      <c r="I58" s="57">
        <v>15</v>
      </c>
      <c r="J58" s="57">
        <v>18</v>
      </c>
      <c r="K58" s="56" t="s">
        <v>143</v>
      </c>
      <c r="L58" s="56" t="s">
        <v>248</v>
      </c>
      <c r="M58" s="56" t="s">
        <v>143</v>
      </c>
      <c r="N58" s="55" t="s">
        <v>147</v>
      </c>
      <c r="O58" s="56" t="s">
        <v>151</v>
      </c>
      <c r="P58" s="53" t="s">
        <v>249</v>
      </c>
    </row>
    <row r="59" spans="1:16" x14ac:dyDescent="0.25">
      <c r="A59" s="58" t="s">
        <v>82</v>
      </c>
      <c r="B59" s="57">
        <v>306.60000000000002</v>
      </c>
      <c r="C59" s="57">
        <v>6.968</v>
      </c>
      <c r="D59" s="57">
        <v>44</v>
      </c>
      <c r="E59" s="57">
        <v>239</v>
      </c>
      <c r="F59" s="57">
        <v>22</v>
      </c>
      <c r="G59" s="57">
        <v>13.5</v>
      </c>
      <c r="H59" s="57">
        <v>18</v>
      </c>
      <c r="I59" s="57">
        <v>16</v>
      </c>
      <c r="J59" s="57">
        <v>13</v>
      </c>
      <c r="K59" s="56" t="s">
        <v>143</v>
      </c>
      <c r="L59" s="56" t="s">
        <v>249</v>
      </c>
      <c r="M59" s="56" t="s">
        <v>143</v>
      </c>
      <c r="N59" s="55" t="s">
        <v>151</v>
      </c>
      <c r="O59" s="56" t="s">
        <v>143</v>
      </c>
      <c r="P59" s="53" t="s">
        <v>249</v>
      </c>
    </row>
    <row r="60" spans="1:16" x14ac:dyDescent="0.25">
      <c r="A60" s="58" t="s">
        <v>83</v>
      </c>
      <c r="B60" s="57">
        <v>310.60000000000002</v>
      </c>
      <c r="C60" s="57">
        <v>5.86</v>
      </c>
      <c r="D60" s="57">
        <v>53</v>
      </c>
      <c r="E60" s="57">
        <v>233.28</v>
      </c>
      <c r="F60" s="57">
        <v>14</v>
      </c>
      <c r="G60" s="57">
        <v>15</v>
      </c>
      <c r="H60" s="57">
        <v>11</v>
      </c>
      <c r="I60" s="57">
        <v>18</v>
      </c>
      <c r="J60" s="57">
        <v>13</v>
      </c>
      <c r="K60" s="56" t="s">
        <v>143</v>
      </c>
      <c r="L60" s="56" t="s">
        <v>248</v>
      </c>
      <c r="M60" s="56" t="s">
        <v>143</v>
      </c>
      <c r="N60" s="55" t="s">
        <v>143</v>
      </c>
      <c r="O60" s="56" t="s">
        <v>143</v>
      </c>
      <c r="P60" s="53" t="s">
        <v>139</v>
      </c>
    </row>
    <row r="61" spans="1:16" x14ac:dyDescent="0.25">
      <c r="A61" s="58" t="s">
        <v>84</v>
      </c>
      <c r="B61" s="57">
        <v>310.10000000000002</v>
      </c>
      <c r="C61" s="57">
        <v>5.44</v>
      </c>
      <c r="D61" s="57">
        <v>57</v>
      </c>
      <c r="E61" s="57">
        <v>214.41</v>
      </c>
      <c r="F61" s="57">
        <v>25</v>
      </c>
      <c r="G61" s="57">
        <v>14.5</v>
      </c>
      <c r="H61" s="57">
        <v>11</v>
      </c>
      <c r="I61" s="57">
        <v>12</v>
      </c>
      <c r="J61" s="57">
        <v>16</v>
      </c>
      <c r="K61" s="56" t="s">
        <v>151</v>
      </c>
      <c r="L61" s="56" t="s">
        <v>248</v>
      </c>
      <c r="M61" s="56" t="s">
        <v>143</v>
      </c>
      <c r="N61" s="55" t="s">
        <v>143</v>
      </c>
      <c r="O61" s="56" t="s">
        <v>143</v>
      </c>
      <c r="P61" s="53" t="s">
        <v>147</v>
      </c>
    </row>
    <row r="62" spans="1:16" x14ac:dyDescent="0.25">
      <c r="A62" s="58" t="s">
        <v>88</v>
      </c>
      <c r="B62" s="57">
        <v>305.5</v>
      </c>
      <c r="C62" s="57">
        <v>5.5549999999999997</v>
      </c>
      <c r="D62" s="57">
        <v>55</v>
      </c>
      <c r="E62" s="57">
        <v>214.4</v>
      </c>
      <c r="F62" s="57">
        <v>21</v>
      </c>
      <c r="G62" s="57">
        <v>18.5</v>
      </c>
      <c r="H62" s="57">
        <v>12</v>
      </c>
      <c r="I62" s="57">
        <v>10</v>
      </c>
      <c r="J62" s="57">
        <v>17</v>
      </c>
      <c r="K62" s="56" t="s">
        <v>143</v>
      </c>
      <c r="L62" s="56" t="s">
        <v>248</v>
      </c>
      <c r="M62" s="56" t="s">
        <v>143</v>
      </c>
      <c r="N62" s="55" t="s">
        <v>147</v>
      </c>
      <c r="O62" s="56" t="s">
        <v>143</v>
      </c>
      <c r="P62" s="53" t="s">
        <v>151</v>
      </c>
    </row>
    <row r="63" spans="1:16" x14ac:dyDescent="0.25">
      <c r="A63" s="58" t="s">
        <v>87</v>
      </c>
      <c r="B63" s="57">
        <v>309.2</v>
      </c>
      <c r="C63" s="57">
        <v>5.6219999999999999</v>
      </c>
      <c r="D63" s="57">
        <v>55</v>
      </c>
      <c r="E63" s="57">
        <v>213.67</v>
      </c>
      <c r="F63" s="57">
        <v>18</v>
      </c>
      <c r="G63" s="57">
        <v>23.5</v>
      </c>
      <c r="H63" s="57">
        <v>11</v>
      </c>
      <c r="I63" s="57">
        <v>15</v>
      </c>
      <c r="J63" s="57">
        <v>13</v>
      </c>
      <c r="K63" s="56" t="s">
        <v>151</v>
      </c>
      <c r="L63" s="56" t="s">
        <v>249</v>
      </c>
      <c r="M63" s="56" t="s">
        <v>143</v>
      </c>
      <c r="N63" s="55" t="s">
        <v>143</v>
      </c>
      <c r="O63" s="56" t="s">
        <v>151</v>
      </c>
      <c r="P63" s="53" t="s">
        <v>249</v>
      </c>
    </row>
    <row r="64" spans="1:16" x14ac:dyDescent="0.25">
      <c r="A64" s="58" t="s">
        <v>85</v>
      </c>
      <c r="B64" s="57">
        <v>301.8</v>
      </c>
      <c r="C64" s="57">
        <v>4.2510000000000003</v>
      </c>
      <c r="D64" s="57">
        <v>71</v>
      </c>
      <c r="E64" s="57">
        <v>230.5</v>
      </c>
      <c r="F64" s="57">
        <v>14</v>
      </c>
      <c r="G64" s="57">
        <v>22.5</v>
      </c>
      <c r="H64" s="57">
        <v>9</v>
      </c>
      <c r="I64" s="57">
        <v>13</v>
      </c>
      <c r="J64" s="57">
        <v>9</v>
      </c>
      <c r="K64" s="56" t="s">
        <v>143</v>
      </c>
      <c r="L64" s="56" t="s">
        <v>249</v>
      </c>
      <c r="M64" s="56" t="s">
        <v>248</v>
      </c>
      <c r="N64" s="55" t="s">
        <v>147</v>
      </c>
      <c r="O64" s="54" t="s">
        <v>143</v>
      </c>
      <c r="P64" s="53" t="s">
        <v>151</v>
      </c>
    </row>
    <row r="65" spans="1:16" ht="15.75" thickBot="1" x14ac:dyDescent="0.3">
      <c r="A65" s="52" t="s">
        <v>86</v>
      </c>
      <c r="B65" s="51">
        <v>298.3</v>
      </c>
      <c r="C65" s="51">
        <v>4.2610000000000001</v>
      </c>
      <c r="D65" s="51">
        <v>70</v>
      </c>
      <c r="E65" s="51">
        <v>227.91</v>
      </c>
      <c r="F65" s="51">
        <v>17</v>
      </c>
      <c r="G65" s="51">
        <v>19.5</v>
      </c>
      <c r="H65" s="51">
        <v>11</v>
      </c>
      <c r="I65" s="51">
        <v>9</v>
      </c>
      <c r="J65" s="51">
        <v>10</v>
      </c>
      <c r="K65" s="49" t="s">
        <v>143</v>
      </c>
      <c r="L65" s="49" t="s">
        <v>248</v>
      </c>
      <c r="M65" s="49" t="s">
        <v>143</v>
      </c>
      <c r="N65" s="50" t="s">
        <v>147</v>
      </c>
      <c r="O65" s="49" t="s">
        <v>143</v>
      </c>
      <c r="P65" s="48" t="s">
        <v>147</v>
      </c>
    </row>
  </sheetData>
  <sheetProtection selectLockedCells="1"/>
  <customSheetViews>
    <customSheetView guid="{58F65609-3622-42C4-9926-1A56B88F9C36}" state="hidden">
      <selection activeCell="E14" sqref="E14"/>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Y230"/>
  <sheetViews>
    <sheetView topLeftCell="A144" workbookViewId="0">
      <selection activeCell="B163" sqref="B163"/>
    </sheetView>
  </sheetViews>
  <sheetFormatPr defaultColWidth="9.42578125" defaultRowHeight="15" x14ac:dyDescent="0.25"/>
  <cols>
    <col min="1" max="1" width="23.28515625" style="10" customWidth="1"/>
    <col min="2" max="2" width="17.7109375" style="10" customWidth="1"/>
    <col min="3" max="3" width="20.140625" style="10" customWidth="1"/>
    <col min="4" max="4" width="17.7109375" style="10" customWidth="1"/>
    <col min="5" max="5" width="12.28515625" style="10" customWidth="1"/>
    <col min="6" max="6" width="18.7109375" style="10" customWidth="1"/>
    <col min="7" max="7" width="11.42578125" style="10" customWidth="1"/>
    <col min="8" max="8" width="14.7109375" style="10" customWidth="1"/>
    <col min="9" max="12" width="9.42578125" style="11"/>
    <col min="13" max="13" width="11" style="10" customWidth="1"/>
    <col min="14" max="14" width="10.140625" style="10" customWidth="1"/>
    <col min="15" max="15" width="10.7109375" style="10" customWidth="1"/>
    <col min="16" max="16" width="11.140625" style="10" customWidth="1"/>
    <col min="17" max="17" width="11.42578125" style="10" customWidth="1"/>
    <col min="18" max="18" width="9.5703125" style="10" customWidth="1"/>
    <col min="19" max="19" width="9.85546875" style="10" customWidth="1"/>
    <col min="20" max="20" width="9" style="10" customWidth="1"/>
    <col min="21" max="16384" width="9.42578125" style="10"/>
  </cols>
  <sheetData>
    <row r="1" spans="1:25" x14ac:dyDescent="0.25">
      <c r="A1" s="10" t="s">
        <v>184</v>
      </c>
      <c r="B1" s="10" t="s">
        <v>183</v>
      </c>
      <c r="C1" s="10" t="s">
        <v>182</v>
      </c>
      <c r="D1" s="10" t="s">
        <v>181</v>
      </c>
      <c r="E1" s="10" t="s">
        <v>131</v>
      </c>
      <c r="F1" s="10" t="s">
        <v>180</v>
      </c>
      <c r="G1" s="10" t="s">
        <v>179</v>
      </c>
      <c r="H1" s="10" t="s">
        <v>178</v>
      </c>
      <c r="J1" s="11" t="s">
        <v>140</v>
      </c>
      <c r="K1" s="11">
        <v>1</v>
      </c>
      <c r="L1" s="11" t="s">
        <v>177</v>
      </c>
      <c r="M1" s="11">
        <v>1</v>
      </c>
      <c r="N1" s="10" t="s">
        <v>176</v>
      </c>
      <c r="O1" s="10">
        <f>VLOOKUP('Race Strategy'!B2,TyreData!L1:M2,2,FALSE())</f>
        <v>1</v>
      </c>
      <c r="Q1" s="10">
        <v>1</v>
      </c>
    </row>
    <row r="2" spans="1:25" x14ac:dyDescent="0.25">
      <c r="J2" s="11" t="s">
        <v>144</v>
      </c>
      <c r="K2" s="11">
        <v>2</v>
      </c>
      <c r="L2" s="11" t="s">
        <v>174</v>
      </c>
      <c r="M2" s="11">
        <v>0.85</v>
      </c>
      <c r="Q2" s="10">
        <v>2</v>
      </c>
    </row>
    <row r="3" spans="1:25" x14ac:dyDescent="0.25">
      <c r="A3" s="22" t="s">
        <v>175</v>
      </c>
      <c r="B3" s="10">
        <v>5</v>
      </c>
      <c r="C3" s="10">
        <v>8</v>
      </c>
      <c r="D3" s="10">
        <v>18</v>
      </c>
      <c r="E3" s="10">
        <v>7</v>
      </c>
      <c r="F3" s="10">
        <v>6</v>
      </c>
      <c r="G3" s="656">
        <v>3599999</v>
      </c>
      <c r="H3" s="10">
        <v>0.15</v>
      </c>
      <c r="J3" s="11" t="s">
        <v>148</v>
      </c>
      <c r="K3" s="11">
        <v>3</v>
      </c>
      <c r="Q3" s="10">
        <v>3</v>
      </c>
    </row>
    <row r="4" spans="1:25" x14ac:dyDescent="0.25">
      <c r="A4" s="10" t="s">
        <v>856</v>
      </c>
      <c r="B4" s="10">
        <v>2</v>
      </c>
      <c r="C4" s="10">
        <v>5</v>
      </c>
      <c r="D4" s="10">
        <v>14</v>
      </c>
      <c r="E4" s="10">
        <v>8</v>
      </c>
      <c r="F4" s="10">
        <v>3</v>
      </c>
      <c r="G4" s="656">
        <v>1000000</v>
      </c>
      <c r="J4" s="11" t="s">
        <v>152</v>
      </c>
      <c r="K4" s="11">
        <v>4</v>
      </c>
      <c r="Q4" s="10">
        <v>4</v>
      </c>
    </row>
    <row r="5" spans="1:25" x14ac:dyDescent="0.25">
      <c r="A5" s="22" t="s">
        <v>173</v>
      </c>
      <c r="B5" s="10">
        <v>8</v>
      </c>
      <c r="C5" s="10">
        <v>5</v>
      </c>
      <c r="D5" s="10">
        <v>32</v>
      </c>
      <c r="E5" s="10">
        <v>8</v>
      </c>
      <c r="F5" s="10">
        <v>6</v>
      </c>
      <c r="G5" s="656">
        <v>8500000</v>
      </c>
      <c r="H5" s="10">
        <v>0.14000000000000001</v>
      </c>
      <c r="J5" s="11" t="s">
        <v>160</v>
      </c>
      <c r="K5" s="11">
        <v>5</v>
      </c>
      <c r="Q5" s="10">
        <v>5</v>
      </c>
    </row>
    <row r="6" spans="1:25" x14ac:dyDescent="0.25">
      <c r="A6" s="22" t="s">
        <v>172</v>
      </c>
      <c r="B6" s="10">
        <v>5</v>
      </c>
      <c r="C6" s="10">
        <v>3</v>
      </c>
      <c r="D6" s="10">
        <v>21</v>
      </c>
      <c r="E6" s="10">
        <v>4</v>
      </c>
      <c r="F6" s="10">
        <v>5</v>
      </c>
      <c r="G6" s="656">
        <v>2500000</v>
      </c>
      <c r="H6" s="10">
        <v>7.0000000000000007E-2</v>
      </c>
      <c r="J6" s="10"/>
      <c r="K6" s="10"/>
      <c r="L6" s="10"/>
      <c r="Q6" s="10">
        <v>6</v>
      </c>
    </row>
    <row r="7" spans="1:25" x14ac:dyDescent="0.25">
      <c r="A7" s="22" t="s">
        <v>857</v>
      </c>
      <c r="B7" s="10">
        <v>8</v>
      </c>
      <c r="C7" s="10">
        <v>2</v>
      </c>
      <c r="D7" s="10">
        <v>13</v>
      </c>
      <c r="E7" s="10">
        <v>1</v>
      </c>
      <c r="F7" s="10">
        <v>1</v>
      </c>
      <c r="G7" s="656">
        <v>5000000</v>
      </c>
      <c r="Q7" s="10">
        <v>7</v>
      </c>
    </row>
    <row r="8" spans="1:25" x14ac:dyDescent="0.25">
      <c r="A8" s="22" t="s">
        <v>171</v>
      </c>
      <c r="B8" s="10">
        <v>7</v>
      </c>
      <c r="C8" s="10">
        <v>3</v>
      </c>
      <c r="D8" s="10">
        <v>24</v>
      </c>
      <c r="E8" s="10">
        <v>6</v>
      </c>
      <c r="F8" s="10">
        <v>2</v>
      </c>
      <c r="G8" s="656">
        <v>6900000</v>
      </c>
      <c r="H8" s="10">
        <v>7.4999999999999997E-2</v>
      </c>
      <c r="J8" s="10"/>
      <c r="K8" s="10"/>
      <c r="L8" s="10"/>
      <c r="Q8" s="10">
        <v>8</v>
      </c>
    </row>
    <row r="9" spans="1:25" x14ac:dyDescent="0.25">
      <c r="A9" s="22" t="s">
        <v>170</v>
      </c>
      <c r="B9" s="10">
        <v>3</v>
      </c>
      <c r="C9" s="10">
        <v>2</v>
      </c>
      <c r="D9" s="10">
        <v>34</v>
      </c>
      <c r="E9" s="10">
        <v>1</v>
      </c>
      <c r="F9" s="10">
        <v>7</v>
      </c>
      <c r="G9" s="656">
        <v>250000</v>
      </c>
      <c r="H9" s="10">
        <v>0</v>
      </c>
    </row>
    <row r="10" spans="1:25" x14ac:dyDescent="0.25">
      <c r="A10" s="22" t="s">
        <v>169</v>
      </c>
      <c r="B10" s="10">
        <v>4</v>
      </c>
      <c r="C10" s="10">
        <v>4</v>
      </c>
      <c r="D10" s="10">
        <v>27</v>
      </c>
      <c r="E10" s="10">
        <v>3</v>
      </c>
      <c r="F10" s="10">
        <v>4</v>
      </c>
      <c r="G10" s="656">
        <v>1900000</v>
      </c>
      <c r="H10" s="10">
        <v>0.05</v>
      </c>
    </row>
    <row r="11" spans="1:25" ht="15.75" thickBot="1" x14ac:dyDescent="0.3"/>
    <row r="12" spans="1:25" x14ac:dyDescent="0.25">
      <c r="D12" s="12" t="s">
        <v>166</v>
      </c>
      <c r="E12" s="12"/>
      <c r="F12" s="12" t="s">
        <v>165</v>
      </c>
      <c r="G12" s="12"/>
      <c r="H12" s="12" t="s">
        <v>164</v>
      </c>
      <c r="I12" s="12"/>
      <c r="J12" s="12" t="s">
        <v>163</v>
      </c>
      <c r="K12" s="12"/>
      <c r="L12" s="12" t="s">
        <v>162</v>
      </c>
      <c r="M12" s="12"/>
      <c r="N12" s="12" t="s">
        <v>161</v>
      </c>
      <c r="O12" s="12"/>
      <c r="P12" s="11" t="s">
        <v>850</v>
      </c>
      <c r="R12" s="11" t="s">
        <v>858</v>
      </c>
      <c r="U12" s="684" t="s">
        <v>851</v>
      </c>
      <c r="V12" s="685" t="s">
        <v>852</v>
      </c>
      <c r="W12" s="685" t="s">
        <v>853</v>
      </c>
      <c r="X12" s="685" t="s">
        <v>854</v>
      </c>
      <c r="Y12" s="686" t="s">
        <v>855</v>
      </c>
    </row>
    <row r="13" spans="1:25" x14ac:dyDescent="0.25">
      <c r="D13" s="12" t="s">
        <v>152</v>
      </c>
      <c r="E13" s="12">
        <v>338</v>
      </c>
      <c r="F13" s="12" t="s">
        <v>152</v>
      </c>
      <c r="G13" s="12">
        <v>354.9</v>
      </c>
      <c r="H13" s="12" t="s">
        <v>152</v>
      </c>
      <c r="I13" s="12">
        <v>373.88</v>
      </c>
      <c r="J13" s="12" t="s">
        <v>152</v>
      </c>
      <c r="K13" s="12">
        <v>393.38</v>
      </c>
      <c r="L13" s="12" t="s">
        <v>152</v>
      </c>
      <c r="M13" s="12">
        <v>412.88</v>
      </c>
      <c r="N13" s="12" t="s">
        <v>152</v>
      </c>
      <c r="O13" s="12">
        <v>432.9</v>
      </c>
      <c r="P13" s="12" t="s">
        <v>152</v>
      </c>
      <c r="Q13" s="11">
        <f>(O13-M13)+O13</f>
        <v>452.91999999999996</v>
      </c>
      <c r="R13" s="11" t="s">
        <v>152</v>
      </c>
      <c r="S13" s="11">
        <f>(Q13-O13)+Q13</f>
        <v>472.93999999999994</v>
      </c>
      <c r="U13" s="687">
        <f>G13-E13</f>
        <v>16.899999999999977</v>
      </c>
      <c r="V13" s="11">
        <f>I13-G13</f>
        <v>18.980000000000018</v>
      </c>
      <c r="W13" s="11">
        <f>K13-I13</f>
        <v>19.5</v>
      </c>
      <c r="X13" s="11">
        <f>M13-K13</f>
        <v>19.5</v>
      </c>
      <c r="Y13" s="688">
        <f>O13-M13</f>
        <v>20.019999999999982</v>
      </c>
    </row>
    <row r="14" spans="1:25" x14ac:dyDescent="0.25">
      <c r="D14" s="12" t="s">
        <v>148</v>
      </c>
      <c r="E14" s="12">
        <v>254.2</v>
      </c>
      <c r="F14" s="12" t="s">
        <v>148</v>
      </c>
      <c r="G14" s="12">
        <v>267</v>
      </c>
      <c r="H14" s="12" t="s">
        <v>148</v>
      </c>
      <c r="I14" s="12">
        <v>281.26</v>
      </c>
      <c r="J14" s="12" t="s">
        <v>148</v>
      </c>
      <c r="K14" s="12">
        <v>295.89</v>
      </c>
      <c r="L14" s="12" t="s">
        <v>148</v>
      </c>
      <c r="M14" s="12">
        <v>310.51</v>
      </c>
      <c r="N14" s="12" t="s">
        <v>148</v>
      </c>
      <c r="O14" s="12">
        <v>325.5</v>
      </c>
      <c r="P14" s="12" t="s">
        <v>148</v>
      </c>
      <c r="Q14" s="11">
        <f t="shared" ref="Q14:Q17" si="0">(O14-M14)+O14</f>
        <v>340.49</v>
      </c>
      <c r="R14" s="11" t="s">
        <v>148</v>
      </c>
      <c r="S14" s="11">
        <f>(Q14-O14)+Q14</f>
        <v>355.48</v>
      </c>
      <c r="U14" s="687">
        <f>G14-E14</f>
        <v>12.800000000000011</v>
      </c>
      <c r="V14" s="11">
        <f>I14-G14</f>
        <v>14.259999999999991</v>
      </c>
      <c r="W14" s="11">
        <f>K14-I14</f>
        <v>14.629999999999995</v>
      </c>
      <c r="X14" s="11">
        <f>M14-K14</f>
        <v>14.620000000000005</v>
      </c>
      <c r="Y14" s="688">
        <f>O14-M14</f>
        <v>14.990000000000009</v>
      </c>
    </row>
    <row r="15" spans="1:25" x14ac:dyDescent="0.25">
      <c r="D15" s="12" t="s">
        <v>160</v>
      </c>
      <c r="E15" s="12">
        <v>388.7</v>
      </c>
      <c r="F15" s="12" t="s">
        <v>160</v>
      </c>
      <c r="G15" s="12">
        <v>408.2</v>
      </c>
      <c r="H15" s="12" t="s">
        <v>160</v>
      </c>
      <c r="I15" s="12">
        <v>430.02</v>
      </c>
      <c r="J15" s="12" t="s">
        <v>160</v>
      </c>
      <c r="K15" s="12">
        <v>452.42</v>
      </c>
      <c r="L15" s="12" t="s">
        <v>160</v>
      </c>
      <c r="M15" s="12">
        <v>474.82</v>
      </c>
      <c r="N15" s="12" t="s">
        <v>160</v>
      </c>
      <c r="O15" s="12">
        <v>497.8</v>
      </c>
      <c r="P15" s="12" t="s">
        <v>160</v>
      </c>
      <c r="Q15" s="11">
        <f t="shared" si="0"/>
        <v>520.78</v>
      </c>
      <c r="R15" s="11" t="s">
        <v>160</v>
      </c>
      <c r="S15" s="11">
        <f>(Q15-O15)+Q15</f>
        <v>543.76</v>
      </c>
      <c r="U15" s="687">
        <f>G15-E15</f>
        <v>19.5</v>
      </c>
      <c r="V15" s="11">
        <f>I15-G15</f>
        <v>21.819999999999993</v>
      </c>
      <c r="W15" s="11">
        <f>K15-I15</f>
        <v>22.400000000000034</v>
      </c>
      <c r="X15" s="11">
        <f>M15-K15</f>
        <v>22.399999999999977</v>
      </c>
      <c r="Y15" s="688">
        <f>O15-M15</f>
        <v>22.980000000000018</v>
      </c>
    </row>
    <row r="16" spans="1:25" x14ac:dyDescent="0.25">
      <c r="D16" s="12" t="s">
        <v>144</v>
      </c>
      <c r="E16" s="12">
        <v>191.1</v>
      </c>
      <c r="F16" s="12" t="s">
        <v>144</v>
      </c>
      <c r="G16" s="12">
        <v>200.7</v>
      </c>
      <c r="H16" s="12" t="s">
        <v>144</v>
      </c>
      <c r="I16" s="12">
        <v>211.42</v>
      </c>
      <c r="J16" s="12" t="s">
        <v>144</v>
      </c>
      <c r="K16" s="12">
        <v>222.42</v>
      </c>
      <c r="L16" s="12" t="s">
        <v>144</v>
      </c>
      <c r="M16" s="12">
        <v>233.42</v>
      </c>
      <c r="N16" s="12" t="s">
        <v>144</v>
      </c>
      <c r="O16" s="12">
        <v>244.7</v>
      </c>
      <c r="P16" s="12" t="s">
        <v>144</v>
      </c>
      <c r="Q16" s="11">
        <f t="shared" si="0"/>
        <v>255.98</v>
      </c>
      <c r="R16" s="11" t="s">
        <v>144</v>
      </c>
      <c r="S16" s="11">
        <f>(Q16-O16)+Q16</f>
        <v>267.26</v>
      </c>
      <c r="U16" s="687">
        <f>G16-E16</f>
        <v>9.5999999999999943</v>
      </c>
      <c r="V16" s="11">
        <f>I16-G16</f>
        <v>10.719999999999999</v>
      </c>
      <c r="W16" s="11">
        <f>K16-I16</f>
        <v>11</v>
      </c>
      <c r="X16" s="11">
        <f>M16-K16</f>
        <v>11</v>
      </c>
      <c r="Y16" s="688">
        <f>O16-M16</f>
        <v>11.280000000000001</v>
      </c>
    </row>
    <row r="17" spans="1:25" ht="15.75" thickBot="1" x14ac:dyDescent="0.3">
      <c r="D17" s="12" t="s">
        <v>140</v>
      </c>
      <c r="E17" s="12">
        <v>143.69999999999999</v>
      </c>
      <c r="F17" s="12" t="s">
        <v>140</v>
      </c>
      <c r="G17" s="12">
        <v>150.9</v>
      </c>
      <c r="H17" s="12" t="s">
        <v>140</v>
      </c>
      <c r="I17" s="12">
        <v>158.96</v>
      </c>
      <c r="J17" s="12" t="s">
        <v>140</v>
      </c>
      <c r="K17" s="12">
        <v>167.24</v>
      </c>
      <c r="L17" s="12" t="s">
        <v>140</v>
      </c>
      <c r="M17" s="12">
        <v>175.58</v>
      </c>
      <c r="N17" s="12" t="s">
        <v>140</v>
      </c>
      <c r="O17" s="12">
        <v>184</v>
      </c>
      <c r="P17" s="12" t="s">
        <v>140</v>
      </c>
      <c r="Q17" s="11">
        <f t="shared" si="0"/>
        <v>192.42</v>
      </c>
      <c r="R17" s="11" t="s">
        <v>140</v>
      </c>
      <c r="S17" s="11">
        <f>(Q17-O17)+Q17</f>
        <v>200.83999999999997</v>
      </c>
      <c r="U17" s="689">
        <f>G17-E17</f>
        <v>7.2000000000000171</v>
      </c>
      <c r="V17" s="690">
        <f>I17-G17</f>
        <v>8.0600000000000023</v>
      </c>
      <c r="W17" s="690">
        <f>K17-I17</f>
        <v>8.2800000000000011</v>
      </c>
      <c r="X17" s="690">
        <f>M17-K17</f>
        <v>8.3400000000000034</v>
      </c>
      <c r="Y17" s="691">
        <f>O17-M17</f>
        <v>8.4199999999999875</v>
      </c>
    </row>
    <row r="18" spans="1:25" x14ac:dyDescent="0.25">
      <c r="R18"/>
      <c r="S18"/>
      <c r="T18"/>
      <c r="U18"/>
    </row>
    <row r="19" spans="1:25" x14ac:dyDescent="0.25">
      <c r="L19" s="45" t="s">
        <v>158</v>
      </c>
      <c r="N19" s="20" t="s">
        <v>157</v>
      </c>
      <c r="R19"/>
      <c r="S19"/>
      <c r="T19"/>
      <c r="U19"/>
    </row>
    <row r="20" spans="1:25" x14ac:dyDescent="0.25">
      <c r="D20" s="12" t="s">
        <v>155</v>
      </c>
      <c r="E20" s="12"/>
      <c r="F20" s="12"/>
      <c r="G20" s="12"/>
      <c r="H20" s="12" t="s">
        <v>154</v>
      </c>
      <c r="I20" s="12"/>
      <c r="M20" s="21" t="s">
        <v>120</v>
      </c>
      <c r="N20" s="16">
        <v>3.3500000000000002E-2</v>
      </c>
      <c r="O20" s="10" t="s">
        <v>153</v>
      </c>
      <c r="P20"/>
      <c r="R20"/>
      <c r="S20"/>
      <c r="T20"/>
      <c r="U20"/>
    </row>
    <row r="21" spans="1:25" x14ac:dyDescent="0.25">
      <c r="D21" s="12" t="s">
        <v>152</v>
      </c>
      <c r="E21" s="12">
        <v>4.0000000000000001E-3</v>
      </c>
      <c r="F21" s="12"/>
      <c r="G21" s="12"/>
      <c r="H21" s="12" t="s">
        <v>151</v>
      </c>
      <c r="I21" s="12">
        <v>0.745</v>
      </c>
      <c r="J21" s="11">
        <v>0.79</v>
      </c>
      <c r="K21" s="12">
        <v>0.751</v>
      </c>
      <c r="L21" s="11">
        <v>2.01E-2</v>
      </c>
      <c r="M21" s="17" t="s">
        <v>150</v>
      </c>
      <c r="N21" s="18">
        <v>2.01E-2</v>
      </c>
      <c r="O21" s="10" t="s">
        <v>149</v>
      </c>
      <c r="R21"/>
      <c r="S21"/>
      <c r="T21"/>
      <c r="U21"/>
    </row>
    <row r="22" spans="1:25" x14ac:dyDescent="0.25">
      <c r="D22" s="12" t="s">
        <v>148</v>
      </c>
      <c r="E22" s="12">
        <v>3.0000000000000001E-3</v>
      </c>
      <c r="F22" s="12"/>
      <c r="G22" s="12"/>
      <c r="H22" s="12" t="s">
        <v>147</v>
      </c>
      <c r="I22" s="12">
        <v>0.91400000000000003</v>
      </c>
      <c r="J22" s="11">
        <v>0.93</v>
      </c>
      <c r="K22" s="12">
        <v>0.90900000000000003</v>
      </c>
      <c r="L22" s="11">
        <v>1.6660000000000001E-2</v>
      </c>
      <c r="M22" s="10" t="s">
        <v>146</v>
      </c>
      <c r="N22" s="18">
        <v>1.333E-2</v>
      </c>
      <c r="O22" s="10" t="s">
        <v>145</v>
      </c>
      <c r="R22"/>
      <c r="S22"/>
      <c r="T22"/>
      <c r="U22"/>
    </row>
    <row r="23" spans="1:25" x14ac:dyDescent="0.25">
      <c r="D23" s="12" t="s">
        <v>144</v>
      </c>
      <c r="E23" s="12">
        <v>2.1000000000000003E-3</v>
      </c>
      <c r="F23" s="12"/>
      <c r="G23" s="12"/>
      <c r="H23" s="12" t="s">
        <v>143</v>
      </c>
      <c r="I23" s="12">
        <v>0.81599999999999995</v>
      </c>
      <c r="J23" s="11">
        <v>0.86</v>
      </c>
      <c r="K23" s="12">
        <v>0.82599999999999996</v>
      </c>
      <c r="L23" s="11">
        <v>1.333E-2</v>
      </c>
      <c r="M23" s="10" t="s">
        <v>142</v>
      </c>
      <c r="N23" s="18">
        <v>6.6600000000000001E-3</v>
      </c>
      <c r="O23" s="17" t="s">
        <v>141</v>
      </c>
      <c r="R23"/>
      <c r="S23"/>
      <c r="T23"/>
      <c r="U23"/>
    </row>
    <row r="24" spans="1:25" x14ac:dyDescent="0.25">
      <c r="D24" s="12" t="s">
        <v>140</v>
      </c>
      <c r="E24" s="12">
        <v>1.2000000000000001E-3</v>
      </c>
      <c r="F24" s="12"/>
      <c r="G24" s="12"/>
      <c r="H24" s="12" t="s">
        <v>139</v>
      </c>
      <c r="I24" s="12">
        <v>0.66500000000000004</v>
      </c>
      <c r="J24" s="11">
        <v>0.72</v>
      </c>
      <c r="K24" s="12">
        <v>0.68300000000000016</v>
      </c>
      <c r="L24" s="11">
        <v>9.9900000000000006E-3</v>
      </c>
      <c r="M24" s="10" t="s">
        <v>138</v>
      </c>
      <c r="N24" s="18">
        <v>0</v>
      </c>
      <c r="O24" s="17" t="s">
        <v>137</v>
      </c>
      <c r="R24"/>
      <c r="S24"/>
      <c r="T24"/>
      <c r="U24"/>
    </row>
    <row r="25" spans="1:25" x14ac:dyDescent="0.25">
      <c r="D25" s="12"/>
      <c r="E25" s="12"/>
      <c r="F25" s="12"/>
      <c r="G25" s="12"/>
      <c r="H25" s="12" t="s">
        <v>136</v>
      </c>
      <c r="I25" s="12">
        <v>1.085</v>
      </c>
      <c r="L25" s="11">
        <v>6.6600000000000001E-3</v>
      </c>
      <c r="M25" s="10" t="s">
        <v>247</v>
      </c>
      <c r="N25" s="18">
        <v>-6.6600000000000001E-3</v>
      </c>
      <c r="O25" s="17" t="s">
        <v>135</v>
      </c>
      <c r="R25"/>
      <c r="S25"/>
      <c r="T25"/>
      <c r="U25"/>
    </row>
    <row r="26" spans="1:25" x14ac:dyDescent="0.25">
      <c r="L26" s="11">
        <v>3.3300000000000001E-3</v>
      </c>
      <c r="M26" s="10" t="s">
        <v>246</v>
      </c>
      <c r="N26" s="18">
        <v>-1.333E-2</v>
      </c>
      <c r="O26" s="17" t="s">
        <v>134</v>
      </c>
      <c r="R26"/>
      <c r="S26"/>
      <c r="T26"/>
      <c r="U26"/>
    </row>
    <row r="27" spans="1:25" x14ac:dyDescent="0.25">
      <c r="C27" s="10" t="s">
        <v>131</v>
      </c>
      <c r="D27" s="12" t="s">
        <v>133</v>
      </c>
      <c r="E27" s="12" t="s">
        <v>131</v>
      </c>
      <c r="F27" s="43" t="s">
        <v>131</v>
      </c>
      <c r="H27" s="12" t="s">
        <v>132</v>
      </c>
      <c r="I27" s="12" t="s">
        <v>131</v>
      </c>
      <c r="L27" s="11">
        <v>0</v>
      </c>
      <c r="M27" s="10" t="s">
        <v>130</v>
      </c>
      <c r="N27" s="18">
        <v>-2.01E-2</v>
      </c>
      <c r="O27" s="17" t="s">
        <v>129</v>
      </c>
      <c r="R27"/>
      <c r="S27"/>
      <c r="T27"/>
      <c r="U27"/>
    </row>
    <row r="28" spans="1:25" x14ac:dyDescent="0.25">
      <c r="A28" s="43">
        <v>1</v>
      </c>
      <c r="B28" s="43">
        <v>1</v>
      </c>
      <c r="C28" s="42">
        <v>1</v>
      </c>
      <c r="D28" s="12">
        <v>0</v>
      </c>
      <c r="E28" s="42">
        <v>1</v>
      </c>
      <c r="F28" s="43">
        <v>1</v>
      </c>
      <c r="G28" s="43">
        <v>1</v>
      </c>
      <c r="H28" s="12">
        <v>0</v>
      </c>
      <c r="I28" s="11">
        <v>1</v>
      </c>
      <c r="J28" s="11">
        <v>1</v>
      </c>
      <c r="K28" s="12">
        <v>1</v>
      </c>
      <c r="L28" s="11">
        <v>-3.3300000000000001E-3</v>
      </c>
      <c r="M28" s="10" t="s">
        <v>128</v>
      </c>
      <c r="N28" s="18">
        <v>-3.3500000000000002E-2</v>
      </c>
      <c r="O28" s="10" t="s">
        <v>127</v>
      </c>
      <c r="R28"/>
      <c r="S28"/>
      <c r="T28"/>
      <c r="U28"/>
    </row>
    <row r="29" spans="1:25" x14ac:dyDescent="0.25">
      <c r="A29" s="43">
        <v>0.998</v>
      </c>
      <c r="B29" s="43">
        <v>0.99399999999999999</v>
      </c>
      <c r="C29" s="42">
        <v>0.99199999999999999</v>
      </c>
      <c r="D29" s="12">
        <f t="shared" ref="D29:D60" si="1">D28+1</f>
        <v>1</v>
      </c>
      <c r="E29" s="12">
        <v>0.99</v>
      </c>
      <c r="F29" s="43">
        <v>0.995</v>
      </c>
      <c r="G29" s="43">
        <v>0.996</v>
      </c>
      <c r="H29" s="12">
        <f t="shared" ref="H29:H60" si="2">H28+1</f>
        <v>1</v>
      </c>
      <c r="I29" s="11">
        <v>1.0004999999999999</v>
      </c>
      <c r="J29" s="11">
        <v>1.002</v>
      </c>
      <c r="K29" s="12">
        <v>1.0009999999999999</v>
      </c>
      <c r="L29" s="23">
        <v>-6.6600000000000001E-3</v>
      </c>
      <c r="M29" s="19" t="s">
        <v>126</v>
      </c>
    </row>
    <row r="30" spans="1:25" x14ac:dyDescent="0.25">
      <c r="A30" s="43">
        <v>0.996</v>
      </c>
      <c r="B30" s="43">
        <v>0.98799999999999999</v>
      </c>
      <c r="C30" s="42">
        <v>0.98399999999999999</v>
      </c>
      <c r="D30" s="12">
        <f t="shared" si="1"/>
        <v>2</v>
      </c>
      <c r="E30" s="12">
        <v>0.98</v>
      </c>
      <c r="F30" s="43">
        <v>0.99</v>
      </c>
      <c r="G30" s="43">
        <v>0.99199999999999999</v>
      </c>
      <c r="H30" s="12">
        <f t="shared" si="2"/>
        <v>2</v>
      </c>
      <c r="I30" s="11">
        <v>1.0009999999999999</v>
      </c>
      <c r="J30" s="12">
        <v>1.004</v>
      </c>
      <c r="K30" s="12">
        <v>1.002</v>
      </c>
      <c r="L30" s="23">
        <v>-9.9900000000000006E-3</v>
      </c>
      <c r="M30" s="19" t="s">
        <v>124</v>
      </c>
      <c r="N30" s="20" t="s">
        <v>123</v>
      </c>
      <c r="P30" s="20" t="s">
        <v>122</v>
      </c>
      <c r="R30"/>
      <c r="S30" s="11"/>
      <c r="T30"/>
      <c r="U30"/>
    </row>
    <row r="31" spans="1:25" x14ac:dyDescent="0.25">
      <c r="A31" s="43">
        <v>0.99399999999999999</v>
      </c>
      <c r="B31" s="43">
        <v>0.98199999999999998</v>
      </c>
      <c r="C31" s="42">
        <v>0.97599999999999998</v>
      </c>
      <c r="D31" s="12">
        <f t="shared" si="1"/>
        <v>3</v>
      </c>
      <c r="E31" s="12">
        <v>0.97</v>
      </c>
      <c r="F31" s="43">
        <v>0.98499999999999999</v>
      </c>
      <c r="G31" s="43">
        <v>0.98799999999999999</v>
      </c>
      <c r="H31" s="12">
        <f t="shared" si="2"/>
        <v>3</v>
      </c>
      <c r="I31" s="11">
        <v>1.0015000000000001</v>
      </c>
      <c r="J31" s="12">
        <v>1.006</v>
      </c>
      <c r="K31" s="12">
        <v>1.0029999999999999</v>
      </c>
      <c r="L31" s="23">
        <v>-1.333E-2</v>
      </c>
      <c r="M31" s="19" t="s">
        <v>121</v>
      </c>
      <c r="O31" s="10" t="s">
        <v>120</v>
      </c>
      <c r="Q31" s="10" t="s">
        <v>120</v>
      </c>
      <c r="R31"/>
      <c r="S31"/>
      <c r="T31"/>
      <c r="U31"/>
    </row>
    <row r="32" spans="1:25" x14ac:dyDescent="0.25">
      <c r="A32" s="43">
        <v>0.99199999999999999</v>
      </c>
      <c r="B32" s="43">
        <v>0.97599999999999998</v>
      </c>
      <c r="C32" s="42">
        <v>0.96799999999999997</v>
      </c>
      <c r="D32" s="12">
        <f t="shared" si="1"/>
        <v>4</v>
      </c>
      <c r="E32" s="12">
        <v>0.96</v>
      </c>
      <c r="F32" s="43">
        <v>0.98</v>
      </c>
      <c r="G32" s="43">
        <v>0.98399999999999999</v>
      </c>
      <c r="H32" s="12">
        <f t="shared" si="2"/>
        <v>4</v>
      </c>
      <c r="I32" s="11">
        <v>1.002</v>
      </c>
      <c r="J32" s="12">
        <v>1.008</v>
      </c>
      <c r="K32" s="12">
        <v>1.004</v>
      </c>
      <c r="L32" s="23">
        <v>-1.6660000000000001E-2</v>
      </c>
      <c r="M32" s="19" t="s">
        <v>119</v>
      </c>
      <c r="N32" s="18">
        <v>6.6600000000000001E-3</v>
      </c>
      <c r="O32" s="17" t="s">
        <v>118</v>
      </c>
      <c r="P32" s="18">
        <v>0</v>
      </c>
      <c r="Q32" s="10" t="s">
        <v>117</v>
      </c>
    </row>
    <row r="33" spans="1:17" x14ac:dyDescent="0.25">
      <c r="A33" s="43">
        <v>0.99</v>
      </c>
      <c r="B33" s="43">
        <v>0.97</v>
      </c>
      <c r="C33" s="42">
        <v>0.96</v>
      </c>
      <c r="D33" s="12">
        <f t="shared" si="1"/>
        <v>5</v>
      </c>
      <c r="E33" s="12">
        <v>0.95</v>
      </c>
      <c r="F33" s="43">
        <v>0.97499999999999998</v>
      </c>
      <c r="G33" s="43">
        <v>0.98</v>
      </c>
      <c r="H33" s="12">
        <f t="shared" si="2"/>
        <v>5</v>
      </c>
      <c r="I33" s="11">
        <v>1.0024999999999999</v>
      </c>
      <c r="J33" s="12">
        <v>1.01</v>
      </c>
      <c r="K33" s="12">
        <v>1.0049999999999999</v>
      </c>
      <c r="L33" s="23">
        <v>-2.01E-2</v>
      </c>
      <c r="M33" s="19" t="s">
        <v>116</v>
      </c>
      <c r="N33" s="18">
        <v>3.3300000000000001E-3</v>
      </c>
      <c r="O33" s="17" t="s">
        <v>115</v>
      </c>
      <c r="P33" s="18">
        <v>3.3300000000000001E-3</v>
      </c>
      <c r="Q33" s="17" t="s">
        <v>114</v>
      </c>
    </row>
    <row r="34" spans="1:17" x14ac:dyDescent="0.25">
      <c r="A34" s="43">
        <v>0.98799999999999999</v>
      </c>
      <c r="B34" s="43">
        <v>0.96399999999999997</v>
      </c>
      <c r="C34" s="42">
        <v>0.95199999999999996</v>
      </c>
      <c r="D34" s="12">
        <f t="shared" si="1"/>
        <v>6</v>
      </c>
      <c r="E34" s="12">
        <v>0.94</v>
      </c>
      <c r="F34" s="43">
        <v>0.97</v>
      </c>
      <c r="G34" s="43">
        <v>0.97599999999999998</v>
      </c>
      <c r="H34" s="12">
        <f t="shared" si="2"/>
        <v>6</v>
      </c>
      <c r="I34" s="11">
        <v>1.0029999999999999</v>
      </c>
      <c r="J34" s="12">
        <v>1.012</v>
      </c>
      <c r="K34" s="12">
        <v>1.006</v>
      </c>
      <c r="L34" s="23">
        <v>-2.3400000000000001E-2</v>
      </c>
      <c r="M34" s="19" t="s">
        <v>113</v>
      </c>
      <c r="N34" s="18">
        <v>0</v>
      </c>
      <c r="O34" s="17" t="s">
        <v>112</v>
      </c>
      <c r="P34" s="18">
        <v>6.6600000000000001E-3</v>
      </c>
      <c r="Q34" s="17" t="s">
        <v>111</v>
      </c>
    </row>
    <row r="35" spans="1:17" x14ac:dyDescent="0.25">
      <c r="A35" s="43">
        <v>0.98599999999999999</v>
      </c>
      <c r="B35" s="43">
        <v>0.95799999999999996</v>
      </c>
      <c r="C35" s="42">
        <v>0.94399999999999995</v>
      </c>
      <c r="D35" s="12">
        <f t="shared" si="1"/>
        <v>7</v>
      </c>
      <c r="E35" s="12">
        <v>0.93</v>
      </c>
      <c r="F35" s="43">
        <v>0.96499999999999997</v>
      </c>
      <c r="G35" s="43">
        <v>0.97199999999999998</v>
      </c>
      <c r="H35" s="12">
        <f t="shared" si="2"/>
        <v>7</v>
      </c>
      <c r="I35" s="11">
        <v>1.0035000000000001</v>
      </c>
      <c r="J35" s="12">
        <v>1.014</v>
      </c>
      <c r="K35" s="12">
        <v>1.0069999999999999</v>
      </c>
      <c r="L35" s="23">
        <v>-2.6800000000000001E-2</v>
      </c>
      <c r="M35" s="19" t="s">
        <v>110</v>
      </c>
      <c r="N35" s="18">
        <v>-3.3300000000000001E-3</v>
      </c>
      <c r="O35" s="17" t="s">
        <v>109</v>
      </c>
      <c r="P35" s="18">
        <v>9.9900000000000006E-3</v>
      </c>
      <c r="Q35" s="17" t="s">
        <v>108</v>
      </c>
    </row>
    <row r="36" spans="1:17" x14ac:dyDescent="0.25">
      <c r="A36" s="43">
        <v>0.98399999999999999</v>
      </c>
      <c r="B36" s="43">
        <v>0.95199999999999996</v>
      </c>
      <c r="C36" s="42">
        <v>0.93600000000000005</v>
      </c>
      <c r="D36" s="12">
        <f t="shared" si="1"/>
        <v>8</v>
      </c>
      <c r="E36" s="12">
        <v>0.92</v>
      </c>
      <c r="F36" s="43">
        <v>0.96</v>
      </c>
      <c r="G36" s="43">
        <v>0.96799999999999997</v>
      </c>
      <c r="H36" s="12">
        <f t="shared" si="2"/>
        <v>8</v>
      </c>
      <c r="I36" s="11">
        <v>1.004</v>
      </c>
      <c r="J36" s="12">
        <v>1.016</v>
      </c>
      <c r="K36" s="12">
        <v>1.008</v>
      </c>
      <c r="L36" s="23">
        <v>-3.0100000000000002E-2</v>
      </c>
      <c r="M36" s="19" t="s">
        <v>107</v>
      </c>
      <c r="N36" s="18">
        <v>-6.6600000000000001E-3</v>
      </c>
      <c r="O36" s="17" t="s">
        <v>106</v>
      </c>
      <c r="P36" s="18">
        <v>1.333E-2</v>
      </c>
      <c r="Q36" s="17" t="s">
        <v>105</v>
      </c>
    </row>
    <row r="37" spans="1:17" x14ac:dyDescent="0.25">
      <c r="A37" s="43">
        <v>0.98199999999999998</v>
      </c>
      <c r="B37" s="43">
        <v>0.94599999999999995</v>
      </c>
      <c r="C37" s="42">
        <v>0.92800000000000005</v>
      </c>
      <c r="D37" s="12">
        <f t="shared" si="1"/>
        <v>9</v>
      </c>
      <c r="E37" s="12">
        <v>0.91</v>
      </c>
      <c r="F37" s="43">
        <v>0.95499999999999996</v>
      </c>
      <c r="G37" s="43">
        <v>0.96399999999999997</v>
      </c>
      <c r="H37" s="12">
        <f t="shared" si="2"/>
        <v>9</v>
      </c>
      <c r="I37" s="11">
        <v>1.0044999999999999</v>
      </c>
      <c r="J37" s="12">
        <v>1.018</v>
      </c>
      <c r="K37" s="12">
        <v>1.0089999999999999</v>
      </c>
      <c r="L37" s="23">
        <v>-3.3500000000000002E-2</v>
      </c>
      <c r="M37" s="19" t="s">
        <v>104</v>
      </c>
      <c r="N37" s="18">
        <v>-9.9900000000000006E-3</v>
      </c>
      <c r="O37" s="17" t="s">
        <v>103</v>
      </c>
      <c r="P37" s="18">
        <v>1.6660000000000001E-2</v>
      </c>
      <c r="Q37" s="17" t="s">
        <v>102</v>
      </c>
    </row>
    <row r="38" spans="1:17" x14ac:dyDescent="0.25">
      <c r="A38" s="43">
        <v>0.98</v>
      </c>
      <c r="B38" s="43">
        <v>0.94</v>
      </c>
      <c r="C38" s="42">
        <v>0.92</v>
      </c>
      <c r="D38" s="12">
        <f t="shared" si="1"/>
        <v>10</v>
      </c>
      <c r="E38" s="12">
        <v>0.9</v>
      </c>
      <c r="F38" s="43">
        <v>0.95</v>
      </c>
      <c r="G38" s="43">
        <v>0.96</v>
      </c>
      <c r="H38" s="12">
        <f t="shared" si="2"/>
        <v>10</v>
      </c>
      <c r="I38" s="11">
        <v>1.0049999999999999</v>
      </c>
      <c r="J38" s="12">
        <v>1.02</v>
      </c>
      <c r="K38" s="12">
        <v>1.01</v>
      </c>
      <c r="L38" s="23">
        <v>-3.6799999999999999E-2</v>
      </c>
      <c r="M38" s="19" t="s">
        <v>101</v>
      </c>
      <c r="N38" s="18">
        <v>-1.333E-2</v>
      </c>
      <c r="O38" s="17" t="s">
        <v>100</v>
      </c>
      <c r="P38" s="18">
        <v>2.01E-2</v>
      </c>
      <c r="Q38" s="17" t="s">
        <v>99</v>
      </c>
    </row>
    <row r="39" spans="1:17" x14ac:dyDescent="0.25">
      <c r="A39" s="43">
        <v>0.97799999999999998</v>
      </c>
      <c r="B39" s="43">
        <v>0.93400000000000005</v>
      </c>
      <c r="C39" s="42">
        <v>0.91200000000000003</v>
      </c>
      <c r="D39" s="12">
        <f t="shared" si="1"/>
        <v>11</v>
      </c>
      <c r="E39" s="12">
        <v>0.89</v>
      </c>
      <c r="F39" s="43">
        <v>0.94499999999999995</v>
      </c>
      <c r="G39" s="43">
        <v>0.95599999999999996</v>
      </c>
      <c r="H39" s="12">
        <f t="shared" si="2"/>
        <v>11</v>
      </c>
      <c r="I39" s="11">
        <v>1.0055000000000001</v>
      </c>
      <c r="J39" s="12">
        <v>1.022</v>
      </c>
      <c r="K39" s="12">
        <v>1.0109999999999999</v>
      </c>
      <c r="L39" s="23">
        <v>-4.02E-2</v>
      </c>
      <c r="M39" s="19" t="s">
        <v>98</v>
      </c>
      <c r="N39" s="16">
        <v>-1.6660000000000001E-2</v>
      </c>
      <c r="O39" s="17" t="s">
        <v>97</v>
      </c>
      <c r="P39" s="18">
        <v>2.3400000000000001E-2</v>
      </c>
      <c r="Q39" s="17" t="s">
        <v>96</v>
      </c>
    </row>
    <row r="40" spans="1:17" x14ac:dyDescent="0.25">
      <c r="A40" s="43">
        <v>0.97599999999999998</v>
      </c>
      <c r="B40" s="43">
        <v>0.92800000000000005</v>
      </c>
      <c r="C40" s="42">
        <v>0.90400000000000003</v>
      </c>
      <c r="D40" s="12">
        <f t="shared" si="1"/>
        <v>12</v>
      </c>
      <c r="E40" s="12">
        <v>0.88</v>
      </c>
      <c r="F40" s="43">
        <v>0.94</v>
      </c>
      <c r="G40" s="43">
        <v>0.95199999999999996</v>
      </c>
      <c r="H40" s="12">
        <f t="shared" si="2"/>
        <v>12</v>
      </c>
      <c r="I40" s="11">
        <v>1.006</v>
      </c>
      <c r="J40" s="12">
        <v>1.024</v>
      </c>
      <c r="K40" s="12">
        <v>1.012</v>
      </c>
      <c r="L40" s="23">
        <v>-4.3500000000000004E-2</v>
      </c>
      <c r="M40" s="19" t="s">
        <v>95</v>
      </c>
      <c r="N40" s="16">
        <v>-2.01E-2</v>
      </c>
      <c r="O40" s="19" t="s">
        <v>94</v>
      </c>
      <c r="P40" s="18">
        <v>2.6800000000000001E-2</v>
      </c>
      <c r="Q40" s="17" t="s">
        <v>93</v>
      </c>
    </row>
    <row r="41" spans="1:17" x14ac:dyDescent="0.25">
      <c r="A41" s="43">
        <v>0.97399999999999998</v>
      </c>
      <c r="B41" s="43">
        <v>0.92200000000000004</v>
      </c>
      <c r="C41" s="42">
        <v>0.89600000000000002</v>
      </c>
      <c r="D41" s="12">
        <f t="shared" si="1"/>
        <v>13</v>
      </c>
      <c r="E41" s="12">
        <v>0.87</v>
      </c>
      <c r="F41" s="43">
        <v>0.93500000000000005</v>
      </c>
      <c r="G41" s="43">
        <v>0.94799999999999995</v>
      </c>
      <c r="H41" s="12">
        <f t="shared" si="2"/>
        <v>13</v>
      </c>
      <c r="I41" s="11">
        <v>1.0065</v>
      </c>
      <c r="J41" s="12">
        <v>1.026</v>
      </c>
      <c r="K41" s="12">
        <v>1.0129999999999999</v>
      </c>
      <c r="L41" s="23">
        <v>-4.6900000000000004E-2</v>
      </c>
      <c r="M41" s="19" t="s">
        <v>92</v>
      </c>
      <c r="P41" s="18">
        <v>3.0100000000000002E-2</v>
      </c>
      <c r="Q41" s="17" t="s">
        <v>91</v>
      </c>
    </row>
    <row r="42" spans="1:17" x14ac:dyDescent="0.25">
      <c r="A42" s="43">
        <v>0.97199999999999998</v>
      </c>
      <c r="B42" s="43">
        <v>0.91600000000000004</v>
      </c>
      <c r="C42" s="42">
        <v>0.88800000000000001</v>
      </c>
      <c r="D42" s="12">
        <f t="shared" si="1"/>
        <v>14</v>
      </c>
      <c r="E42" s="12">
        <v>0.86</v>
      </c>
      <c r="F42" s="43">
        <v>0.93</v>
      </c>
      <c r="G42" s="43">
        <v>0.94399999999999995</v>
      </c>
      <c r="H42" s="12">
        <f t="shared" si="2"/>
        <v>14</v>
      </c>
      <c r="I42" s="11">
        <v>1.0069999999999999</v>
      </c>
      <c r="J42" s="12">
        <v>1.028</v>
      </c>
      <c r="K42" s="12">
        <v>1.014</v>
      </c>
      <c r="L42" s="23"/>
      <c r="M42"/>
      <c r="P42" s="18">
        <v>3.3500000000000002E-2</v>
      </c>
      <c r="Q42" s="17" t="s">
        <v>90</v>
      </c>
    </row>
    <row r="43" spans="1:17" x14ac:dyDescent="0.25">
      <c r="A43" s="43">
        <v>0.97</v>
      </c>
      <c r="B43" s="43">
        <v>0.91</v>
      </c>
      <c r="C43" s="42">
        <v>0.88</v>
      </c>
      <c r="D43" s="12">
        <f t="shared" si="1"/>
        <v>15</v>
      </c>
      <c r="E43" s="12">
        <v>0.85</v>
      </c>
      <c r="F43" s="43">
        <v>0.92500000000000004</v>
      </c>
      <c r="G43" s="43">
        <v>0.94</v>
      </c>
      <c r="H43" s="12">
        <f t="shared" si="2"/>
        <v>15</v>
      </c>
      <c r="I43" s="11">
        <v>1.0075000000000001</v>
      </c>
      <c r="J43" s="12">
        <v>1.03</v>
      </c>
      <c r="K43" s="12">
        <v>1.0149999999999999</v>
      </c>
      <c r="L43" s="23"/>
      <c r="M43"/>
    </row>
    <row r="44" spans="1:17" x14ac:dyDescent="0.25">
      <c r="A44" s="43">
        <v>0.96799999999999997</v>
      </c>
      <c r="B44" s="43">
        <v>0.90400000000000003</v>
      </c>
      <c r="C44" s="42">
        <v>0.872</v>
      </c>
      <c r="D44" s="12">
        <f t="shared" si="1"/>
        <v>16</v>
      </c>
      <c r="E44" s="12">
        <v>0.84</v>
      </c>
      <c r="F44" s="43">
        <v>0.92</v>
      </c>
      <c r="G44" s="43">
        <v>0.93600000000000005</v>
      </c>
      <c r="H44" s="12">
        <f t="shared" si="2"/>
        <v>16</v>
      </c>
      <c r="I44" s="11">
        <v>1.008</v>
      </c>
      <c r="J44" s="12">
        <v>1.032</v>
      </c>
      <c r="K44" s="12">
        <v>1.016</v>
      </c>
      <c r="L44" s="23"/>
      <c r="M44"/>
    </row>
    <row r="45" spans="1:17" x14ac:dyDescent="0.25">
      <c r="A45" s="43">
        <v>0.96599999999999997</v>
      </c>
      <c r="B45" s="43">
        <v>0.89800000000000002</v>
      </c>
      <c r="C45" s="42">
        <v>0.86399999999999999</v>
      </c>
      <c r="D45" s="12">
        <f t="shared" si="1"/>
        <v>17</v>
      </c>
      <c r="E45" s="12">
        <v>0.83</v>
      </c>
      <c r="F45" s="43">
        <v>0.91500000000000004</v>
      </c>
      <c r="G45" s="43">
        <v>0.93200000000000005</v>
      </c>
      <c r="H45" s="12">
        <f t="shared" si="2"/>
        <v>17</v>
      </c>
      <c r="I45" s="11">
        <v>1.0085</v>
      </c>
      <c r="J45" s="11">
        <v>1.034</v>
      </c>
      <c r="K45" s="12">
        <v>1.0169999999999999</v>
      </c>
      <c r="L45" s="23"/>
      <c r="M45"/>
    </row>
    <row r="46" spans="1:17" x14ac:dyDescent="0.25">
      <c r="A46" s="43">
        <v>0.96399999999999997</v>
      </c>
      <c r="B46" s="43">
        <v>0.89200000000000002</v>
      </c>
      <c r="C46" s="42">
        <v>0.85599999999999998</v>
      </c>
      <c r="D46" s="12">
        <f t="shared" si="1"/>
        <v>18</v>
      </c>
      <c r="E46" s="12">
        <v>0.82</v>
      </c>
      <c r="F46" s="43">
        <v>0.91</v>
      </c>
      <c r="G46" s="43">
        <v>0.92800000000000005</v>
      </c>
      <c r="H46" s="12">
        <f t="shared" si="2"/>
        <v>18</v>
      </c>
      <c r="I46" s="11">
        <v>1.0089999999999999</v>
      </c>
      <c r="J46" s="11">
        <v>1.036</v>
      </c>
      <c r="K46" s="12">
        <v>1.018</v>
      </c>
      <c r="L46" s="23"/>
      <c r="M46"/>
    </row>
    <row r="47" spans="1:17" x14ac:dyDescent="0.25">
      <c r="A47" s="43">
        <v>0.96199999999999997</v>
      </c>
      <c r="B47" s="43">
        <v>0.88600000000000001</v>
      </c>
      <c r="C47" s="42">
        <v>0.84799999999999998</v>
      </c>
      <c r="D47" s="12">
        <f t="shared" si="1"/>
        <v>19</v>
      </c>
      <c r="E47" s="12">
        <v>0.81</v>
      </c>
      <c r="F47" s="43">
        <v>0.90500000000000003</v>
      </c>
      <c r="G47" s="43">
        <v>0.92400000000000004</v>
      </c>
      <c r="H47" s="12">
        <f t="shared" si="2"/>
        <v>19</v>
      </c>
      <c r="I47" s="11">
        <v>1.0095000000000001</v>
      </c>
      <c r="J47" s="11">
        <v>1.038</v>
      </c>
      <c r="K47" s="12">
        <v>1.0189999999999999</v>
      </c>
      <c r="L47" s="44"/>
      <c r="M47"/>
    </row>
    <row r="48" spans="1:17" x14ac:dyDescent="0.25">
      <c r="A48" s="43">
        <v>0.96</v>
      </c>
      <c r="B48" s="43">
        <v>0.88</v>
      </c>
      <c r="C48" s="42">
        <v>0.84</v>
      </c>
      <c r="D48" s="12">
        <f t="shared" si="1"/>
        <v>20</v>
      </c>
      <c r="E48" s="12">
        <v>0.8</v>
      </c>
      <c r="F48" s="43">
        <v>0.9</v>
      </c>
      <c r="G48" s="43">
        <v>0.92</v>
      </c>
      <c r="H48" s="12">
        <f t="shared" si="2"/>
        <v>20</v>
      </c>
      <c r="I48" s="11">
        <v>1.01</v>
      </c>
      <c r="J48" s="11">
        <v>1.04</v>
      </c>
      <c r="K48" s="12">
        <v>1.02</v>
      </c>
      <c r="L48" s="44"/>
      <c r="M48"/>
    </row>
    <row r="49" spans="1:13" x14ac:dyDescent="0.25">
      <c r="A49" s="43">
        <v>0.95799999999999996</v>
      </c>
      <c r="B49" s="43">
        <v>0.874</v>
      </c>
      <c r="C49" s="42">
        <v>0.83199999999999996</v>
      </c>
      <c r="D49" s="12">
        <f t="shared" si="1"/>
        <v>21</v>
      </c>
      <c r="E49" s="12">
        <v>0.79</v>
      </c>
      <c r="F49" s="43">
        <v>0.89500000000000002</v>
      </c>
      <c r="G49" s="43">
        <v>0.91600000000000004</v>
      </c>
      <c r="H49" s="12">
        <f t="shared" si="2"/>
        <v>21</v>
      </c>
      <c r="I49" s="11">
        <v>1.0105</v>
      </c>
      <c r="J49" s="11">
        <v>1.042</v>
      </c>
      <c r="K49" s="12">
        <v>1.0209999999999999</v>
      </c>
      <c r="L49" s="44"/>
      <c r="M49"/>
    </row>
    <row r="50" spans="1:13" x14ac:dyDescent="0.25">
      <c r="A50" s="43">
        <v>0.95599999999999996</v>
      </c>
      <c r="B50" s="43">
        <v>0.86799999999999999</v>
      </c>
      <c r="C50" s="42">
        <v>0.82399999999999995</v>
      </c>
      <c r="D50" s="12">
        <f t="shared" si="1"/>
        <v>22</v>
      </c>
      <c r="E50" s="12">
        <v>0.78</v>
      </c>
      <c r="F50" s="43">
        <v>0.89</v>
      </c>
      <c r="G50" s="43">
        <v>0.91200000000000003</v>
      </c>
      <c r="H50" s="12">
        <f t="shared" si="2"/>
        <v>22</v>
      </c>
      <c r="I50" s="11">
        <v>1.0109999999999999</v>
      </c>
      <c r="J50" s="11">
        <v>1.044</v>
      </c>
      <c r="K50" s="12">
        <v>1.022</v>
      </c>
      <c r="L50" s="44"/>
      <c r="M50"/>
    </row>
    <row r="51" spans="1:13" x14ac:dyDescent="0.25">
      <c r="A51" s="43">
        <v>0.95399999999999996</v>
      </c>
      <c r="B51" s="43">
        <v>0.86199999999999999</v>
      </c>
      <c r="C51" s="42">
        <v>0.81599999999999995</v>
      </c>
      <c r="D51" s="12">
        <f t="shared" si="1"/>
        <v>23</v>
      </c>
      <c r="E51" s="12">
        <v>0.77</v>
      </c>
      <c r="F51" s="43">
        <v>0.88500000000000001</v>
      </c>
      <c r="G51" s="43">
        <v>0.90800000000000003</v>
      </c>
      <c r="H51" s="12">
        <f t="shared" si="2"/>
        <v>23</v>
      </c>
      <c r="I51" s="11">
        <v>1.0115000000000001</v>
      </c>
      <c r="J51" s="11">
        <v>1.46</v>
      </c>
      <c r="K51" s="12">
        <v>1.0229999999999999</v>
      </c>
      <c r="L51" s="44"/>
      <c r="M51"/>
    </row>
    <row r="52" spans="1:13" x14ac:dyDescent="0.25">
      <c r="A52" s="43">
        <v>0.95199999999999996</v>
      </c>
      <c r="B52" s="43">
        <v>0.85599999999999998</v>
      </c>
      <c r="C52" s="42">
        <v>0.80800000000000005</v>
      </c>
      <c r="D52" s="12">
        <f t="shared" si="1"/>
        <v>24</v>
      </c>
      <c r="E52" s="12">
        <v>0.76</v>
      </c>
      <c r="F52" s="43">
        <v>0.88</v>
      </c>
      <c r="G52" s="43">
        <v>0.90400000000000003</v>
      </c>
      <c r="H52" s="12">
        <f t="shared" si="2"/>
        <v>24</v>
      </c>
      <c r="I52" s="11">
        <v>1.012</v>
      </c>
      <c r="J52" s="11">
        <v>1.048</v>
      </c>
      <c r="K52" s="12">
        <v>1.024</v>
      </c>
      <c r="L52" s="44"/>
      <c r="M52"/>
    </row>
    <row r="53" spans="1:13" x14ac:dyDescent="0.25">
      <c r="A53" s="43">
        <v>0.95</v>
      </c>
      <c r="B53" s="43">
        <v>0.85</v>
      </c>
      <c r="C53" s="42">
        <v>0.8</v>
      </c>
      <c r="D53" s="12">
        <f t="shared" si="1"/>
        <v>25</v>
      </c>
      <c r="E53" s="12">
        <v>0.75</v>
      </c>
      <c r="F53" s="43">
        <v>0.875</v>
      </c>
      <c r="G53" s="43">
        <v>0.9</v>
      </c>
      <c r="H53" s="12">
        <f t="shared" si="2"/>
        <v>25</v>
      </c>
      <c r="I53" s="11">
        <v>1.0125</v>
      </c>
      <c r="J53" s="11">
        <v>1.05</v>
      </c>
      <c r="K53" s="12">
        <v>1.0249999999999999</v>
      </c>
    </row>
    <row r="54" spans="1:13" x14ac:dyDescent="0.25">
      <c r="A54" s="43">
        <v>0.94799999999999995</v>
      </c>
      <c r="B54" s="43">
        <v>0.84399999999999997</v>
      </c>
      <c r="C54" s="42">
        <v>0.79200000000000004</v>
      </c>
      <c r="D54" s="12">
        <f t="shared" si="1"/>
        <v>26</v>
      </c>
      <c r="E54" s="12">
        <v>0.74</v>
      </c>
      <c r="F54" s="43">
        <v>0.87</v>
      </c>
      <c r="G54" s="43">
        <v>0.89600000000000002</v>
      </c>
      <c r="H54" s="12">
        <f t="shared" si="2"/>
        <v>26</v>
      </c>
      <c r="I54" s="11">
        <v>1.0129999999999999</v>
      </c>
      <c r="J54" s="11">
        <v>1.052</v>
      </c>
      <c r="K54" s="12">
        <v>1.026</v>
      </c>
      <c r="L54" s="44"/>
      <c r="M54"/>
    </row>
    <row r="55" spans="1:13" x14ac:dyDescent="0.25">
      <c r="A55" s="43">
        <v>0.94599999999999995</v>
      </c>
      <c r="B55" s="43">
        <v>0.83799999999999997</v>
      </c>
      <c r="C55" s="42">
        <v>0.78400000000000003</v>
      </c>
      <c r="D55" s="12">
        <f t="shared" si="1"/>
        <v>27</v>
      </c>
      <c r="E55" s="12">
        <v>0.73</v>
      </c>
      <c r="F55" s="43">
        <v>0.86499999999999999</v>
      </c>
      <c r="G55" s="43">
        <v>0.89200000000000002</v>
      </c>
      <c r="H55" s="12">
        <f t="shared" si="2"/>
        <v>27</v>
      </c>
      <c r="I55" s="11">
        <v>1.0135000000000001</v>
      </c>
      <c r="J55" s="11">
        <v>1.054</v>
      </c>
      <c r="K55" s="12">
        <v>1.0269999999999999</v>
      </c>
      <c r="L55" s="44"/>
      <c r="M55"/>
    </row>
    <row r="56" spans="1:13" x14ac:dyDescent="0.25">
      <c r="A56" s="43">
        <v>0.94399999999999995</v>
      </c>
      <c r="B56" s="43">
        <v>0.83199999999999996</v>
      </c>
      <c r="C56" s="42">
        <v>0.77600000000000002</v>
      </c>
      <c r="D56" s="12">
        <f t="shared" si="1"/>
        <v>28</v>
      </c>
      <c r="E56" s="12">
        <v>0.72</v>
      </c>
      <c r="F56" s="43">
        <v>0.86</v>
      </c>
      <c r="G56" s="43">
        <v>0.88800000000000001</v>
      </c>
      <c r="H56" s="12">
        <f t="shared" si="2"/>
        <v>28</v>
      </c>
      <c r="I56" s="11">
        <v>1.014</v>
      </c>
      <c r="J56" s="11">
        <v>1.056</v>
      </c>
      <c r="K56" s="12">
        <v>1.028</v>
      </c>
      <c r="L56" s="44"/>
      <c r="M56"/>
    </row>
    <row r="57" spans="1:13" x14ac:dyDescent="0.25">
      <c r="A57" s="43">
        <v>0.94199999999999995</v>
      </c>
      <c r="B57" s="43">
        <v>0.82599999999999996</v>
      </c>
      <c r="C57" s="42">
        <v>0.76800000000000002</v>
      </c>
      <c r="D57" s="12">
        <f t="shared" si="1"/>
        <v>29</v>
      </c>
      <c r="E57" s="12">
        <v>0.71</v>
      </c>
      <c r="F57" s="43">
        <v>0.85499999999999998</v>
      </c>
      <c r="G57" s="43">
        <v>0.88400000000000001</v>
      </c>
      <c r="H57" s="12">
        <f t="shared" si="2"/>
        <v>29</v>
      </c>
      <c r="I57" s="11">
        <v>1.0145</v>
      </c>
      <c r="J57" s="11">
        <v>1.0580000000000001</v>
      </c>
      <c r="K57" s="12">
        <v>1.0289999999999999</v>
      </c>
      <c r="L57" s="44"/>
      <c r="M57"/>
    </row>
    <row r="58" spans="1:13" x14ac:dyDescent="0.25">
      <c r="A58" s="43">
        <v>0.94</v>
      </c>
      <c r="B58" s="43">
        <v>0.82</v>
      </c>
      <c r="C58" s="42">
        <v>0.76</v>
      </c>
      <c r="D58" s="12">
        <f t="shared" si="1"/>
        <v>30</v>
      </c>
      <c r="E58" s="12">
        <v>0.7</v>
      </c>
      <c r="F58" s="43">
        <v>0.85</v>
      </c>
      <c r="G58" s="43">
        <v>0.88</v>
      </c>
      <c r="H58" s="12">
        <f t="shared" si="2"/>
        <v>30</v>
      </c>
      <c r="I58" s="11">
        <v>1.0149999999999999</v>
      </c>
      <c r="J58" s="11">
        <v>1.06</v>
      </c>
      <c r="K58" s="12">
        <v>1.03</v>
      </c>
      <c r="L58" s="44"/>
      <c r="M58"/>
    </row>
    <row r="59" spans="1:13" x14ac:dyDescent="0.25">
      <c r="A59" s="43">
        <v>0.93799999999999994</v>
      </c>
      <c r="B59" s="43">
        <v>0.81399999999999995</v>
      </c>
      <c r="C59" s="42">
        <v>0.752</v>
      </c>
      <c r="D59" s="12">
        <f t="shared" si="1"/>
        <v>31</v>
      </c>
      <c r="E59" s="12">
        <v>0.69</v>
      </c>
      <c r="F59" s="43">
        <v>0.84499999999999997</v>
      </c>
      <c r="G59" s="43">
        <v>0.876</v>
      </c>
      <c r="H59" s="12">
        <f t="shared" si="2"/>
        <v>31</v>
      </c>
      <c r="I59" s="11">
        <v>1.0155000000000001</v>
      </c>
      <c r="J59" s="11">
        <v>1.0620000000000001</v>
      </c>
      <c r="K59" s="12">
        <v>1.0309999999999999</v>
      </c>
      <c r="L59" s="44"/>
      <c r="M59"/>
    </row>
    <row r="60" spans="1:13" x14ac:dyDescent="0.25">
      <c r="A60" s="43">
        <v>0.93600000000000005</v>
      </c>
      <c r="B60" s="43">
        <v>0.80800000000000005</v>
      </c>
      <c r="C60" s="42">
        <v>0.74399999999999999</v>
      </c>
      <c r="D60" s="12">
        <f t="shared" si="1"/>
        <v>32</v>
      </c>
      <c r="E60" s="12">
        <v>0.68</v>
      </c>
      <c r="F60" s="43">
        <v>0.84</v>
      </c>
      <c r="G60" s="43">
        <v>0.872</v>
      </c>
      <c r="H60" s="12">
        <f t="shared" si="2"/>
        <v>32</v>
      </c>
      <c r="I60" s="11">
        <v>1.016</v>
      </c>
      <c r="J60" s="11">
        <v>1.0640000000000001</v>
      </c>
      <c r="K60" s="12">
        <v>1.032</v>
      </c>
      <c r="L60" s="44"/>
      <c r="M60"/>
    </row>
    <row r="61" spans="1:13" x14ac:dyDescent="0.25">
      <c r="A61" s="43">
        <v>0.93400000000000005</v>
      </c>
      <c r="B61" s="43">
        <v>0.80200000000000005</v>
      </c>
      <c r="C61" s="42">
        <v>0.73599999999999999</v>
      </c>
      <c r="D61" s="12">
        <f t="shared" ref="D61:D77" si="3">D60+1</f>
        <v>33</v>
      </c>
      <c r="E61" s="12">
        <v>0.67</v>
      </c>
      <c r="F61" s="43">
        <v>0.83499999999999996</v>
      </c>
      <c r="G61" s="43">
        <v>0.86799999999999999</v>
      </c>
      <c r="H61" s="12">
        <f t="shared" ref="H61:H92" si="4">H60+1</f>
        <v>33</v>
      </c>
      <c r="I61" s="11">
        <v>1.0165</v>
      </c>
      <c r="J61" s="11">
        <v>1.0660000000000001</v>
      </c>
      <c r="K61" s="12">
        <v>1.0329999999999999</v>
      </c>
      <c r="L61" s="44"/>
      <c r="M61"/>
    </row>
    <row r="62" spans="1:13" x14ac:dyDescent="0.25">
      <c r="A62" s="43">
        <v>0.93200000000000005</v>
      </c>
      <c r="B62" s="43">
        <v>0.79600000000000004</v>
      </c>
      <c r="C62" s="42">
        <v>0.72799999999999998</v>
      </c>
      <c r="D62" s="12">
        <f t="shared" si="3"/>
        <v>34</v>
      </c>
      <c r="E62" s="12">
        <v>0.66</v>
      </c>
      <c r="F62" s="43">
        <v>0.83</v>
      </c>
      <c r="G62" s="43">
        <v>0.86399999999999999</v>
      </c>
      <c r="H62" s="12">
        <f t="shared" si="4"/>
        <v>34</v>
      </c>
      <c r="I62" s="11">
        <v>1.0169999999999999</v>
      </c>
      <c r="J62" s="11">
        <v>1.0680000000000001</v>
      </c>
      <c r="K62" s="12">
        <v>1.034</v>
      </c>
      <c r="L62" s="44"/>
      <c r="M62"/>
    </row>
    <row r="63" spans="1:13" x14ac:dyDescent="0.25">
      <c r="A63" s="43">
        <v>0.93</v>
      </c>
      <c r="B63" s="43">
        <v>0.79</v>
      </c>
      <c r="C63" s="42">
        <v>0.72</v>
      </c>
      <c r="D63" s="12">
        <f t="shared" si="3"/>
        <v>35</v>
      </c>
      <c r="E63" s="12">
        <v>0.65</v>
      </c>
      <c r="F63" s="43">
        <v>0.82499999999999996</v>
      </c>
      <c r="G63" s="43">
        <v>0.86</v>
      </c>
      <c r="H63" s="12">
        <f t="shared" si="4"/>
        <v>35</v>
      </c>
      <c r="I63" s="11">
        <v>1.0175000000000001</v>
      </c>
      <c r="J63" s="11">
        <v>1.07</v>
      </c>
      <c r="K63" s="12">
        <v>1.0349999999999999</v>
      </c>
      <c r="L63" s="44"/>
      <c r="M63"/>
    </row>
    <row r="64" spans="1:13" x14ac:dyDescent="0.25">
      <c r="A64" s="43">
        <v>0.92800000000000005</v>
      </c>
      <c r="B64" s="43">
        <v>0.78400000000000003</v>
      </c>
      <c r="C64" s="42">
        <v>0.71199999999999997</v>
      </c>
      <c r="D64" s="12">
        <f t="shared" si="3"/>
        <v>36</v>
      </c>
      <c r="E64" s="12">
        <v>0.64</v>
      </c>
      <c r="F64" s="43">
        <v>0.82</v>
      </c>
      <c r="G64" s="43">
        <v>0.85599999999999998</v>
      </c>
      <c r="H64" s="12">
        <f t="shared" si="4"/>
        <v>36</v>
      </c>
      <c r="I64" s="11">
        <v>1.018</v>
      </c>
      <c r="J64" s="11">
        <v>1.0720000000000001</v>
      </c>
      <c r="K64" s="12">
        <v>1.036</v>
      </c>
      <c r="L64" s="44"/>
      <c r="M64"/>
    </row>
    <row r="65" spans="1:11" x14ac:dyDescent="0.25">
      <c r="A65" s="43">
        <v>0.92600000000000005</v>
      </c>
      <c r="B65" s="43">
        <v>0.77800000000000002</v>
      </c>
      <c r="C65" s="42">
        <v>0.70399999999999996</v>
      </c>
      <c r="D65" s="12">
        <f t="shared" si="3"/>
        <v>37</v>
      </c>
      <c r="E65" s="12">
        <v>0.63</v>
      </c>
      <c r="F65" s="43">
        <v>0.81499999999999995</v>
      </c>
      <c r="G65" s="43">
        <v>0.85199999999999998</v>
      </c>
      <c r="H65" s="12">
        <f t="shared" si="4"/>
        <v>37</v>
      </c>
      <c r="I65" s="11">
        <v>1.0185</v>
      </c>
      <c r="J65" s="11">
        <v>1.0740000000000001</v>
      </c>
      <c r="K65" s="12">
        <v>1.0369999999999999</v>
      </c>
    </row>
    <row r="66" spans="1:11" x14ac:dyDescent="0.25">
      <c r="A66" s="43">
        <v>0.92400000000000004</v>
      </c>
      <c r="B66" s="43">
        <v>0.77200000000000002</v>
      </c>
      <c r="C66" s="42">
        <v>0.69599999999999995</v>
      </c>
      <c r="D66" s="12">
        <f t="shared" si="3"/>
        <v>38</v>
      </c>
      <c r="E66" s="12">
        <v>0.62</v>
      </c>
      <c r="F66" s="43">
        <v>0.81</v>
      </c>
      <c r="G66" s="43">
        <v>0.84799999999999998</v>
      </c>
      <c r="H66" s="12">
        <f t="shared" si="4"/>
        <v>38</v>
      </c>
      <c r="I66" s="11">
        <v>1.0189999999999999</v>
      </c>
      <c r="J66" s="11">
        <v>1.0760000000000001</v>
      </c>
      <c r="K66" s="12">
        <v>1.038</v>
      </c>
    </row>
    <row r="67" spans="1:11" x14ac:dyDescent="0.25">
      <c r="A67" s="43">
        <v>0.92200000000000004</v>
      </c>
      <c r="B67" s="43">
        <v>0.76600000000000001</v>
      </c>
      <c r="C67" s="42">
        <v>0.68799999999999994</v>
      </c>
      <c r="D67" s="12">
        <f t="shared" si="3"/>
        <v>39</v>
      </c>
      <c r="E67" s="12">
        <v>0.61</v>
      </c>
      <c r="F67" s="43">
        <v>0.80500000000000005</v>
      </c>
      <c r="G67" s="43">
        <v>0.84399999999999997</v>
      </c>
      <c r="H67" s="12">
        <f t="shared" si="4"/>
        <v>39</v>
      </c>
      <c r="I67" s="11">
        <v>1.0195000000000001</v>
      </c>
      <c r="J67" s="11">
        <v>1.0780000000000001</v>
      </c>
      <c r="K67" s="12">
        <v>1.0389999999999999</v>
      </c>
    </row>
    <row r="68" spans="1:11" x14ac:dyDescent="0.25">
      <c r="A68" s="43">
        <v>0.92</v>
      </c>
      <c r="B68" s="43">
        <v>0.76</v>
      </c>
      <c r="C68" s="42">
        <v>0.68</v>
      </c>
      <c r="D68" s="12">
        <f t="shared" si="3"/>
        <v>40</v>
      </c>
      <c r="E68" s="12">
        <v>0.6</v>
      </c>
      <c r="F68" s="43">
        <v>0.8</v>
      </c>
      <c r="G68" s="43">
        <v>0.84</v>
      </c>
      <c r="H68" s="12">
        <f t="shared" si="4"/>
        <v>40</v>
      </c>
      <c r="I68" s="11">
        <v>1.02</v>
      </c>
      <c r="J68" s="11">
        <v>1.08</v>
      </c>
      <c r="K68" s="12">
        <v>1.04</v>
      </c>
    </row>
    <row r="69" spans="1:11" x14ac:dyDescent="0.25">
      <c r="A69" s="43">
        <v>0.91800000000000004</v>
      </c>
      <c r="B69" s="43">
        <v>0.754</v>
      </c>
      <c r="C69" s="42">
        <v>0.67200000000000004</v>
      </c>
      <c r="D69" s="12">
        <f t="shared" si="3"/>
        <v>41</v>
      </c>
      <c r="E69" s="12">
        <v>0.59</v>
      </c>
      <c r="F69" s="43">
        <v>0.79500000000000004</v>
      </c>
      <c r="G69" s="43">
        <v>0.83599999999999997</v>
      </c>
      <c r="H69" s="12">
        <f t="shared" si="4"/>
        <v>41</v>
      </c>
      <c r="I69" s="11">
        <v>1.0205</v>
      </c>
      <c r="J69" s="11">
        <v>1.0820000000000001</v>
      </c>
      <c r="K69" s="12">
        <v>1.0409999999999999</v>
      </c>
    </row>
    <row r="70" spans="1:11" x14ac:dyDescent="0.25">
      <c r="A70" s="43">
        <v>0.91600000000000004</v>
      </c>
      <c r="B70" s="43">
        <v>0.748</v>
      </c>
      <c r="C70" s="42">
        <v>0.66400000000000003</v>
      </c>
      <c r="D70" s="12">
        <f t="shared" si="3"/>
        <v>42</v>
      </c>
      <c r="E70" s="12">
        <v>0.57999999999999996</v>
      </c>
      <c r="F70" s="43">
        <v>0.79</v>
      </c>
      <c r="G70" s="43">
        <v>0.83199999999999996</v>
      </c>
      <c r="H70" s="12">
        <f t="shared" si="4"/>
        <v>42</v>
      </c>
      <c r="I70" s="11">
        <v>1.0209999999999999</v>
      </c>
      <c r="J70" s="11">
        <v>1.0840000000000001</v>
      </c>
      <c r="K70" s="12">
        <v>1.042</v>
      </c>
    </row>
    <row r="71" spans="1:11" x14ac:dyDescent="0.25">
      <c r="A71" s="43">
        <v>0.91400000000000003</v>
      </c>
      <c r="B71" s="43">
        <v>0.74199999999999999</v>
      </c>
      <c r="C71" s="42">
        <v>0.65600000000000003</v>
      </c>
      <c r="D71" s="12">
        <f t="shared" si="3"/>
        <v>43</v>
      </c>
      <c r="E71" s="12">
        <v>0.56999999999999995</v>
      </c>
      <c r="F71" s="43">
        <v>0.78500000000000003</v>
      </c>
      <c r="G71" s="43">
        <v>0.82799999999999996</v>
      </c>
      <c r="H71" s="12">
        <f t="shared" si="4"/>
        <v>43</v>
      </c>
      <c r="I71" s="11">
        <v>1.0215000000000001</v>
      </c>
      <c r="J71" s="11">
        <v>1.0860000000000001</v>
      </c>
      <c r="K71" s="12">
        <v>1.0429999999999999</v>
      </c>
    </row>
    <row r="72" spans="1:11" x14ac:dyDescent="0.25">
      <c r="A72" s="43">
        <v>0.91200000000000003</v>
      </c>
      <c r="B72" s="43">
        <v>0.73599999999999999</v>
      </c>
      <c r="C72" s="42">
        <v>0.64800000000000002</v>
      </c>
      <c r="D72" s="12">
        <f t="shared" si="3"/>
        <v>44</v>
      </c>
      <c r="E72" s="12">
        <v>0.56000000000000005</v>
      </c>
      <c r="F72" s="43">
        <v>0.78</v>
      </c>
      <c r="G72" s="43">
        <v>0.82399999999999995</v>
      </c>
      <c r="H72" s="12">
        <f t="shared" si="4"/>
        <v>44</v>
      </c>
      <c r="I72" s="11">
        <v>1.022</v>
      </c>
      <c r="J72" s="11">
        <v>1.0880000000000001</v>
      </c>
      <c r="K72" s="12">
        <v>1.044</v>
      </c>
    </row>
    <row r="73" spans="1:11" x14ac:dyDescent="0.25">
      <c r="A73" s="43">
        <v>0.91</v>
      </c>
      <c r="B73" s="43">
        <v>0.73</v>
      </c>
      <c r="C73" s="42">
        <v>0.64</v>
      </c>
      <c r="D73" s="12">
        <f t="shared" si="3"/>
        <v>45</v>
      </c>
      <c r="E73" s="12">
        <v>0.55000000000000004</v>
      </c>
      <c r="F73" s="43">
        <v>0.77500000000000002</v>
      </c>
      <c r="G73" s="43">
        <v>0.82</v>
      </c>
      <c r="H73" s="12">
        <f t="shared" si="4"/>
        <v>45</v>
      </c>
      <c r="I73" s="11">
        <v>1.0225</v>
      </c>
      <c r="J73" s="11">
        <v>1.0900000000000001</v>
      </c>
      <c r="K73" s="12">
        <v>1.0449999999999999</v>
      </c>
    </row>
    <row r="74" spans="1:11" x14ac:dyDescent="0.25">
      <c r="A74" s="43">
        <v>0.90800000000000003</v>
      </c>
      <c r="B74" s="43">
        <v>0.72399999999999998</v>
      </c>
      <c r="C74" s="42">
        <v>0.63200000000000001</v>
      </c>
      <c r="D74" s="12">
        <f t="shared" si="3"/>
        <v>46</v>
      </c>
      <c r="E74" s="12">
        <v>0.54</v>
      </c>
      <c r="F74" s="43">
        <v>0.77</v>
      </c>
      <c r="G74" s="43">
        <v>0.81599999999999995</v>
      </c>
      <c r="H74" s="12">
        <f t="shared" si="4"/>
        <v>46</v>
      </c>
      <c r="I74" s="11">
        <v>1.0229999999999999</v>
      </c>
      <c r="J74" s="11">
        <v>1.0920000000000001</v>
      </c>
      <c r="K74" s="12">
        <v>1.046</v>
      </c>
    </row>
    <row r="75" spans="1:11" x14ac:dyDescent="0.25">
      <c r="A75" s="43">
        <v>0.90600000000000003</v>
      </c>
      <c r="B75" s="43">
        <v>0.71799999999999997</v>
      </c>
      <c r="C75" s="42">
        <v>0.624</v>
      </c>
      <c r="D75" s="12">
        <f t="shared" si="3"/>
        <v>47</v>
      </c>
      <c r="E75" s="12">
        <v>0.53</v>
      </c>
      <c r="F75" s="43">
        <v>0.76500000000000001</v>
      </c>
      <c r="G75" s="43">
        <v>0.81200000000000006</v>
      </c>
      <c r="H75" s="12">
        <f t="shared" si="4"/>
        <v>47</v>
      </c>
      <c r="I75" s="11">
        <v>1.0235000000000001</v>
      </c>
      <c r="J75" s="11">
        <v>1.0940000000000001</v>
      </c>
      <c r="K75" s="12">
        <v>1.0469999999999999</v>
      </c>
    </row>
    <row r="76" spans="1:11" x14ac:dyDescent="0.25">
      <c r="A76" s="43">
        <v>0.90400000000000003</v>
      </c>
      <c r="B76" s="43">
        <v>0.71199999999999997</v>
      </c>
      <c r="C76" s="42">
        <v>0.61599999999999999</v>
      </c>
      <c r="D76" s="12">
        <f t="shared" si="3"/>
        <v>48</v>
      </c>
      <c r="E76" s="12">
        <v>0.52</v>
      </c>
      <c r="F76" s="43">
        <v>0.76</v>
      </c>
      <c r="G76" s="43">
        <v>0.80800000000000005</v>
      </c>
      <c r="H76" s="12">
        <f t="shared" si="4"/>
        <v>48</v>
      </c>
      <c r="I76" s="11">
        <v>1.024</v>
      </c>
      <c r="J76" s="11">
        <v>1.0960000000000001</v>
      </c>
      <c r="K76" s="12">
        <v>1.048</v>
      </c>
    </row>
    <row r="77" spans="1:11" x14ac:dyDescent="0.25">
      <c r="A77" s="43">
        <v>0.90200000000000002</v>
      </c>
      <c r="B77" s="43">
        <v>0.70599999999999996</v>
      </c>
      <c r="C77" s="42">
        <v>0.60799999999999998</v>
      </c>
      <c r="D77" s="12">
        <f t="shared" si="3"/>
        <v>49</v>
      </c>
      <c r="E77" s="12">
        <v>0.51</v>
      </c>
      <c r="F77" s="42">
        <v>0.755</v>
      </c>
      <c r="G77" s="43">
        <v>0.80400000000000005</v>
      </c>
      <c r="H77" s="12">
        <f t="shared" si="4"/>
        <v>49</v>
      </c>
      <c r="I77" s="11">
        <v>1.0245</v>
      </c>
      <c r="J77" s="11">
        <v>1.0980000000000001</v>
      </c>
      <c r="K77" s="12">
        <v>1.0489999999999999</v>
      </c>
    </row>
    <row r="78" spans="1:11" x14ac:dyDescent="0.25">
      <c r="A78" s="42">
        <v>0.9</v>
      </c>
      <c r="B78" s="42">
        <v>0.7</v>
      </c>
      <c r="C78" s="42">
        <v>0.6</v>
      </c>
      <c r="D78" s="12">
        <v>50</v>
      </c>
      <c r="E78" s="11">
        <v>0.5</v>
      </c>
      <c r="F78" s="42">
        <v>0.75</v>
      </c>
      <c r="G78" s="42">
        <v>0.8</v>
      </c>
      <c r="H78" s="12">
        <f t="shared" si="4"/>
        <v>50</v>
      </c>
      <c r="I78" s="11">
        <v>1.0249999999999999</v>
      </c>
      <c r="J78" s="11">
        <v>1.1000000000000001</v>
      </c>
      <c r="K78" s="12">
        <v>1.05</v>
      </c>
    </row>
    <row r="79" spans="1:11" x14ac:dyDescent="0.25">
      <c r="B79" s="11"/>
      <c r="D79" s="12"/>
      <c r="E79" s="12"/>
      <c r="F79" s="12"/>
      <c r="H79" s="12">
        <f t="shared" si="4"/>
        <v>51</v>
      </c>
      <c r="I79" s="11">
        <v>1.0255000000000001</v>
      </c>
      <c r="J79" s="11">
        <v>1.1020000000000001</v>
      </c>
      <c r="K79" s="12">
        <v>1.0509999999999999</v>
      </c>
    </row>
    <row r="80" spans="1:11" x14ac:dyDescent="0.25">
      <c r="B80" s="11">
        <v>0.99299999999999999</v>
      </c>
      <c r="C80" s="10">
        <v>0.997</v>
      </c>
      <c r="D80" s="41">
        <v>0.99</v>
      </c>
      <c r="E80" s="41">
        <v>0.98799999999999999</v>
      </c>
      <c r="F80" s="12"/>
      <c r="H80" s="12">
        <f t="shared" si="4"/>
        <v>52</v>
      </c>
      <c r="I80" s="11">
        <v>1.026</v>
      </c>
      <c r="J80" s="11">
        <v>1.1040000000000001</v>
      </c>
      <c r="K80" s="12">
        <v>1.052</v>
      </c>
    </row>
    <row r="81" spans="2:11" x14ac:dyDescent="0.25">
      <c r="B81" s="11">
        <v>0.98599999999999999</v>
      </c>
      <c r="C81" s="10">
        <v>0.99399999999999999</v>
      </c>
      <c r="D81" s="41">
        <v>0.98</v>
      </c>
      <c r="E81" s="41">
        <v>0.97599999999999998</v>
      </c>
      <c r="F81" s="12"/>
      <c r="H81" s="12">
        <f t="shared" si="4"/>
        <v>53</v>
      </c>
      <c r="I81" s="11">
        <v>1.0265</v>
      </c>
      <c r="J81" s="11">
        <v>1.1060000000000001</v>
      </c>
      <c r="K81" s="12">
        <v>1.0529999999999999</v>
      </c>
    </row>
    <row r="82" spans="2:11" x14ac:dyDescent="0.25">
      <c r="B82" s="11">
        <v>0.97899999999999998</v>
      </c>
      <c r="C82" s="10">
        <v>0.99099999999999999</v>
      </c>
      <c r="D82" s="41">
        <v>0.97</v>
      </c>
      <c r="E82" s="41">
        <v>0.96399999999999997</v>
      </c>
      <c r="F82" s="12"/>
      <c r="H82" s="12">
        <f t="shared" si="4"/>
        <v>54</v>
      </c>
      <c r="I82" s="11">
        <v>1.0269999999999999</v>
      </c>
      <c r="J82" s="11">
        <v>1.1080000000000001</v>
      </c>
      <c r="K82" s="12">
        <v>1.054</v>
      </c>
    </row>
    <row r="83" spans="2:11" x14ac:dyDescent="0.25">
      <c r="B83" s="11">
        <v>0.97199999999999998</v>
      </c>
      <c r="C83" s="10">
        <v>0.98799999999999999</v>
      </c>
      <c r="D83" s="41">
        <v>0.96</v>
      </c>
      <c r="E83" s="41">
        <v>0.95199999999999996</v>
      </c>
      <c r="F83" s="12"/>
      <c r="H83" s="12">
        <f t="shared" si="4"/>
        <v>55</v>
      </c>
      <c r="I83" s="11">
        <v>1.0275000000000001</v>
      </c>
      <c r="J83" s="11">
        <v>1.1100000000000001</v>
      </c>
      <c r="K83" s="12">
        <v>1.0549999999999999</v>
      </c>
    </row>
    <row r="84" spans="2:11" x14ac:dyDescent="0.25">
      <c r="B84" s="11">
        <v>0.96499999999999997</v>
      </c>
      <c r="C84" s="10">
        <v>0.98499999999999999</v>
      </c>
      <c r="D84" s="41">
        <v>0.95</v>
      </c>
      <c r="E84" s="41">
        <v>0.94</v>
      </c>
      <c r="F84" s="12"/>
      <c r="H84" s="12">
        <f t="shared" si="4"/>
        <v>56</v>
      </c>
      <c r="I84" s="11">
        <v>1.028</v>
      </c>
      <c r="J84" s="11">
        <v>1.1120000000000001</v>
      </c>
      <c r="K84" s="12">
        <v>1.056</v>
      </c>
    </row>
    <row r="85" spans="2:11" x14ac:dyDescent="0.25">
      <c r="B85" s="11">
        <v>0.95799999999999996</v>
      </c>
      <c r="C85" s="10">
        <v>0.98199999999999998</v>
      </c>
      <c r="D85" s="41">
        <v>0.94</v>
      </c>
      <c r="E85" s="41">
        <v>0.92800000000000005</v>
      </c>
      <c r="F85" s="12"/>
      <c r="H85" s="12">
        <f t="shared" si="4"/>
        <v>57</v>
      </c>
      <c r="I85" s="11">
        <v>1.0285</v>
      </c>
      <c r="J85" s="11">
        <v>1.1140000000000001</v>
      </c>
      <c r="K85" s="12">
        <v>1.0569999999999999</v>
      </c>
    </row>
    <row r="86" spans="2:11" x14ac:dyDescent="0.25">
      <c r="B86" s="11">
        <v>0.95099999999999996</v>
      </c>
      <c r="C86" s="10">
        <v>0.97899999999999998</v>
      </c>
      <c r="D86" s="41">
        <v>0.93</v>
      </c>
      <c r="E86" s="41">
        <v>0.91600000000000004</v>
      </c>
      <c r="F86" s="12"/>
      <c r="H86" s="12">
        <f t="shared" si="4"/>
        <v>58</v>
      </c>
      <c r="I86" s="11">
        <v>1.0289999999999999</v>
      </c>
      <c r="J86" s="11">
        <v>1.1160000000000001</v>
      </c>
      <c r="K86" s="12">
        <v>1.0580000000000001</v>
      </c>
    </row>
    <row r="87" spans="2:11" x14ac:dyDescent="0.25">
      <c r="B87" s="11">
        <v>0.94399999999999995</v>
      </c>
      <c r="C87" s="10">
        <v>0.97599999999999998</v>
      </c>
      <c r="D87" s="41">
        <v>0.92</v>
      </c>
      <c r="E87" s="41">
        <v>0.90400000000000003</v>
      </c>
      <c r="F87" s="12"/>
      <c r="H87" s="12">
        <f t="shared" si="4"/>
        <v>59</v>
      </c>
      <c r="I87" s="11">
        <v>1.0295000000000001</v>
      </c>
      <c r="J87" s="11">
        <v>1.1180000000000001</v>
      </c>
      <c r="K87" s="12">
        <v>1.0589999999999999</v>
      </c>
    </row>
    <row r="88" spans="2:11" x14ac:dyDescent="0.25">
      <c r="B88" s="11">
        <v>0.93700000000000006</v>
      </c>
      <c r="C88" s="10">
        <v>0.97299999999999998</v>
      </c>
      <c r="D88" s="41">
        <v>0.91</v>
      </c>
      <c r="E88" s="41">
        <v>0.89200000000000002</v>
      </c>
      <c r="F88" s="12"/>
      <c r="H88" s="12">
        <f t="shared" si="4"/>
        <v>60</v>
      </c>
      <c r="I88" s="11">
        <v>1.03</v>
      </c>
      <c r="J88" s="11">
        <v>1.1200000000000001</v>
      </c>
      <c r="K88" s="12">
        <v>1.06</v>
      </c>
    </row>
    <row r="89" spans="2:11" x14ac:dyDescent="0.25">
      <c r="B89" s="11">
        <v>0.93</v>
      </c>
      <c r="C89" s="10">
        <v>0.97</v>
      </c>
      <c r="D89" s="41">
        <v>0.9</v>
      </c>
      <c r="E89" s="41">
        <v>0.88</v>
      </c>
      <c r="F89" s="12"/>
      <c r="H89" s="12">
        <f t="shared" si="4"/>
        <v>61</v>
      </c>
      <c r="I89" s="11">
        <v>1.0305</v>
      </c>
      <c r="J89" s="11">
        <v>1.1220000000000001</v>
      </c>
      <c r="K89" s="12">
        <v>1.0609999999999999</v>
      </c>
    </row>
    <row r="90" spans="2:11" x14ac:dyDescent="0.25">
      <c r="B90" s="11">
        <v>0.92300000000000004</v>
      </c>
      <c r="C90" s="10">
        <v>0.96699999999999997</v>
      </c>
      <c r="D90" s="41">
        <v>0.89</v>
      </c>
      <c r="E90" s="41">
        <v>0.86799999999999999</v>
      </c>
      <c r="F90" s="12"/>
      <c r="H90" s="12">
        <f t="shared" si="4"/>
        <v>62</v>
      </c>
      <c r="I90" s="11">
        <v>1.0309999999999999</v>
      </c>
      <c r="J90" s="11">
        <v>1.1240000000000001</v>
      </c>
      <c r="K90" s="12">
        <v>1.0620000000000001</v>
      </c>
    </row>
    <row r="91" spans="2:11" x14ac:dyDescent="0.25">
      <c r="B91" s="11">
        <v>0.91600000000000004</v>
      </c>
      <c r="C91" s="10">
        <v>0.96399999999999997</v>
      </c>
      <c r="D91" s="41">
        <v>0.88</v>
      </c>
      <c r="E91" s="41">
        <v>0.85599999999999998</v>
      </c>
      <c r="F91" s="12"/>
      <c r="H91" s="12">
        <f t="shared" si="4"/>
        <v>63</v>
      </c>
      <c r="I91" s="11">
        <v>1.0315000000000001</v>
      </c>
      <c r="J91" s="11">
        <v>1.1259999999999999</v>
      </c>
      <c r="K91" s="12">
        <v>1.0629999999999999</v>
      </c>
    </row>
    <row r="92" spans="2:11" x14ac:dyDescent="0.25">
      <c r="B92" s="11">
        <v>0.90900000000000003</v>
      </c>
      <c r="C92" s="10">
        <v>0.96099999999999997</v>
      </c>
      <c r="D92" s="41">
        <v>0.87</v>
      </c>
      <c r="E92" s="41">
        <v>0.84399999999999997</v>
      </c>
      <c r="F92" s="12"/>
      <c r="H92" s="12">
        <f t="shared" si="4"/>
        <v>64</v>
      </c>
      <c r="I92" s="11">
        <v>1.032</v>
      </c>
      <c r="J92" s="11">
        <v>1.1279999999999999</v>
      </c>
      <c r="K92" s="12">
        <v>1.0640000000000001</v>
      </c>
    </row>
    <row r="93" spans="2:11" x14ac:dyDescent="0.25">
      <c r="B93" s="11">
        <v>0.90200000000000002</v>
      </c>
      <c r="C93" s="10">
        <v>0.95799999999999996</v>
      </c>
      <c r="D93" s="41">
        <v>0.86</v>
      </c>
      <c r="E93" s="41">
        <v>0.83199999999999996</v>
      </c>
      <c r="F93" s="12"/>
      <c r="H93" s="12">
        <f t="shared" ref="H93:H128" si="5">H92+1</f>
        <v>65</v>
      </c>
      <c r="I93" s="11">
        <v>1.0325</v>
      </c>
      <c r="J93" s="11">
        <v>1.1299999999999999</v>
      </c>
      <c r="K93" s="12">
        <v>1.0649999999999999</v>
      </c>
    </row>
    <row r="94" spans="2:11" x14ac:dyDescent="0.25">
      <c r="B94" s="11">
        <v>0.89500000000000002</v>
      </c>
      <c r="C94" s="10">
        <v>0.95499999999999996</v>
      </c>
      <c r="D94" s="41">
        <v>0.85</v>
      </c>
      <c r="E94" s="41">
        <v>0.82</v>
      </c>
      <c r="F94" s="12"/>
      <c r="H94" s="12">
        <f t="shared" si="5"/>
        <v>66</v>
      </c>
      <c r="I94" s="11">
        <v>1.0329999999999999</v>
      </c>
      <c r="J94" s="11">
        <v>1.1319999999999999</v>
      </c>
      <c r="K94" s="12">
        <v>1.0660000000000001</v>
      </c>
    </row>
    <row r="95" spans="2:11" x14ac:dyDescent="0.25">
      <c r="B95" s="11">
        <v>0.88800000000000001</v>
      </c>
      <c r="C95" s="10">
        <v>0.95199999999999996</v>
      </c>
      <c r="D95" s="41">
        <v>0.84</v>
      </c>
      <c r="E95" s="41">
        <v>0.80800000000000005</v>
      </c>
      <c r="F95" s="12"/>
      <c r="H95" s="12">
        <f t="shared" si="5"/>
        <v>67</v>
      </c>
      <c r="I95" s="11">
        <v>1.0335000000000001</v>
      </c>
      <c r="J95" s="11">
        <v>1.1339999999999999</v>
      </c>
      <c r="K95" s="12">
        <v>1.0669999999999999</v>
      </c>
    </row>
    <row r="96" spans="2:11" x14ac:dyDescent="0.25">
      <c r="B96" s="11">
        <v>0.88100000000000001</v>
      </c>
      <c r="C96" s="10">
        <v>0.94899999999999995</v>
      </c>
      <c r="D96" s="41">
        <v>0.83</v>
      </c>
      <c r="E96" s="41">
        <v>0.79600000000000004</v>
      </c>
      <c r="F96" s="12"/>
      <c r="H96" s="12">
        <f t="shared" si="5"/>
        <v>68</v>
      </c>
      <c r="I96" s="11">
        <v>1.034</v>
      </c>
      <c r="J96" s="11">
        <v>1.1359999999999999</v>
      </c>
      <c r="K96" s="12">
        <v>1.0680000000000001</v>
      </c>
    </row>
    <row r="97" spans="2:11" x14ac:dyDescent="0.25">
      <c r="B97" s="11">
        <v>0.874</v>
      </c>
      <c r="C97" s="10">
        <v>0.94599999999999995</v>
      </c>
      <c r="D97" s="41">
        <v>0.82</v>
      </c>
      <c r="E97" s="41">
        <v>0.78400000000000003</v>
      </c>
      <c r="F97" s="12"/>
      <c r="H97" s="12">
        <f t="shared" si="5"/>
        <v>69</v>
      </c>
      <c r="I97" s="11">
        <v>1.0345</v>
      </c>
      <c r="J97" s="11">
        <v>1.1379999999999999</v>
      </c>
      <c r="K97" s="12">
        <v>1.069</v>
      </c>
    </row>
    <row r="98" spans="2:11" x14ac:dyDescent="0.25">
      <c r="B98" s="11">
        <v>0.86699999999999999</v>
      </c>
      <c r="C98" s="10">
        <v>0.94299999999999995</v>
      </c>
      <c r="D98" s="41">
        <v>0.81</v>
      </c>
      <c r="E98" s="41">
        <v>0.77200000000000002</v>
      </c>
      <c r="F98" s="12"/>
      <c r="H98" s="12">
        <f t="shared" si="5"/>
        <v>70</v>
      </c>
      <c r="I98" s="11">
        <v>1.0349999999999999</v>
      </c>
      <c r="J98" s="11">
        <v>1.1399999999999999</v>
      </c>
      <c r="K98" s="12">
        <v>1.07</v>
      </c>
    </row>
    <row r="99" spans="2:11" x14ac:dyDescent="0.25">
      <c r="B99" s="11">
        <v>0.86</v>
      </c>
      <c r="C99" s="10">
        <v>0.94</v>
      </c>
      <c r="D99" s="41">
        <v>0.8</v>
      </c>
      <c r="E99" s="41">
        <v>0.76</v>
      </c>
      <c r="F99" s="12"/>
      <c r="H99" s="12">
        <f t="shared" si="5"/>
        <v>71</v>
      </c>
      <c r="I99" s="11">
        <v>1.0355000000000001</v>
      </c>
      <c r="J99" s="11">
        <v>1.1419999999999999</v>
      </c>
      <c r="K99" s="12">
        <v>1.071</v>
      </c>
    </row>
    <row r="100" spans="2:11" x14ac:dyDescent="0.25">
      <c r="B100" s="11">
        <v>0.85299999999999998</v>
      </c>
      <c r="C100" s="10">
        <v>0.93700000000000006</v>
      </c>
      <c r="D100" s="41">
        <v>0.79</v>
      </c>
      <c r="E100" s="41">
        <v>0.748</v>
      </c>
      <c r="F100" s="12"/>
      <c r="H100" s="12">
        <f t="shared" si="5"/>
        <v>72</v>
      </c>
      <c r="I100" s="11">
        <v>1.036</v>
      </c>
      <c r="J100" s="11">
        <v>1.1439999999999999</v>
      </c>
      <c r="K100" s="12">
        <v>1.0720000000000001</v>
      </c>
    </row>
    <row r="101" spans="2:11" x14ac:dyDescent="0.25">
      <c r="B101" s="11">
        <v>0.84599999999999997</v>
      </c>
      <c r="C101" s="10">
        <v>0.93400000000000005</v>
      </c>
      <c r="D101" s="41">
        <v>0.78</v>
      </c>
      <c r="E101" s="41">
        <v>0.73599999999999999</v>
      </c>
      <c r="F101" s="12"/>
      <c r="H101" s="12">
        <f t="shared" si="5"/>
        <v>73</v>
      </c>
      <c r="I101" s="11">
        <v>1.0365</v>
      </c>
      <c r="J101" s="11">
        <v>1.1459999999999999</v>
      </c>
      <c r="K101" s="12">
        <v>1.073</v>
      </c>
    </row>
    <row r="102" spans="2:11" x14ac:dyDescent="0.25">
      <c r="B102" s="11">
        <v>0.83899999999999997</v>
      </c>
      <c r="C102" s="10">
        <v>0.93100000000000005</v>
      </c>
      <c r="D102" s="41">
        <v>0.77</v>
      </c>
      <c r="E102" s="41">
        <v>0.72399999999999998</v>
      </c>
      <c r="F102" s="12"/>
      <c r="H102" s="12">
        <f t="shared" si="5"/>
        <v>74</v>
      </c>
      <c r="I102" s="11">
        <v>1.0369999999999999</v>
      </c>
      <c r="J102" s="11">
        <v>1.1479999999999999</v>
      </c>
      <c r="K102" s="12">
        <v>1.0740000000000001</v>
      </c>
    </row>
    <row r="103" spans="2:11" x14ac:dyDescent="0.25">
      <c r="B103" s="11">
        <v>0.83199999999999996</v>
      </c>
      <c r="C103" s="10">
        <v>0.92800000000000005</v>
      </c>
      <c r="D103" s="41">
        <v>0.76</v>
      </c>
      <c r="E103" s="41">
        <v>0.71199999999999997</v>
      </c>
      <c r="F103" s="12"/>
      <c r="H103" s="12">
        <f t="shared" si="5"/>
        <v>75</v>
      </c>
      <c r="I103" s="11">
        <v>1.0375000000000001</v>
      </c>
      <c r="J103" s="11">
        <v>1.1499999999999999</v>
      </c>
      <c r="K103" s="12">
        <v>1.075</v>
      </c>
    </row>
    <row r="104" spans="2:11" x14ac:dyDescent="0.25">
      <c r="B104" s="11">
        <v>0.82499999999999996</v>
      </c>
      <c r="C104" s="10">
        <v>0.92500000000000004</v>
      </c>
      <c r="D104" s="41">
        <v>0.75</v>
      </c>
      <c r="E104" s="41">
        <v>0.7</v>
      </c>
      <c r="F104" s="12"/>
      <c r="H104" s="12">
        <f t="shared" si="5"/>
        <v>76</v>
      </c>
      <c r="I104" s="11">
        <v>1.038</v>
      </c>
      <c r="J104" s="11">
        <v>1.1519999999999999</v>
      </c>
      <c r="K104" s="12">
        <v>1.0760000000000001</v>
      </c>
    </row>
    <row r="105" spans="2:11" x14ac:dyDescent="0.25">
      <c r="B105" s="11">
        <v>0.81799999999999995</v>
      </c>
      <c r="C105" s="10">
        <v>0.92200000000000004</v>
      </c>
      <c r="D105" s="41">
        <v>0.74</v>
      </c>
      <c r="E105" s="41">
        <v>0.68799999999999994</v>
      </c>
      <c r="F105" s="12"/>
      <c r="H105" s="12">
        <f t="shared" si="5"/>
        <v>77</v>
      </c>
      <c r="I105" s="11">
        <v>1.0385</v>
      </c>
      <c r="J105" s="11">
        <v>1.1539999999999999</v>
      </c>
      <c r="K105" s="12">
        <v>1.077</v>
      </c>
    </row>
    <row r="106" spans="2:11" x14ac:dyDescent="0.25">
      <c r="B106" s="11">
        <v>0.81100000000000005</v>
      </c>
      <c r="C106" s="10">
        <v>0.91900000000000004</v>
      </c>
      <c r="D106" s="41">
        <v>0.73</v>
      </c>
      <c r="E106" s="41">
        <v>0.67600000000000005</v>
      </c>
      <c r="F106" s="12"/>
      <c r="H106" s="12">
        <f t="shared" si="5"/>
        <v>78</v>
      </c>
      <c r="I106" s="11">
        <v>1.0389999999999999</v>
      </c>
      <c r="J106" s="11">
        <v>1.1559999999999999</v>
      </c>
      <c r="K106" s="12">
        <v>1.0780000000000001</v>
      </c>
    </row>
    <row r="107" spans="2:11" x14ac:dyDescent="0.25">
      <c r="B107" s="11">
        <v>0.80400000000000005</v>
      </c>
      <c r="C107" s="10">
        <v>0.91600000000000004</v>
      </c>
      <c r="D107" s="41">
        <v>0.72</v>
      </c>
      <c r="E107" s="41">
        <v>0.66400000000000003</v>
      </c>
      <c r="F107" s="12"/>
      <c r="H107" s="12">
        <f t="shared" si="5"/>
        <v>79</v>
      </c>
      <c r="I107" s="11">
        <v>1.0395000000000001</v>
      </c>
      <c r="J107" s="11">
        <v>1.1579999999999999</v>
      </c>
      <c r="K107" s="12">
        <v>1.079</v>
      </c>
    </row>
    <row r="108" spans="2:11" x14ac:dyDescent="0.25">
      <c r="B108" s="11">
        <v>0.79700000000000004</v>
      </c>
      <c r="C108" s="10">
        <v>0.91300000000000003</v>
      </c>
      <c r="D108" s="41">
        <v>0.71</v>
      </c>
      <c r="E108" s="41">
        <v>0.65200000000000002</v>
      </c>
      <c r="F108" s="12"/>
      <c r="H108" s="12">
        <f t="shared" si="5"/>
        <v>80</v>
      </c>
      <c r="I108" s="11">
        <v>1.04</v>
      </c>
      <c r="J108" s="11">
        <v>1.1599999999999999</v>
      </c>
      <c r="K108" s="12">
        <v>1.08</v>
      </c>
    </row>
    <row r="109" spans="2:11" x14ac:dyDescent="0.25">
      <c r="B109" s="11">
        <v>0.79</v>
      </c>
      <c r="C109" s="10">
        <v>0.91</v>
      </c>
      <c r="D109" s="41">
        <v>0.7</v>
      </c>
      <c r="E109" s="41">
        <v>0.64</v>
      </c>
      <c r="F109" s="12"/>
      <c r="H109" s="12">
        <f t="shared" si="5"/>
        <v>81</v>
      </c>
      <c r="I109" s="11">
        <v>1.0405</v>
      </c>
      <c r="J109" s="11">
        <v>1.1619999999999999</v>
      </c>
      <c r="K109" s="12">
        <v>1.081</v>
      </c>
    </row>
    <row r="110" spans="2:11" x14ac:dyDescent="0.25">
      <c r="B110" s="11">
        <v>0.78300000000000003</v>
      </c>
      <c r="C110" s="10">
        <v>0.90700000000000003</v>
      </c>
      <c r="D110" s="41">
        <v>0.69</v>
      </c>
      <c r="E110" s="41">
        <v>0.628</v>
      </c>
      <c r="F110" s="12"/>
      <c r="H110" s="12">
        <f t="shared" si="5"/>
        <v>82</v>
      </c>
      <c r="I110" s="11">
        <v>1.0409999999999999</v>
      </c>
      <c r="J110" s="11">
        <v>1.1639999999999999</v>
      </c>
      <c r="K110" s="12">
        <v>1.0820000000000001</v>
      </c>
    </row>
    <row r="111" spans="2:11" x14ac:dyDescent="0.25">
      <c r="B111" s="11">
        <v>0.77600000000000002</v>
      </c>
      <c r="C111" s="10">
        <v>0.90400000000000003</v>
      </c>
      <c r="D111" s="41">
        <v>0.68</v>
      </c>
      <c r="E111" s="41">
        <v>0.61599999999999999</v>
      </c>
      <c r="F111" s="12"/>
      <c r="H111" s="12">
        <f t="shared" si="5"/>
        <v>83</v>
      </c>
      <c r="I111" s="11">
        <v>1.0415000000000001</v>
      </c>
      <c r="J111" s="11">
        <v>1.1659999999999999</v>
      </c>
      <c r="K111" s="12">
        <v>1.083</v>
      </c>
    </row>
    <row r="112" spans="2:11" x14ac:dyDescent="0.25">
      <c r="B112" s="11">
        <v>0.76900000000000002</v>
      </c>
      <c r="C112" s="10">
        <v>0.90100000000000002</v>
      </c>
      <c r="D112" s="41">
        <v>0.67</v>
      </c>
      <c r="E112" s="41">
        <v>0.60399999999999998</v>
      </c>
      <c r="F112" s="12"/>
      <c r="H112" s="12">
        <f t="shared" si="5"/>
        <v>84</v>
      </c>
      <c r="I112" s="11">
        <v>1.042</v>
      </c>
      <c r="J112" s="11">
        <v>1.1679999999999999</v>
      </c>
      <c r="K112" s="12">
        <v>1.0840000000000001</v>
      </c>
    </row>
    <row r="113" spans="2:11" x14ac:dyDescent="0.25">
      <c r="B113" s="11">
        <v>0.76200000000000001</v>
      </c>
      <c r="C113" s="10">
        <v>0.89800000000000002</v>
      </c>
      <c r="D113" s="41">
        <v>0.66</v>
      </c>
      <c r="E113" s="41">
        <v>0.59199999999999997</v>
      </c>
      <c r="F113" s="12"/>
      <c r="H113" s="12">
        <f t="shared" si="5"/>
        <v>85</v>
      </c>
      <c r="I113" s="11">
        <v>1.0425</v>
      </c>
      <c r="J113" s="11">
        <v>1.17</v>
      </c>
      <c r="K113" s="12">
        <v>1.085</v>
      </c>
    </row>
    <row r="114" spans="2:11" x14ac:dyDescent="0.25">
      <c r="B114" s="11">
        <v>0.755</v>
      </c>
      <c r="C114" s="10">
        <v>0.89500000000000002</v>
      </c>
      <c r="D114" s="41">
        <v>0.65</v>
      </c>
      <c r="E114" s="41">
        <v>0.57999999999999996</v>
      </c>
      <c r="F114" s="12"/>
      <c r="H114" s="12">
        <f t="shared" si="5"/>
        <v>86</v>
      </c>
      <c r="I114" s="11">
        <v>1.0429999999999999</v>
      </c>
      <c r="J114" s="11">
        <v>1.1719999999999999</v>
      </c>
      <c r="K114" s="12">
        <v>1.0860000000000001</v>
      </c>
    </row>
    <row r="115" spans="2:11" x14ac:dyDescent="0.25">
      <c r="B115" s="11">
        <v>0.748</v>
      </c>
      <c r="C115" s="10">
        <v>0.89200000000000002</v>
      </c>
      <c r="D115" s="41">
        <v>0.64</v>
      </c>
      <c r="E115" s="41">
        <v>0.56799999999999995</v>
      </c>
      <c r="F115" s="12"/>
      <c r="H115" s="12">
        <f t="shared" si="5"/>
        <v>87</v>
      </c>
      <c r="I115" s="11">
        <v>1.0435000000000001</v>
      </c>
      <c r="J115" s="11">
        <v>1.1739999999999999</v>
      </c>
      <c r="K115" s="12">
        <v>1.087</v>
      </c>
    </row>
    <row r="116" spans="2:11" x14ac:dyDescent="0.25">
      <c r="B116" s="11">
        <v>0.74099999999999999</v>
      </c>
      <c r="C116" s="10">
        <v>0.88900000000000001</v>
      </c>
      <c r="D116" s="41">
        <v>0.63</v>
      </c>
      <c r="E116" s="41">
        <v>0.55600000000000005</v>
      </c>
      <c r="F116" s="12"/>
      <c r="H116" s="12">
        <f t="shared" si="5"/>
        <v>88</v>
      </c>
      <c r="I116" s="11">
        <v>1.044</v>
      </c>
      <c r="J116" s="11">
        <v>1.1759999999999999</v>
      </c>
      <c r="K116" s="12">
        <v>1.0880000000000001</v>
      </c>
    </row>
    <row r="117" spans="2:11" x14ac:dyDescent="0.25">
      <c r="B117" s="11">
        <v>0.73399999999999999</v>
      </c>
      <c r="C117" s="10">
        <v>0.88600000000000001</v>
      </c>
      <c r="D117" s="41">
        <v>0.62</v>
      </c>
      <c r="E117" s="41">
        <v>0.54400000000000004</v>
      </c>
      <c r="F117" s="12"/>
      <c r="H117" s="12">
        <f t="shared" si="5"/>
        <v>89</v>
      </c>
      <c r="I117" s="11">
        <v>1.0445</v>
      </c>
      <c r="J117" s="11">
        <v>1.1779999999999999</v>
      </c>
      <c r="K117" s="12">
        <v>1.089</v>
      </c>
    </row>
    <row r="118" spans="2:11" x14ac:dyDescent="0.25">
      <c r="B118" s="11">
        <v>0.72699999999999998</v>
      </c>
      <c r="C118" s="10">
        <v>0.88300000000000001</v>
      </c>
      <c r="D118" s="41">
        <v>0.61</v>
      </c>
      <c r="E118" s="41">
        <v>0.53200000000000003</v>
      </c>
      <c r="F118" s="12"/>
      <c r="H118" s="12">
        <f t="shared" si="5"/>
        <v>90</v>
      </c>
      <c r="I118" s="11">
        <v>1.0449999999999999</v>
      </c>
      <c r="J118" s="11">
        <v>1.18</v>
      </c>
      <c r="K118" s="12">
        <v>1.0900000000000001</v>
      </c>
    </row>
    <row r="119" spans="2:11" x14ac:dyDescent="0.25">
      <c r="B119" s="11">
        <v>0.72</v>
      </c>
      <c r="C119" s="10">
        <v>0.88</v>
      </c>
      <c r="D119" s="41">
        <v>0.6</v>
      </c>
      <c r="E119" s="41">
        <v>0.52</v>
      </c>
      <c r="F119" s="12"/>
      <c r="H119" s="12">
        <f t="shared" si="5"/>
        <v>91</v>
      </c>
      <c r="I119" s="11">
        <v>1.0455000000000001</v>
      </c>
      <c r="J119" s="11">
        <v>1.1819999999999999</v>
      </c>
      <c r="K119" s="12">
        <v>1.091</v>
      </c>
    </row>
    <row r="120" spans="2:11" x14ac:dyDescent="0.25">
      <c r="B120" s="11">
        <v>0.71299999999999997</v>
      </c>
      <c r="C120" s="10">
        <v>0.877</v>
      </c>
      <c r="D120" s="41">
        <v>0.59</v>
      </c>
      <c r="E120" s="41">
        <v>0.50800000000000001</v>
      </c>
      <c r="F120" s="12"/>
      <c r="H120" s="12">
        <f t="shared" si="5"/>
        <v>92</v>
      </c>
      <c r="I120" s="11">
        <v>1.046</v>
      </c>
      <c r="J120" s="11">
        <v>1.1839999999999999</v>
      </c>
      <c r="K120" s="12">
        <v>1.0920000000000001</v>
      </c>
    </row>
    <row r="121" spans="2:11" x14ac:dyDescent="0.25">
      <c r="B121" s="11">
        <v>0.70599999999999996</v>
      </c>
      <c r="C121" s="10">
        <v>0.874</v>
      </c>
      <c r="D121" s="41">
        <v>0.57999999999999996</v>
      </c>
      <c r="E121" s="41">
        <v>0.496</v>
      </c>
      <c r="F121" s="12"/>
      <c r="H121" s="12">
        <f t="shared" si="5"/>
        <v>93</v>
      </c>
      <c r="I121" s="11">
        <v>1.0465</v>
      </c>
      <c r="J121" s="11">
        <v>1.1859999999999999</v>
      </c>
      <c r="K121" s="12">
        <v>1.093</v>
      </c>
    </row>
    <row r="122" spans="2:11" x14ac:dyDescent="0.25">
      <c r="B122" s="11">
        <v>0.69899999999999995</v>
      </c>
      <c r="C122" s="10">
        <v>0.871</v>
      </c>
      <c r="D122" s="41">
        <v>0.56999999999999995</v>
      </c>
      <c r="E122" s="41">
        <v>0.48399999999999999</v>
      </c>
      <c r="F122" s="12"/>
      <c r="H122" s="12">
        <f t="shared" si="5"/>
        <v>94</v>
      </c>
      <c r="I122" s="11">
        <v>1.0469999999999999</v>
      </c>
      <c r="J122" s="11">
        <v>1.1879999999999999</v>
      </c>
      <c r="K122" s="12">
        <v>1.0940000000000001</v>
      </c>
    </row>
    <row r="123" spans="2:11" x14ac:dyDescent="0.25">
      <c r="B123" s="11">
        <v>0.69199999999999995</v>
      </c>
      <c r="C123" s="10">
        <v>0.86799999999999999</v>
      </c>
      <c r="D123" s="41">
        <v>0.56000000000000005</v>
      </c>
      <c r="E123" s="41">
        <v>0.47199999999999998</v>
      </c>
      <c r="F123" s="12"/>
      <c r="H123" s="12">
        <f t="shared" si="5"/>
        <v>95</v>
      </c>
      <c r="I123" s="11">
        <v>1.0475000000000001</v>
      </c>
      <c r="J123" s="11">
        <v>1.19</v>
      </c>
      <c r="K123" s="12">
        <v>1.095</v>
      </c>
    </row>
    <row r="124" spans="2:11" x14ac:dyDescent="0.25">
      <c r="B124" s="11">
        <v>0.68500000000000005</v>
      </c>
      <c r="C124" s="10">
        <v>0.86499999999999999</v>
      </c>
      <c r="D124" s="41">
        <v>0.55000000000000004</v>
      </c>
      <c r="E124" s="41">
        <v>0.46</v>
      </c>
      <c r="F124" s="12"/>
      <c r="H124" s="12">
        <f t="shared" si="5"/>
        <v>96</v>
      </c>
      <c r="I124" s="11">
        <v>1.048</v>
      </c>
      <c r="J124" s="11">
        <v>1.1919999999999999</v>
      </c>
      <c r="K124" s="12">
        <v>1.0960000000000001</v>
      </c>
    </row>
    <row r="125" spans="2:11" x14ac:dyDescent="0.25">
      <c r="B125" s="11">
        <v>0.67800000000000005</v>
      </c>
      <c r="C125" s="10">
        <v>0.86199999999999999</v>
      </c>
      <c r="D125" s="41">
        <v>0.54</v>
      </c>
      <c r="E125" s="41">
        <v>0.44800000000000001</v>
      </c>
      <c r="F125" s="12"/>
      <c r="H125" s="12">
        <f t="shared" si="5"/>
        <v>97</v>
      </c>
      <c r="I125" s="11">
        <v>1.0485</v>
      </c>
      <c r="J125" s="11">
        <v>1.194</v>
      </c>
      <c r="K125" s="12">
        <v>1.097</v>
      </c>
    </row>
    <row r="126" spans="2:11" x14ac:dyDescent="0.25">
      <c r="B126" s="11">
        <v>0.67100000000000004</v>
      </c>
      <c r="C126" s="10">
        <v>0.85899999999999999</v>
      </c>
      <c r="D126" s="41">
        <v>0.53</v>
      </c>
      <c r="E126" s="41">
        <v>0.436</v>
      </c>
      <c r="F126" s="12"/>
      <c r="H126" s="12">
        <f t="shared" si="5"/>
        <v>98</v>
      </c>
      <c r="I126" s="11">
        <v>1.0489999999999999</v>
      </c>
      <c r="J126" s="11">
        <v>1.196</v>
      </c>
      <c r="K126" s="12">
        <v>1.0980000000000001</v>
      </c>
    </row>
    <row r="127" spans="2:11" x14ac:dyDescent="0.25">
      <c r="B127" s="11">
        <v>0.66400000000000003</v>
      </c>
      <c r="C127" s="10">
        <v>0.85599999999999998</v>
      </c>
      <c r="D127" s="41">
        <v>0.52</v>
      </c>
      <c r="E127" s="41">
        <v>0.42399999999999999</v>
      </c>
      <c r="F127" s="12"/>
      <c r="H127" s="12">
        <f t="shared" si="5"/>
        <v>99</v>
      </c>
      <c r="I127" s="11">
        <v>1.0495000000000001</v>
      </c>
      <c r="J127" s="11">
        <v>1.198</v>
      </c>
      <c r="K127" s="12">
        <v>1.099</v>
      </c>
    </row>
    <row r="128" spans="2:11" x14ac:dyDescent="0.25">
      <c r="B128" s="11">
        <v>0.65700000000000003</v>
      </c>
      <c r="C128" s="10">
        <v>0.85299999999999998</v>
      </c>
      <c r="D128" s="41">
        <v>0.51</v>
      </c>
      <c r="E128" s="41">
        <v>0.41199999999999998</v>
      </c>
      <c r="F128" s="12"/>
      <c r="H128" s="12">
        <f t="shared" si="5"/>
        <v>100</v>
      </c>
      <c r="I128" s="11">
        <v>1.05</v>
      </c>
      <c r="J128" s="11">
        <v>1.2</v>
      </c>
      <c r="K128" s="12">
        <v>1.1000000000000001</v>
      </c>
    </row>
    <row r="129" spans="1:12" x14ac:dyDescent="0.25">
      <c r="B129" s="11">
        <v>0.65</v>
      </c>
      <c r="C129" s="10">
        <v>0.85</v>
      </c>
      <c r="D129" s="10">
        <v>0.5</v>
      </c>
      <c r="E129" s="10">
        <v>0.4</v>
      </c>
    </row>
    <row r="130" spans="1:12" x14ac:dyDescent="0.25">
      <c r="A130" s="22" t="s">
        <v>168</v>
      </c>
      <c r="B130" s="10" t="s">
        <v>167</v>
      </c>
      <c r="I130" s="12">
        <v>1</v>
      </c>
      <c r="J130" s="12">
        <v>1</v>
      </c>
      <c r="K130" s="11">
        <v>1</v>
      </c>
      <c r="L130" s="11">
        <v>1</v>
      </c>
    </row>
    <row r="131" spans="1:12" x14ac:dyDescent="0.25">
      <c r="A131" s="15" t="s">
        <v>48</v>
      </c>
      <c r="B131" s="10">
        <v>7.3750000000000013E-3</v>
      </c>
      <c r="H131" s="40">
        <v>1.0015000000000001</v>
      </c>
      <c r="I131" s="39">
        <v>1.0029999999999999</v>
      </c>
      <c r="J131" s="39">
        <v>1.0024999999999999</v>
      </c>
      <c r="K131" s="11">
        <v>1.0004999999999999</v>
      </c>
      <c r="L131" s="11">
        <v>1.004</v>
      </c>
    </row>
    <row r="132" spans="1:12" x14ac:dyDescent="0.25">
      <c r="A132" s="15" t="s">
        <v>49</v>
      </c>
      <c r="B132" s="10">
        <v>8.0666669999999996E-3</v>
      </c>
      <c r="H132" s="40">
        <v>1.0029999999999999</v>
      </c>
      <c r="I132" s="39">
        <v>1.006</v>
      </c>
      <c r="J132" s="39">
        <v>1.0049999999999999</v>
      </c>
      <c r="K132" s="11">
        <v>1.0009999999999999</v>
      </c>
      <c r="L132" s="11">
        <v>1.008</v>
      </c>
    </row>
    <row r="133" spans="1:12" x14ac:dyDescent="0.25">
      <c r="A133" t="s">
        <v>257</v>
      </c>
      <c r="B133">
        <v>6.2500000000000003E-3</v>
      </c>
      <c r="H133" s="40">
        <v>1.0044999999999999</v>
      </c>
      <c r="I133" s="39">
        <v>1.0089999999999999</v>
      </c>
      <c r="J133" s="39">
        <v>1.0075000000000001</v>
      </c>
      <c r="K133" s="11">
        <v>1.0015000000000001</v>
      </c>
      <c r="L133" s="11">
        <v>1.012</v>
      </c>
    </row>
    <row r="134" spans="1:12" x14ac:dyDescent="0.25">
      <c r="A134" s="15" t="s">
        <v>50</v>
      </c>
      <c r="B134" s="10">
        <v>7.4705880000000002E-3</v>
      </c>
      <c r="H134" s="40">
        <v>1.006</v>
      </c>
      <c r="I134" s="39">
        <v>1.0089999999999999</v>
      </c>
      <c r="J134" s="39">
        <v>1.01</v>
      </c>
      <c r="K134" s="11">
        <v>1.002</v>
      </c>
      <c r="L134" s="11">
        <v>1.016</v>
      </c>
    </row>
    <row r="135" spans="1:12" x14ac:dyDescent="0.25">
      <c r="A135" s="15" t="s">
        <v>785</v>
      </c>
      <c r="B135" s="10">
        <v>2.0615379999999999E-2</v>
      </c>
      <c r="H135" s="40">
        <v>1.0075000000000001</v>
      </c>
      <c r="I135" s="39">
        <v>1.012</v>
      </c>
      <c r="J135" s="39">
        <v>1.0125</v>
      </c>
      <c r="K135" s="11">
        <v>1.0024999999999999</v>
      </c>
      <c r="L135" s="11">
        <v>1.02</v>
      </c>
    </row>
    <row r="136" spans="1:12" x14ac:dyDescent="0.25">
      <c r="A136" s="15" t="s">
        <v>871</v>
      </c>
      <c r="B136" s="10">
        <v>2.6153845999999999E-3</v>
      </c>
      <c r="C136" s="679" t="s">
        <v>843</v>
      </c>
      <c r="H136" s="40">
        <v>1.0089999999999999</v>
      </c>
      <c r="I136" s="39">
        <v>1.0149999999999999</v>
      </c>
      <c r="J136" s="39">
        <v>1.0149999999999999</v>
      </c>
      <c r="K136" s="11">
        <v>1.0029999999999999</v>
      </c>
      <c r="L136" s="11">
        <v>1.024</v>
      </c>
    </row>
    <row r="137" spans="1:12" x14ac:dyDescent="0.25">
      <c r="A137" s="15" t="s">
        <v>841</v>
      </c>
      <c r="B137" s="10">
        <v>2.7275859999999999E-2</v>
      </c>
      <c r="H137" s="40">
        <v>1.0105</v>
      </c>
      <c r="I137" s="39">
        <v>1.018</v>
      </c>
      <c r="J137" s="39">
        <v>1.0175000000000001</v>
      </c>
      <c r="K137" s="11">
        <v>1.0035000000000001</v>
      </c>
      <c r="L137" s="11">
        <v>1.028</v>
      </c>
    </row>
    <row r="138" spans="1:12" x14ac:dyDescent="0.25">
      <c r="A138" s="15" t="s">
        <v>51</v>
      </c>
      <c r="B138" s="10">
        <v>1.2866667E-2</v>
      </c>
      <c r="H138" s="40">
        <v>1.012</v>
      </c>
      <c r="I138" s="39">
        <v>1.0209999999999999</v>
      </c>
      <c r="J138" s="39">
        <v>1.02</v>
      </c>
      <c r="K138" s="11">
        <v>1.004</v>
      </c>
      <c r="L138" s="11">
        <v>1.032</v>
      </c>
    </row>
    <row r="139" spans="1:12" x14ac:dyDescent="0.25">
      <c r="A139" s="15" t="s">
        <v>52</v>
      </c>
      <c r="B139" s="10">
        <v>7.7619050000000004E-3</v>
      </c>
      <c r="H139" s="40">
        <v>1.0135000000000001</v>
      </c>
      <c r="I139" s="39">
        <v>1.024</v>
      </c>
      <c r="J139" s="39">
        <v>1.0225</v>
      </c>
      <c r="K139" s="11">
        <v>1.0044999999999999</v>
      </c>
      <c r="L139" s="11">
        <v>1.036</v>
      </c>
    </row>
    <row r="140" spans="1:12" x14ac:dyDescent="0.25">
      <c r="A140" s="15" t="s">
        <v>53</v>
      </c>
      <c r="B140" s="10">
        <v>8.0232559999999994E-3</v>
      </c>
      <c r="H140" s="40">
        <v>1.0149999999999999</v>
      </c>
      <c r="I140" s="39">
        <v>1.0269999999999999</v>
      </c>
      <c r="J140" s="39">
        <v>1.0249999999999999</v>
      </c>
      <c r="K140" s="11">
        <v>1.0049999999999999</v>
      </c>
      <c r="L140" s="11">
        <v>1.04</v>
      </c>
    </row>
    <row r="141" spans="1:12" x14ac:dyDescent="0.25">
      <c r="A141" s="15" t="s">
        <v>829</v>
      </c>
      <c r="B141" s="10">
        <v>1.4E-2</v>
      </c>
      <c r="C141" s="679" t="s">
        <v>843</v>
      </c>
      <c r="H141" s="40">
        <v>1.0165</v>
      </c>
      <c r="I141" s="39">
        <v>1.03</v>
      </c>
      <c r="J141" s="39">
        <v>1.0275000000000001</v>
      </c>
      <c r="K141" s="11">
        <v>1.0055000000000001</v>
      </c>
      <c r="L141" s="11">
        <v>1.044</v>
      </c>
    </row>
    <row r="142" spans="1:12" x14ac:dyDescent="0.25">
      <c r="A142" s="15" t="s">
        <v>159</v>
      </c>
      <c r="B142" s="10">
        <v>1.9478261E-2</v>
      </c>
      <c r="H142" s="40">
        <v>1.018</v>
      </c>
      <c r="I142" s="39">
        <v>1.0329999999999999</v>
      </c>
      <c r="J142" s="39">
        <v>1.03</v>
      </c>
      <c r="K142" s="11">
        <v>1.006</v>
      </c>
      <c r="L142" s="11">
        <v>1.048</v>
      </c>
    </row>
    <row r="143" spans="1:12" x14ac:dyDescent="0.25">
      <c r="A143" s="15" t="s">
        <v>156</v>
      </c>
      <c r="B143" s="10">
        <v>6.4545449999999999E-3</v>
      </c>
      <c r="H143" s="40">
        <v>1.0195000000000001</v>
      </c>
      <c r="I143" s="39">
        <v>1.036</v>
      </c>
      <c r="J143" s="39">
        <v>1.0325</v>
      </c>
      <c r="K143" s="11">
        <v>1.0065</v>
      </c>
      <c r="L143" s="11">
        <v>1.052</v>
      </c>
    </row>
    <row r="144" spans="1:12" x14ac:dyDescent="0.25">
      <c r="A144" s="15" t="s">
        <v>54</v>
      </c>
      <c r="B144" s="10">
        <v>1.4177778000000002E-2</v>
      </c>
      <c r="H144" s="40">
        <v>1.0209999999999999</v>
      </c>
      <c r="I144" s="39">
        <v>1.0389999999999999</v>
      </c>
      <c r="J144" s="39">
        <v>1.0349999999999999</v>
      </c>
      <c r="K144" s="11">
        <v>1.0069999999999999</v>
      </c>
      <c r="L144" s="11">
        <v>1.056</v>
      </c>
    </row>
    <row r="145" spans="1:12" x14ac:dyDescent="0.25">
      <c r="A145" s="15" t="s">
        <v>55</v>
      </c>
      <c r="B145" s="10">
        <v>9.0740739999999997E-3</v>
      </c>
      <c r="H145" s="40">
        <v>1.0225</v>
      </c>
      <c r="I145" s="39">
        <v>1.042</v>
      </c>
      <c r="J145" s="39">
        <v>1.0375000000000001</v>
      </c>
      <c r="K145" s="11">
        <v>1.0075000000000001</v>
      </c>
      <c r="L145" s="11">
        <v>1.06</v>
      </c>
    </row>
    <row r="146" spans="1:12" x14ac:dyDescent="0.25">
      <c r="A146" s="15" t="s">
        <v>56</v>
      </c>
      <c r="B146" s="10">
        <v>8.6046510000000014E-3</v>
      </c>
      <c r="H146" s="40">
        <v>1.024</v>
      </c>
      <c r="I146" s="39">
        <v>1.0449999999999999</v>
      </c>
      <c r="J146" s="39">
        <v>1.04</v>
      </c>
      <c r="K146" s="11">
        <v>1.008</v>
      </c>
      <c r="L146" s="11">
        <v>1.0640000000000001</v>
      </c>
    </row>
    <row r="147" spans="1:12" x14ac:dyDescent="0.25">
      <c r="A147" s="15" t="s">
        <v>57</v>
      </c>
      <c r="B147" s="10">
        <v>1.3636364000000003E-2</v>
      </c>
      <c r="H147" s="40">
        <v>1.0255000000000001</v>
      </c>
      <c r="I147" s="39">
        <v>1.048</v>
      </c>
      <c r="J147" s="39">
        <v>1.0425</v>
      </c>
      <c r="K147" s="11">
        <v>1.0085</v>
      </c>
      <c r="L147" s="11">
        <v>1.0680000000000001</v>
      </c>
    </row>
    <row r="148" spans="1:12" x14ac:dyDescent="0.25">
      <c r="A148" s="15" t="s">
        <v>834</v>
      </c>
      <c r="B148" s="10">
        <v>1.4333333E-2</v>
      </c>
      <c r="H148" s="40">
        <v>1.0269999999999999</v>
      </c>
      <c r="I148" s="39">
        <v>1.0509999999999999</v>
      </c>
      <c r="J148" s="39">
        <v>1.0449999999999999</v>
      </c>
      <c r="K148" s="11">
        <v>1.0089999999999999</v>
      </c>
      <c r="L148" s="11">
        <v>1.0720000000000001</v>
      </c>
    </row>
    <row r="149" spans="1:12" x14ac:dyDescent="0.25">
      <c r="A149" s="15" t="s">
        <v>58</v>
      </c>
      <c r="B149" s="10">
        <v>1.3733334E-2</v>
      </c>
      <c r="H149" s="40">
        <v>1.0285</v>
      </c>
      <c r="I149" s="39">
        <v>1.054</v>
      </c>
      <c r="J149" s="39">
        <v>1.0475000000000001</v>
      </c>
      <c r="K149" s="11">
        <v>1.0095000000000001</v>
      </c>
      <c r="L149" s="11">
        <v>1.0760000000000001</v>
      </c>
    </row>
    <row r="150" spans="1:12" x14ac:dyDescent="0.25">
      <c r="A150" s="15" t="s">
        <v>59</v>
      </c>
      <c r="B150" s="10">
        <v>1.7285714000000001E-2</v>
      </c>
      <c r="H150" s="40">
        <v>1.03</v>
      </c>
      <c r="I150" s="39">
        <v>1.0569999999999999</v>
      </c>
      <c r="J150" s="39">
        <v>1.05</v>
      </c>
      <c r="K150" s="11">
        <v>1.01</v>
      </c>
      <c r="L150" s="11">
        <v>1.08</v>
      </c>
    </row>
    <row r="151" spans="1:12" x14ac:dyDescent="0.25">
      <c r="A151" s="15" t="s">
        <v>60</v>
      </c>
      <c r="B151" s="10">
        <v>1.3044444000000002E-2</v>
      </c>
      <c r="H151" s="40">
        <v>1.0315000000000001</v>
      </c>
      <c r="I151" s="39">
        <v>1.06</v>
      </c>
      <c r="J151" s="39">
        <v>1.0525</v>
      </c>
      <c r="K151" s="11">
        <v>1.0105</v>
      </c>
      <c r="L151" s="11">
        <v>1.0840000000000001</v>
      </c>
    </row>
    <row r="152" spans="1:12" x14ac:dyDescent="0.25">
      <c r="A152" s="15" t="s">
        <v>61</v>
      </c>
      <c r="B152" s="10">
        <v>9.7948719999999996E-3</v>
      </c>
      <c r="H152" s="40">
        <v>1.0329999999999999</v>
      </c>
      <c r="I152" s="39">
        <v>1.0629999999999999</v>
      </c>
      <c r="J152" s="39">
        <v>1.0549999999999999</v>
      </c>
      <c r="K152" s="11">
        <v>1.0109999999999999</v>
      </c>
      <c r="L152" s="11">
        <v>1.0880000000000001</v>
      </c>
    </row>
    <row r="153" spans="1:12" x14ac:dyDescent="0.25">
      <c r="A153" s="15" t="s">
        <v>256</v>
      </c>
      <c r="B153" s="10">
        <v>2.5000000000000001E-3</v>
      </c>
      <c r="H153" s="40">
        <v>1.0345</v>
      </c>
      <c r="I153" s="39">
        <v>1.0660000000000001</v>
      </c>
      <c r="J153" s="39">
        <v>1.0575000000000001</v>
      </c>
      <c r="K153" s="11">
        <v>1.0115000000000001</v>
      </c>
      <c r="L153" s="11">
        <v>1.0920000000000001</v>
      </c>
    </row>
    <row r="154" spans="1:12" x14ac:dyDescent="0.25">
      <c r="A154" s="15" t="s">
        <v>62</v>
      </c>
      <c r="B154" s="10">
        <v>1.0809523999999999E-2</v>
      </c>
      <c r="H154" s="40">
        <v>1.036</v>
      </c>
      <c r="I154" s="39">
        <v>1.069</v>
      </c>
      <c r="J154" s="39">
        <v>1.06</v>
      </c>
      <c r="K154" s="11">
        <v>1.012</v>
      </c>
      <c r="L154" s="11">
        <v>1.0960000000000001</v>
      </c>
    </row>
    <row r="155" spans="1:12" x14ac:dyDescent="0.25">
      <c r="A155" s="15" t="s">
        <v>125</v>
      </c>
      <c r="B155" s="10">
        <v>9.2857140000000005E-3</v>
      </c>
      <c r="H155" s="40">
        <v>1.0375000000000001</v>
      </c>
      <c r="I155" s="39">
        <v>1.0720000000000001</v>
      </c>
      <c r="J155" s="39">
        <v>1.0625</v>
      </c>
      <c r="K155" s="11">
        <v>1.0125</v>
      </c>
      <c r="L155" s="11">
        <v>1.1000000000000001</v>
      </c>
    </row>
    <row r="156" spans="1:12" x14ac:dyDescent="0.25">
      <c r="A156" s="15" t="s">
        <v>63</v>
      </c>
      <c r="B156" s="10">
        <v>1.2200000000000003E-2</v>
      </c>
      <c r="H156" s="40">
        <v>1.0389999999999999</v>
      </c>
      <c r="I156" s="39">
        <v>1.075</v>
      </c>
      <c r="J156" s="39">
        <v>1.0649999999999999</v>
      </c>
      <c r="K156" s="11">
        <v>1.0129999999999999</v>
      </c>
      <c r="L156" s="11">
        <v>1.1040000000000001</v>
      </c>
    </row>
    <row r="157" spans="1:12" x14ac:dyDescent="0.25">
      <c r="A157" s="15" t="s">
        <v>870</v>
      </c>
      <c r="B157">
        <v>3.2333000000000001E-2</v>
      </c>
      <c r="H157" s="40">
        <v>1.0405</v>
      </c>
      <c r="I157" s="39">
        <v>1.0780000000000001</v>
      </c>
      <c r="J157" s="39">
        <v>1.0674999999999999</v>
      </c>
      <c r="K157" s="11">
        <v>1.0135000000000001</v>
      </c>
      <c r="L157" s="11">
        <v>1.1080000000000001</v>
      </c>
    </row>
    <row r="158" spans="1:12" x14ac:dyDescent="0.25">
      <c r="A158" s="15" t="s">
        <v>64</v>
      </c>
      <c r="B158" s="10">
        <v>1.3999999999999999E-2</v>
      </c>
      <c r="H158" s="40">
        <v>1.042</v>
      </c>
      <c r="I158" s="39">
        <v>1.081</v>
      </c>
      <c r="J158" s="39">
        <v>1.07</v>
      </c>
      <c r="K158" s="11">
        <v>1.014</v>
      </c>
      <c r="L158" s="11">
        <v>1.1200000000000001</v>
      </c>
    </row>
    <row r="159" spans="1:12" x14ac:dyDescent="0.25">
      <c r="A159" s="15" t="s">
        <v>837</v>
      </c>
      <c r="B159" s="10">
        <v>9.0666659999999993E-3</v>
      </c>
      <c r="C159" s="679" t="s">
        <v>843</v>
      </c>
      <c r="H159" s="40">
        <v>1.0435000000000001</v>
      </c>
      <c r="I159" s="39">
        <v>1.0840000000000001</v>
      </c>
      <c r="J159" s="39">
        <v>1.0725</v>
      </c>
      <c r="K159" s="11">
        <v>1.0145</v>
      </c>
      <c r="L159" s="11">
        <v>1.1599999999999999</v>
      </c>
    </row>
    <row r="160" spans="1:12" x14ac:dyDescent="0.25">
      <c r="A160" s="15" t="s">
        <v>245</v>
      </c>
      <c r="B160" s="10">
        <v>7.5454544999999998E-3</v>
      </c>
      <c r="H160" s="40">
        <v>1.0449999999999999</v>
      </c>
      <c r="I160" s="39">
        <v>1.087</v>
      </c>
      <c r="J160" s="39">
        <v>1.075</v>
      </c>
      <c r="K160" s="11">
        <v>1.0149999999999999</v>
      </c>
      <c r="L160" s="11">
        <v>1.1200000000000001</v>
      </c>
    </row>
    <row r="161" spans="1:12" x14ac:dyDescent="0.25">
      <c r="A161" s="15" t="s">
        <v>65</v>
      </c>
      <c r="B161" s="10">
        <v>1.0526316000000001E-2</v>
      </c>
      <c r="H161" s="40">
        <v>1.0465</v>
      </c>
      <c r="I161" s="39">
        <v>1.0900000000000001</v>
      </c>
      <c r="J161" s="39">
        <v>1.0774999999999999</v>
      </c>
      <c r="K161" s="11">
        <v>1.0155000000000001</v>
      </c>
      <c r="L161" s="11">
        <v>1.1240000000000001</v>
      </c>
    </row>
    <row r="162" spans="1:12" x14ac:dyDescent="0.25">
      <c r="A162" s="15" t="s">
        <v>66</v>
      </c>
      <c r="B162" s="10">
        <v>7.688889E-3</v>
      </c>
      <c r="H162" s="40">
        <v>1.048</v>
      </c>
      <c r="I162" s="39">
        <v>1.093</v>
      </c>
      <c r="J162" s="39">
        <v>1.08</v>
      </c>
      <c r="K162" s="11">
        <v>1.016</v>
      </c>
      <c r="L162" s="11">
        <v>1.1279999999999999</v>
      </c>
    </row>
    <row r="163" spans="1:12" x14ac:dyDescent="0.25">
      <c r="A163" s="15" t="s">
        <v>879</v>
      </c>
      <c r="B163" s="10">
        <v>2.0500000000000001E-2</v>
      </c>
      <c r="H163" s="40">
        <v>1.0495000000000001</v>
      </c>
      <c r="I163" s="39">
        <v>1.0960000000000001</v>
      </c>
      <c r="J163" s="39">
        <v>1.0825</v>
      </c>
      <c r="K163" s="11">
        <v>1.0165</v>
      </c>
      <c r="L163" s="11">
        <v>1.1319999999999999</v>
      </c>
    </row>
    <row r="164" spans="1:12" x14ac:dyDescent="0.25">
      <c r="A164" s="15" t="s">
        <v>878</v>
      </c>
      <c r="B164" s="10">
        <v>1.8780487799999999E-2</v>
      </c>
      <c r="H164" s="40">
        <v>1.0509999999999999</v>
      </c>
      <c r="I164" s="39">
        <v>1.1000000000000001</v>
      </c>
      <c r="J164" s="39">
        <v>1.085</v>
      </c>
      <c r="K164" s="11">
        <v>1.0169999999999999</v>
      </c>
      <c r="L164" s="11">
        <v>1.1359999999999999</v>
      </c>
    </row>
    <row r="165" spans="1:12" x14ac:dyDescent="0.25">
      <c r="A165" s="15" t="s">
        <v>67</v>
      </c>
      <c r="B165" s="10">
        <v>1.1333332999999999E-2</v>
      </c>
      <c r="H165" s="40">
        <v>1.0525</v>
      </c>
      <c r="I165" s="39">
        <v>1.103</v>
      </c>
      <c r="J165" s="39">
        <v>1.0874999999999999</v>
      </c>
      <c r="K165" s="11">
        <v>1.0175000000000001</v>
      </c>
      <c r="L165" s="11">
        <v>1.1399999999999999</v>
      </c>
    </row>
    <row r="166" spans="1:12" x14ac:dyDescent="0.25">
      <c r="A166" s="15" t="s">
        <v>68</v>
      </c>
      <c r="H166" s="40">
        <v>1.054</v>
      </c>
      <c r="I166" s="39">
        <v>1.1060000000000001</v>
      </c>
      <c r="J166" s="39">
        <v>1.0900000000000001</v>
      </c>
      <c r="K166" s="11">
        <v>1.018</v>
      </c>
      <c r="L166" s="11">
        <v>1.1439999999999999</v>
      </c>
    </row>
    <row r="167" spans="1:12" x14ac:dyDescent="0.25">
      <c r="A167" s="15" t="s">
        <v>69</v>
      </c>
      <c r="H167" s="40">
        <v>1.0555000000000001</v>
      </c>
      <c r="I167" s="39">
        <v>1.109</v>
      </c>
      <c r="J167" s="39">
        <v>1.0925</v>
      </c>
      <c r="K167" s="11">
        <v>1.0185</v>
      </c>
      <c r="L167" s="11">
        <v>1.1479999999999999</v>
      </c>
    </row>
    <row r="168" spans="1:12" x14ac:dyDescent="0.25">
      <c r="A168" s="15" t="s">
        <v>873</v>
      </c>
      <c r="B168" s="10">
        <v>1.47692E-2</v>
      </c>
      <c r="H168" s="40">
        <v>1.0569999999999999</v>
      </c>
      <c r="I168" s="39">
        <v>1.1120000000000001</v>
      </c>
      <c r="J168" s="39">
        <v>1.095</v>
      </c>
      <c r="K168" s="11">
        <v>1.0189999999999999</v>
      </c>
      <c r="L168" s="11">
        <v>1.1519999999999999</v>
      </c>
    </row>
    <row r="169" spans="1:12" x14ac:dyDescent="0.25">
      <c r="A169" s="15" t="s">
        <v>70</v>
      </c>
      <c r="B169" s="10">
        <v>1.1054054000000002E-2</v>
      </c>
      <c r="H169" s="40">
        <v>1.0585</v>
      </c>
      <c r="I169" s="39">
        <v>1.115</v>
      </c>
      <c r="J169" s="39">
        <v>1.0974999999999999</v>
      </c>
      <c r="K169" s="11">
        <v>1.0195000000000001</v>
      </c>
      <c r="L169" s="11">
        <v>1.1559999999999999</v>
      </c>
    </row>
    <row r="170" spans="1:12" x14ac:dyDescent="0.25">
      <c r="A170" s="15" t="s">
        <v>71</v>
      </c>
      <c r="B170" s="10">
        <v>8.9411760000000003E-3</v>
      </c>
      <c r="H170" s="40">
        <v>1.06</v>
      </c>
      <c r="I170" s="39">
        <v>1.1180000000000001</v>
      </c>
      <c r="J170" s="39">
        <v>1.1000000000000001</v>
      </c>
      <c r="K170" s="11">
        <v>1.02</v>
      </c>
      <c r="L170" s="11">
        <v>1.1599999999999999</v>
      </c>
    </row>
    <row r="171" spans="1:12" x14ac:dyDescent="0.25">
      <c r="A171" s="15" t="s">
        <v>72</v>
      </c>
      <c r="B171" s="10">
        <v>1.2942857000000002E-2</v>
      </c>
      <c r="H171" s="40">
        <v>1.0615000000000001</v>
      </c>
      <c r="I171" s="39">
        <v>1.121</v>
      </c>
      <c r="J171" s="39">
        <v>1.1025</v>
      </c>
      <c r="K171" s="11">
        <v>1.0205</v>
      </c>
      <c r="L171" s="11">
        <v>1.1639999999999999</v>
      </c>
    </row>
    <row r="172" spans="1:12" x14ac:dyDescent="0.25">
      <c r="A172" s="15" t="s">
        <v>73</v>
      </c>
      <c r="H172" s="40">
        <v>1.0629999999999999</v>
      </c>
      <c r="I172" s="39">
        <v>1.1240000000000001</v>
      </c>
      <c r="J172" s="39">
        <v>1.105</v>
      </c>
      <c r="K172" s="11">
        <v>1.0209999999999999</v>
      </c>
      <c r="L172" s="11">
        <v>1.1679999999999999</v>
      </c>
    </row>
    <row r="173" spans="1:12" x14ac:dyDescent="0.25">
      <c r="A173" s="10" t="s">
        <v>253</v>
      </c>
      <c r="H173" s="40">
        <v>1.0645</v>
      </c>
      <c r="I173" s="39">
        <v>1.127</v>
      </c>
      <c r="J173" s="39">
        <v>1.1074999999999999</v>
      </c>
      <c r="K173" s="11">
        <v>1.0215000000000001</v>
      </c>
      <c r="L173" s="11">
        <v>1.1719999999999999</v>
      </c>
    </row>
    <row r="174" spans="1:12" x14ac:dyDescent="0.25">
      <c r="A174" s="15" t="s">
        <v>74</v>
      </c>
      <c r="B174" s="10">
        <v>1.2906249999999999E-2</v>
      </c>
      <c r="H174" s="40">
        <v>1.0660000000000001</v>
      </c>
      <c r="I174" s="39">
        <v>1.1299999999999999</v>
      </c>
      <c r="J174" s="39">
        <v>1.1100000000000001</v>
      </c>
      <c r="K174" s="11">
        <v>1.022</v>
      </c>
      <c r="L174" s="11">
        <v>1.1759999999999999</v>
      </c>
    </row>
    <row r="175" spans="1:12" x14ac:dyDescent="0.25">
      <c r="A175" s="15" t="s">
        <v>75</v>
      </c>
      <c r="B175" s="10">
        <v>1.1542857E-2</v>
      </c>
      <c r="H175" s="40">
        <v>1.0674999999999999</v>
      </c>
      <c r="I175" s="39">
        <v>1.133</v>
      </c>
      <c r="J175" s="39">
        <v>1.1125</v>
      </c>
      <c r="K175" s="11">
        <v>1.0225</v>
      </c>
      <c r="L175" s="11">
        <v>1.18</v>
      </c>
    </row>
    <row r="176" spans="1:12" x14ac:dyDescent="0.25">
      <c r="A176" s="15" t="s">
        <v>76</v>
      </c>
      <c r="B176" s="10">
        <v>9.4374999999999997E-3</v>
      </c>
      <c r="H176" s="40">
        <v>1.069</v>
      </c>
      <c r="I176" s="39">
        <v>1.1359999999999999</v>
      </c>
      <c r="J176" s="39">
        <v>1.115</v>
      </c>
      <c r="K176" s="11">
        <v>1.0229999999999999</v>
      </c>
      <c r="L176" s="11">
        <v>1.1839999999999999</v>
      </c>
    </row>
    <row r="177" spans="1:12" x14ac:dyDescent="0.25">
      <c r="A177" s="10" t="s">
        <v>252</v>
      </c>
      <c r="H177" s="40">
        <v>1.0705</v>
      </c>
      <c r="I177" s="39">
        <v>1.139</v>
      </c>
      <c r="J177" s="39">
        <v>1.1174999999999999</v>
      </c>
      <c r="K177" s="11">
        <v>1.0235000000000001</v>
      </c>
      <c r="L177" s="11">
        <v>1.1879999999999999</v>
      </c>
    </row>
    <row r="178" spans="1:12" x14ac:dyDescent="0.25">
      <c r="A178" s="15" t="s">
        <v>89</v>
      </c>
      <c r="B178" s="10">
        <v>9.6249999999999999E-3</v>
      </c>
      <c r="H178" s="40">
        <v>1.0720000000000001</v>
      </c>
      <c r="I178" s="39">
        <v>1.1419999999999999</v>
      </c>
      <c r="J178" s="39">
        <v>1.1200000000000001</v>
      </c>
      <c r="K178" s="11">
        <v>1.024</v>
      </c>
      <c r="L178" s="11">
        <v>1.1919999999999999</v>
      </c>
    </row>
    <row r="179" spans="1:12" x14ac:dyDescent="0.25">
      <c r="A179" s="15" t="s">
        <v>848</v>
      </c>
      <c r="B179" s="10">
        <v>7.6923069999999998E-3</v>
      </c>
      <c r="H179" s="40">
        <v>1.0734999999999999</v>
      </c>
      <c r="I179" s="39">
        <v>1.145</v>
      </c>
      <c r="J179" s="39">
        <v>1.1225000000000001</v>
      </c>
      <c r="K179" s="11">
        <v>1.0245</v>
      </c>
      <c r="L179" s="11">
        <v>1.196</v>
      </c>
    </row>
    <row r="180" spans="1:12" x14ac:dyDescent="0.25">
      <c r="A180" s="15" t="s">
        <v>77</v>
      </c>
      <c r="B180" s="10">
        <v>1.2583333000000004E-2</v>
      </c>
      <c r="H180" s="40">
        <v>1.075</v>
      </c>
      <c r="I180" s="39">
        <v>1.1479999999999999</v>
      </c>
      <c r="J180" s="39">
        <v>1.125</v>
      </c>
      <c r="K180" s="11">
        <v>1.0249999999999999</v>
      </c>
      <c r="L180" s="11">
        <v>1.2</v>
      </c>
    </row>
    <row r="181" spans="1:12" x14ac:dyDescent="0.25">
      <c r="A181" s="15" t="s">
        <v>78</v>
      </c>
      <c r="H181" s="40">
        <v>1.0765</v>
      </c>
      <c r="I181" s="39">
        <v>1.151</v>
      </c>
      <c r="J181" s="39">
        <v>1.1274999999999999</v>
      </c>
      <c r="K181" s="11">
        <v>1.0255000000000001</v>
      </c>
      <c r="L181" s="11">
        <v>1.204</v>
      </c>
    </row>
    <row r="182" spans="1:12" x14ac:dyDescent="0.25">
      <c r="A182" s="10" t="s">
        <v>844</v>
      </c>
      <c r="B182" s="15">
        <v>9.0909000000000007E-3</v>
      </c>
      <c r="H182" s="40">
        <v>1.0780000000000001</v>
      </c>
      <c r="I182" s="39">
        <v>1.1539999999999999</v>
      </c>
      <c r="J182" s="39">
        <v>1.1299999999999999</v>
      </c>
      <c r="K182" s="11">
        <v>1.026</v>
      </c>
      <c r="L182" s="11">
        <v>1.208</v>
      </c>
    </row>
    <row r="183" spans="1:12" x14ac:dyDescent="0.25">
      <c r="A183" s="15" t="s">
        <v>79</v>
      </c>
      <c r="B183" s="10">
        <v>9.6956520000000008E-3</v>
      </c>
      <c r="H183" s="40">
        <v>1.0794999999999999</v>
      </c>
      <c r="I183" s="39">
        <v>1.157</v>
      </c>
      <c r="J183" s="39">
        <v>1.1325000000000001</v>
      </c>
      <c r="K183" s="11">
        <v>1.0265</v>
      </c>
      <c r="L183" s="11">
        <v>1.212</v>
      </c>
    </row>
    <row r="184" spans="1:12" x14ac:dyDescent="0.25">
      <c r="A184" s="15" t="s">
        <v>80</v>
      </c>
      <c r="B184" s="10">
        <v>1.0642856999999999E-2</v>
      </c>
      <c r="H184" s="40">
        <v>1.081</v>
      </c>
      <c r="I184" s="39">
        <v>1.1599999999999999</v>
      </c>
      <c r="J184" s="39">
        <v>1.135</v>
      </c>
      <c r="K184" s="11">
        <v>1.0269999999999999</v>
      </c>
      <c r="L184" s="11">
        <v>1.216</v>
      </c>
    </row>
    <row r="185" spans="1:12" x14ac:dyDescent="0.25">
      <c r="A185" s="15" t="s">
        <v>81</v>
      </c>
      <c r="B185" s="10">
        <v>2.4666667000000003E-2</v>
      </c>
      <c r="H185" s="40">
        <v>1.0825</v>
      </c>
      <c r="I185" s="39">
        <v>1.163</v>
      </c>
      <c r="J185" s="39">
        <v>1.1375</v>
      </c>
      <c r="K185" s="11">
        <v>1.0275000000000001</v>
      </c>
      <c r="L185" s="11">
        <v>1.22</v>
      </c>
    </row>
    <row r="186" spans="1:12" x14ac:dyDescent="0.25">
      <c r="A186" s="15" t="s">
        <v>847</v>
      </c>
      <c r="B186" s="10">
        <v>1.6199999999999999E-2</v>
      </c>
      <c r="H186" s="40">
        <v>1.0840000000000001</v>
      </c>
      <c r="I186" s="39">
        <v>1.1659999999999999</v>
      </c>
      <c r="J186" s="39">
        <v>1.1399999999999999</v>
      </c>
      <c r="K186" s="11">
        <v>1.028</v>
      </c>
      <c r="L186" s="11">
        <v>1.224</v>
      </c>
    </row>
    <row r="187" spans="1:12" x14ac:dyDescent="0.25">
      <c r="A187" s="15" t="s">
        <v>839</v>
      </c>
      <c r="B187" s="10">
        <v>2.2272727270000001E-2</v>
      </c>
      <c r="H187" s="40">
        <v>1.0854999999999999</v>
      </c>
      <c r="I187" s="39">
        <v>1.169</v>
      </c>
      <c r="J187" s="39">
        <v>1.1425000000000001</v>
      </c>
      <c r="K187" s="11">
        <v>1.0285</v>
      </c>
      <c r="L187" s="11">
        <v>1.228</v>
      </c>
    </row>
    <row r="188" spans="1:12" x14ac:dyDescent="0.25">
      <c r="A188" s="15" t="s">
        <v>82</v>
      </c>
      <c r="B188" s="10">
        <v>2.6919999999999999E-2</v>
      </c>
      <c r="H188" s="40">
        <v>1.087</v>
      </c>
      <c r="I188" s="39">
        <v>1.1719999999999999</v>
      </c>
      <c r="J188" s="39">
        <v>1.145</v>
      </c>
      <c r="K188" s="11">
        <v>1.0289999999999999</v>
      </c>
      <c r="L188" s="11">
        <v>1.232</v>
      </c>
    </row>
    <row r="189" spans="1:12" x14ac:dyDescent="0.25">
      <c r="A189" s="15" t="s">
        <v>83</v>
      </c>
      <c r="B189" s="10">
        <v>1.8208333E-2</v>
      </c>
      <c r="H189" s="40">
        <v>1.0885</v>
      </c>
      <c r="I189" s="39">
        <v>1.175</v>
      </c>
      <c r="J189" s="39">
        <v>1.1475</v>
      </c>
      <c r="K189" s="11">
        <v>1.0295000000000001</v>
      </c>
      <c r="L189" s="11">
        <v>1.236</v>
      </c>
    </row>
    <row r="190" spans="1:12" x14ac:dyDescent="0.25">
      <c r="A190" s="14" t="s">
        <v>84</v>
      </c>
      <c r="B190" s="10">
        <v>2.6048386999999999E-2</v>
      </c>
      <c r="H190" s="40">
        <v>1.0900000000000001</v>
      </c>
      <c r="I190" s="39">
        <v>1.1779999999999999</v>
      </c>
      <c r="J190" s="39">
        <v>1.1499999999999999</v>
      </c>
      <c r="K190" s="11">
        <v>1.03</v>
      </c>
      <c r="L190" s="11">
        <v>1.24</v>
      </c>
    </row>
    <row r="191" spans="1:12" x14ac:dyDescent="0.25">
      <c r="A191" s="14" t="s">
        <v>88</v>
      </c>
      <c r="B191" s="10">
        <v>2.4518518999999999E-2</v>
      </c>
      <c r="H191" s="40">
        <v>1.0914999999999999</v>
      </c>
      <c r="I191" s="39">
        <v>1.181</v>
      </c>
      <c r="J191" s="39">
        <v>1.1525000000000001</v>
      </c>
      <c r="K191" s="11">
        <v>1.0305</v>
      </c>
      <c r="L191" s="11">
        <v>1.244</v>
      </c>
    </row>
    <row r="192" spans="1:12" x14ac:dyDescent="0.25">
      <c r="A192" s="14" t="s">
        <v>87</v>
      </c>
      <c r="B192" s="10">
        <v>2.0256409999999999E-2</v>
      </c>
      <c r="H192" s="40">
        <v>1.093</v>
      </c>
      <c r="I192" s="39">
        <v>1.1839999999999999</v>
      </c>
      <c r="J192" s="39">
        <v>1.155</v>
      </c>
      <c r="K192" s="11">
        <v>1.0309999999999999</v>
      </c>
      <c r="L192" s="11">
        <v>1.248</v>
      </c>
    </row>
    <row r="193" spans="1:12" x14ac:dyDescent="0.25">
      <c r="A193" s="14" t="s">
        <v>85</v>
      </c>
      <c r="H193" s="40">
        <v>1.0945</v>
      </c>
      <c r="I193" s="39">
        <v>1.1870000000000001</v>
      </c>
      <c r="J193" s="39">
        <v>1.1575</v>
      </c>
      <c r="K193" s="11">
        <v>1.0315000000000001</v>
      </c>
      <c r="L193" s="11">
        <v>1.252</v>
      </c>
    </row>
    <row r="194" spans="1:12" ht="15.75" thickBot="1" x14ac:dyDescent="0.3">
      <c r="A194" s="13" t="s">
        <v>86</v>
      </c>
      <c r="B194" s="10">
        <v>1.3651200000000002E-2</v>
      </c>
      <c r="H194" s="40">
        <v>1.0960000000000001</v>
      </c>
      <c r="I194" s="39">
        <v>1.19</v>
      </c>
      <c r="J194" s="39">
        <v>1.1599999999999999</v>
      </c>
      <c r="K194" s="11">
        <v>1.032</v>
      </c>
      <c r="L194" s="11">
        <v>1.256</v>
      </c>
    </row>
    <row r="195" spans="1:12" x14ac:dyDescent="0.25">
      <c r="H195" s="40">
        <v>1.0974999999999999</v>
      </c>
      <c r="I195" s="39">
        <v>1.1930000000000001</v>
      </c>
      <c r="J195" s="39">
        <v>1.1625000000000001</v>
      </c>
      <c r="K195" s="11">
        <v>1.0325</v>
      </c>
      <c r="L195" s="11">
        <v>1.26</v>
      </c>
    </row>
    <row r="196" spans="1:12" x14ac:dyDescent="0.25">
      <c r="H196" s="40">
        <v>1.099</v>
      </c>
      <c r="I196" s="39">
        <v>1.196</v>
      </c>
      <c r="J196" s="39">
        <v>1.165</v>
      </c>
      <c r="K196" s="11">
        <v>1.0329999999999999</v>
      </c>
      <c r="L196" s="11">
        <v>1.264</v>
      </c>
    </row>
    <row r="197" spans="1:12" x14ac:dyDescent="0.25">
      <c r="H197" s="40">
        <v>1.1005</v>
      </c>
      <c r="I197" s="39">
        <v>1.2</v>
      </c>
      <c r="J197" s="39">
        <v>1.1675</v>
      </c>
      <c r="K197" s="11">
        <v>1.0335000000000001</v>
      </c>
      <c r="L197" s="11">
        <v>1.268</v>
      </c>
    </row>
    <row r="198" spans="1:12" x14ac:dyDescent="0.25">
      <c r="H198" s="40">
        <v>1.1020000000000001</v>
      </c>
      <c r="I198" s="39">
        <v>1.2030000000000001</v>
      </c>
      <c r="J198" s="39">
        <v>1.17</v>
      </c>
      <c r="K198" s="11">
        <v>1.034</v>
      </c>
      <c r="L198" s="11">
        <v>1.272</v>
      </c>
    </row>
    <row r="199" spans="1:12" x14ac:dyDescent="0.25">
      <c r="H199" s="40">
        <v>1.1034999999999999</v>
      </c>
      <c r="I199" s="39">
        <v>1.206</v>
      </c>
      <c r="J199" s="39">
        <v>1.1725000000000001</v>
      </c>
      <c r="K199" s="11">
        <v>1.0345</v>
      </c>
      <c r="L199" s="11">
        <v>1.276</v>
      </c>
    </row>
    <row r="200" spans="1:12" x14ac:dyDescent="0.25">
      <c r="H200" s="40">
        <v>1.105</v>
      </c>
      <c r="I200" s="39">
        <v>1.2090000000000001</v>
      </c>
      <c r="J200" s="39">
        <v>1.175</v>
      </c>
      <c r="K200" s="11">
        <v>1.0349999999999999</v>
      </c>
      <c r="L200" s="11">
        <v>1.28</v>
      </c>
    </row>
    <row r="201" spans="1:12" x14ac:dyDescent="0.25">
      <c r="H201" s="40">
        <v>1.1065</v>
      </c>
      <c r="I201" s="39">
        <v>1.212</v>
      </c>
      <c r="J201" s="39">
        <v>1.1775</v>
      </c>
      <c r="K201" s="11">
        <v>1.0355000000000001</v>
      </c>
      <c r="L201" s="11">
        <v>1.284</v>
      </c>
    </row>
    <row r="202" spans="1:12" x14ac:dyDescent="0.25">
      <c r="H202" s="40">
        <v>1.1080000000000001</v>
      </c>
      <c r="I202" s="39">
        <v>1.2150000000000001</v>
      </c>
      <c r="J202" s="39">
        <v>1.18</v>
      </c>
      <c r="K202" s="11">
        <v>1.036</v>
      </c>
      <c r="L202" s="11">
        <v>1.288</v>
      </c>
    </row>
    <row r="203" spans="1:12" x14ac:dyDescent="0.25">
      <c r="H203" s="40">
        <v>1.1094999999999999</v>
      </c>
      <c r="I203" s="39">
        <v>1.218</v>
      </c>
      <c r="J203" s="39">
        <v>1.1825000000000001</v>
      </c>
      <c r="K203" s="11">
        <v>1.0365</v>
      </c>
      <c r="L203" s="11">
        <v>1.292</v>
      </c>
    </row>
    <row r="204" spans="1:12" x14ac:dyDescent="0.25">
      <c r="H204" s="40">
        <v>1.111</v>
      </c>
      <c r="I204" s="39">
        <v>1.2210000000000001</v>
      </c>
      <c r="J204" s="39">
        <v>1.1850000000000001</v>
      </c>
      <c r="K204" s="11">
        <v>1.0369999999999999</v>
      </c>
      <c r="L204" s="11">
        <v>1.296</v>
      </c>
    </row>
    <row r="205" spans="1:12" x14ac:dyDescent="0.25">
      <c r="H205" s="40">
        <v>1.1125</v>
      </c>
      <c r="I205" s="39">
        <v>1.224</v>
      </c>
      <c r="J205" s="39">
        <v>1.1875</v>
      </c>
      <c r="K205" s="11">
        <v>1.0375000000000001</v>
      </c>
      <c r="L205" s="11">
        <v>1.3</v>
      </c>
    </row>
    <row r="206" spans="1:12" x14ac:dyDescent="0.25">
      <c r="H206" s="40">
        <v>1.1140000000000001</v>
      </c>
      <c r="I206" s="39">
        <v>1.2270000000000001</v>
      </c>
      <c r="J206" s="39">
        <v>1.19</v>
      </c>
      <c r="K206" s="11">
        <v>1.038</v>
      </c>
      <c r="L206" s="11">
        <v>1.304</v>
      </c>
    </row>
    <row r="207" spans="1:12" x14ac:dyDescent="0.25">
      <c r="H207" s="40">
        <v>1.1154999999999999</v>
      </c>
      <c r="I207" s="39">
        <v>1.23</v>
      </c>
      <c r="J207" s="39">
        <v>1.1924999999999999</v>
      </c>
      <c r="K207" s="11">
        <v>1.0385</v>
      </c>
      <c r="L207" s="11">
        <v>1.3080000000000001</v>
      </c>
    </row>
    <row r="208" spans="1:12" x14ac:dyDescent="0.25">
      <c r="H208" s="40">
        <v>1.117</v>
      </c>
      <c r="I208" s="39">
        <v>1.2330000000000001</v>
      </c>
      <c r="J208" s="39">
        <v>1.1950000000000001</v>
      </c>
      <c r="K208" s="11">
        <v>1.0389999999999999</v>
      </c>
      <c r="L208" s="11">
        <v>1.3120000000000001</v>
      </c>
    </row>
    <row r="209" spans="8:12" x14ac:dyDescent="0.25">
      <c r="H209" s="40">
        <v>1.1185</v>
      </c>
      <c r="I209" s="39">
        <v>1.236</v>
      </c>
      <c r="J209" s="39">
        <v>1.1975</v>
      </c>
      <c r="K209" s="11">
        <v>1.0395000000000001</v>
      </c>
      <c r="L209" s="11">
        <v>1.3160000000000001</v>
      </c>
    </row>
    <row r="210" spans="8:12" x14ac:dyDescent="0.25">
      <c r="H210" s="40">
        <v>1.1200000000000001</v>
      </c>
      <c r="I210" s="39">
        <v>1.2390000000000001</v>
      </c>
      <c r="J210" s="39">
        <v>1.2</v>
      </c>
      <c r="K210" s="11">
        <v>1.04</v>
      </c>
      <c r="L210" s="11">
        <v>1.32</v>
      </c>
    </row>
    <row r="211" spans="8:12" x14ac:dyDescent="0.25">
      <c r="H211" s="40">
        <v>1.1214999999999999</v>
      </c>
      <c r="I211" s="39">
        <v>1.242</v>
      </c>
      <c r="J211" s="39">
        <v>1.2024999999999999</v>
      </c>
      <c r="K211" s="11">
        <v>1.0405</v>
      </c>
      <c r="L211" s="11">
        <v>1.3240000000000001</v>
      </c>
    </row>
    <row r="212" spans="8:12" x14ac:dyDescent="0.25">
      <c r="H212" s="40">
        <v>1.123</v>
      </c>
      <c r="I212" s="39">
        <v>1.2450000000000001</v>
      </c>
      <c r="J212" s="39">
        <v>1.2050000000000001</v>
      </c>
      <c r="K212" s="11">
        <v>1.0409999999999999</v>
      </c>
      <c r="L212" s="11">
        <v>1.3280000000000001</v>
      </c>
    </row>
    <row r="213" spans="8:12" x14ac:dyDescent="0.25">
      <c r="H213" s="40">
        <v>1.1245000000000001</v>
      </c>
      <c r="I213" s="39">
        <v>1.248</v>
      </c>
      <c r="J213" s="39">
        <v>1.2075</v>
      </c>
      <c r="K213" s="11">
        <v>1.0415000000000001</v>
      </c>
      <c r="L213" s="11">
        <v>1.3320000000000001</v>
      </c>
    </row>
    <row r="214" spans="8:12" x14ac:dyDescent="0.25">
      <c r="H214" s="40">
        <v>1.1259999999999999</v>
      </c>
      <c r="I214" s="39">
        <v>1.2509999999999999</v>
      </c>
      <c r="J214" s="39">
        <v>1.21</v>
      </c>
      <c r="K214" s="11">
        <v>1.042</v>
      </c>
      <c r="L214" s="11">
        <v>1.3360000000000001</v>
      </c>
    </row>
    <row r="215" spans="8:12" x14ac:dyDescent="0.25">
      <c r="H215" s="40">
        <v>1.1274999999999999</v>
      </c>
      <c r="I215" s="39">
        <v>1.254</v>
      </c>
      <c r="J215" s="39">
        <v>1.2124999999999999</v>
      </c>
      <c r="K215" s="11">
        <v>1.0425</v>
      </c>
      <c r="L215" s="11">
        <v>1.34</v>
      </c>
    </row>
    <row r="216" spans="8:12" x14ac:dyDescent="0.25">
      <c r="H216" s="40">
        <v>1.129</v>
      </c>
      <c r="I216" s="39">
        <v>1.2569999999999999</v>
      </c>
      <c r="J216" s="39">
        <v>1.2150000000000001</v>
      </c>
      <c r="K216" s="11">
        <v>1.0429999999999999</v>
      </c>
      <c r="L216" s="11">
        <v>1.3440000000000001</v>
      </c>
    </row>
    <row r="217" spans="8:12" x14ac:dyDescent="0.25">
      <c r="H217" s="40">
        <v>1.1305000000000001</v>
      </c>
      <c r="I217" s="39">
        <v>1.26</v>
      </c>
      <c r="J217" s="39">
        <v>1.2175</v>
      </c>
      <c r="K217" s="11">
        <v>1.0435000000000001</v>
      </c>
      <c r="L217" s="11">
        <v>1.3480000000000001</v>
      </c>
    </row>
    <row r="218" spans="8:12" x14ac:dyDescent="0.25">
      <c r="H218" s="40">
        <v>1.1319999999999999</v>
      </c>
      <c r="I218" s="39">
        <v>1.2629999999999999</v>
      </c>
      <c r="J218" s="39">
        <v>1.22</v>
      </c>
      <c r="K218" s="11">
        <v>1.044</v>
      </c>
      <c r="L218" s="11">
        <v>1.3520000000000001</v>
      </c>
    </row>
    <row r="219" spans="8:12" x14ac:dyDescent="0.25">
      <c r="H219" s="40">
        <v>1.1335</v>
      </c>
      <c r="I219" s="39">
        <v>1.266</v>
      </c>
      <c r="J219" s="39">
        <v>1.2250000000000001</v>
      </c>
      <c r="K219" s="11">
        <v>1.0445</v>
      </c>
      <c r="L219" s="11">
        <v>1.3560000000000001</v>
      </c>
    </row>
    <row r="220" spans="8:12" x14ac:dyDescent="0.25">
      <c r="H220" s="40">
        <v>1.135</v>
      </c>
      <c r="I220" s="39">
        <v>1.2689999999999999</v>
      </c>
      <c r="J220" s="39">
        <v>1.25</v>
      </c>
      <c r="K220" s="11">
        <v>1.0449999999999999</v>
      </c>
      <c r="L220" s="11">
        <v>1.36</v>
      </c>
    </row>
    <row r="221" spans="8:12" x14ac:dyDescent="0.25">
      <c r="H221" s="40">
        <v>1.1365000000000001</v>
      </c>
      <c r="I221" s="39">
        <v>1.272</v>
      </c>
      <c r="J221" s="39">
        <v>1.2749999999999999</v>
      </c>
      <c r="K221" s="11">
        <v>1.0455000000000001</v>
      </c>
      <c r="L221" s="11">
        <v>1.3640000000000001</v>
      </c>
    </row>
    <row r="222" spans="8:12" x14ac:dyDescent="0.25">
      <c r="H222" s="40">
        <v>1.1379999999999999</v>
      </c>
      <c r="I222" s="39">
        <v>1.2749999999999999</v>
      </c>
      <c r="J222" s="39">
        <v>1.23</v>
      </c>
      <c r="K222" s="11">
        <v>1.046</v>
      </c>
      <c r="L222" s="11">
        <v>1.3680000000000001</v>
      </c>
    </row>
    <row r="223" spans="8:12" x14ac:dyDescent="0.25">
      <c r="H223" s="40">
        <v>1.1395</v>
      </c>
      <c r="I223" s="39">
        <v>1.278</v>
      </c>
      <c r="J223" s="39">
        <v>1.2324999999999999</v>
      </c>
      <c r="K223" s="11">
        <v>1.0465</v>
      </c>
      <c r="L223" s="11">
        <v>1.3720000000000001</v>
      </c>
    </row>
    <row r="224" spans="8:12" x14ac:dyDescent="0.25">
      <c r="H224" s="40">
        <v>1.141</v>
      </c>
      <c r="I224" s="39">
        <v>1.2809999999999999</v>
      </c>
      <c r="J224" s="39">
        <v>1.2350000000000001</v>
      </c>
      <c r="K224" s="11">
        <v>1.0469999999999999</v>
      </c>
      <c r="L224" s="11">
        <v>1376</v>
      </c>
    </row>
    <row r="225" spans="8:12" x14ac:dyDescent="0.25">
      <c r="H225" s="40">
        <v>1.1425000000000001</v>
      </c>
      <c r="I225" s="39">
        <v>1.284</v>
      </c>
      <c r="J225" s="39">
        <v>1.2375</v>
      </c>
      <c r="K225" s="11">
        <v>1.0475000000000001</v>
      </c>
      <c r="L225" s="11">
        <v>1.38</v>
      </c>
    </row>
    <row r="226" spans="8:12" x14ac:dyDescent="0.25">
      <c r="H226" s="40">
        <v>1.1439999999999999</v>
      </c>
      <c r="I226" s="39">
        <v>1.2869999999999999</v>
      </c>
      <c r="J226" s="39">
        <v>1.24</v>
      </c>
      <c r="K226" s="11">
        <v>1.048</v>
      </c>
      <c r="L226" s="11">
        <v>1.3839999999999999</v>
      </c>
    </row>
    <row r="227" spans="8:12" x14ac:dyDescent="0.25">
      <c r="H227" s="40">
        <v>1.1455</v>
      </c>
      <c r="I227" s="39">
        <v>1.29</v>
      </c>
      <c r="J227" s="39">
        <v>1.2424999999999999</v>
      </c>
      <c r="K227" s="11">
        <v>1.0485</v>
      </c>
      <c r="L227" s="11">
        <v>1.3879999999999999</v>
      </c>
    </row>
    <row r="228" spans="8:12" x14ac:dyDescent="0.25">
      <c r="H228" s="40">
        <v>1.147</v>
      </c>
      <c r="I228" s="39">
        <v>1.2929999999999999</v>
      </c>
      <c r="J228" s="39">
        <v>1.2450000000000001</v>
      </c>
      <c r="K228" s="11">
        <v>1.0489999999999999</v>
      </c>
      <c r="L228" s="11">
        <v>1.3919999999999999</v>
      </c>
    </row>
    <row r="229" spans="8:12" x14ac:dyDescent="0.25">
      <c r="H229" s="40">
        <v>1.1485000000000001</v>
      </c>
      <c r="I229" s="39">
        <v>1.296</v>
      </c>
      <c r="J229" s="39">
        <v>1.2475000000000001</v>
      </c>
      <c r="K229" s="11">
        <v>1.0495000000000001</v>
      </c>
      <c r="L229" s="11">
        <v>1.3959999999999999</v>
      </c>
    </row>
    <row r="230" spans="8:12" x14ac:dyDescent="0.25">
      <c r="H230" s="40">
        <v>1.1499999999999999</v>
      </c>
      <c r="I230" s="39">
        <v>1.3</v>
      </c>
      <c r="J230" s="39">
        <v>1.25</v>
      </c>
      <c r="K230" s="11">
        <v>1.05</v>
      </c>
      <c r="L230" s="11">
        <v>1.4</v>
      </c>
    </row>
  </sheetData>
  <sheetProtection selectLockedCells="1"/>
  <customSheetViews>
    <customSheetView guid="{58F65609-3622-42C4-9926-1A56B88F9C36}" state="hidden" topLeftCell="B1">
      <selection activeCell="O2" sqref="O2"/>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E32"/>
  <sheetViews>
    <sheetView workbookViewId="0">
      <selection activeCell="B11" sqref="B11"/>
    </sheetView>
  </sheetViews>
  <sheetFormatPr defaultRowHeight="15" x14ac:dyDescent="0.25"/>
  <cols>
    <col min="1" max="1" width="21" customWidth="1"/>
    <col min="2" max="2" width="12.140625" customWidth="1"/>
    <col min="3" max="3" width="21.140625" customWidth="1"/>
    <col min="4" max="4" width="12.7109375" customWidth="1"/>
    <col min="257" max="257" width="21" customWidth="1"/>
    <col min="258" max="258" width="12.140625" customWidth="1"/>
    <col min="259" max="259" width="21.140625" customWidth="1"/>
    <col min="260" max="260" width="12.7109375" customWidth="1"/>
    <col min="513" max="513" width="21" customWidth="1"/>
    <col min="514" max="514" width="12.140625" customWidth="1"/>
    <col min="515" max="515" width="21.140625" customWidth="1"/>
    <col min="516" max="516" width="12.7109375" customWidth="1"/>
    <col min="769" max="769" width="21" customWidth="1"/>
    <col min="770" max="770" width="12.140625" customWidth="1"/>
    <col min="771" max="771" width="21.140625" customWidth="1"/>
    <col min="772" max="772" width="12.7109375" customWidth="1"/>
    <col min="1025" max="1025" width="21" customWidth="1"/>
    <col min="1026" max="1026" width="12.140625" customWidth="1"/>
    <col min="1027" max="1027" width="21.140625" customWidth="1"/>
    <col min="1028" max="1028" width="12.7109375" customWidth="1"/>
    <col min="1281" max="1281" width="21" customWidth="1"/>
    <col min="1282" max="1282" width="12.140625" customWidth="1"/>
    <col min="1283" max="1283" width="21.140625" customWidth="1"/>
    <col min="1284" max="1284" width="12.7109375" customWidth="1"/>
    <col min="1537" max="1537" width="21" customWidth="1"/>
    <col min="1538" max="1538" width="12.140625" customWidth="1"/>
    <col min="1539" max="1539" width="21.140625" customWidth="1"/>
    <col min="1540" max="1540" width="12.7109375" customWidth="1"/>
    <col min="1793" max="1793" width="21" customWidth="1"/>
    <col min="1794" max="1794" width="12.140625" customWidth="1"/>
    <col min="1795" max="1795" width="21.140625" customWidth="1"/>
    <col min="1796" max="1796" width="12.7109375" customWidth="1"/>
    <col min="2049" max="2049" width="21" customWidth="1"/>
    <col min="2050" max="2050" width="12.140625" customWidth="1"/>
    <col min="2051" max="2051" width="21.140625" customWidth="1"/>
    <col min="2052" max="2052" width="12.7109375" customWidth="1"/>
    <col min="2305" max="2305" width="21" customWidth="1"/>
    <col min="2306" max="2306" width="12.140625" customWidth="1"/>
    <col min="2307" max="2307" width="21.140625" customWidth="1"/>
    <col min="2308" max="2308" width="12.7109375" customWidth="1"/>
    <col min="2561" max="2561" width="21" customWidth="1"/>
    <col min="2562" max="2562" width="12.140625" customWidth="1"/>
    <col min="2563" max="2563" width="21.140625" customWidth="1"/>
    <col min="2564" max="2564" width="12.7109375" customWidth="1"/>
    <col min="2817" max="2817" width="21" customWidth="1"/>
    <col min="2818" max="2818" width="12.140625" customWidth="1"/>
    <col min="2819" max="2819" width="21.140625" customWidth="1"/>
    <col min="2820" max="2820" width="12.7109375" customWidth="1"/>
    <col min="3073" max="3073" width="21" customWidth="1"/>
    <col min="3074" max="3074" width="12.140625" customWidth="1"/>
    <col min="3075" max="3075" width="21.140625" customWidth="1"/>
    <col min="3076" max="3076" width="12.7109375" customWidth="1"/>
    <col min="3329" max="3329" width="21" customWidth="1"/>
    <col min="3330" max="3330" width="12.140625" customWidth="1"/>
    <col min="3331" max="3331" width="21.140625" customWidth="1"/>
    <col min="3332" max="3332" width="12.7109375" customWidth="1"/>
    <col min="3585" max="3585" width="21" customWidth="1"/>
    <col min="3586" max="3586" width="12.140625" customWidth="1"/>
    <col min="3587" max="3587" width="21.140625" customWidth="1"/>
    <col min="3588" max="3588" width="12.7109375" customWidth="1"/>
    <col min="3841" max="3841" width="21" customWidth="1"/>
    <col min="3842" max="3842" width="12.140625" customWidth="1"/>
    <col min="3843" max="3843" width="21.140625" customWidth="1"/>
    <col min="3844" max="3844" width="12.7109375" customWidth="1"/>
    <col min="4097" max="4097" width="21" customWidth="1"/>
    <col min="4098" max="4098" width="12.140625" customWidth="1"/>
    <col min="4099" max="4099" width="21.140625" customWidth="1"/>
    <col min="4100" max="4100" width="12.7109375" customWidth="1"/>
    <col min="4353" max="4353" width="21" customWidth="1"/>
    <col min="4354" max="4354" width="12.140625" customWidth="1"/>
    <col min="4355" max="4355" width="21.140625" customWidth="1"/>
    <col min="4356" max="4356" width="12.7109375" customWidth="1"/>
    <col min="4609" max="4609" width="21" customWidth="1"/>
    <col min="4610" max="4610" width="12.140625" customWidth="1"/>
    <col min="4611" max="4611" width="21.140625" customWidth="1"/>
    <col min="4612" max="4612" width="12.7109375" customWidth="1"/>
    <col min="4865" max="4865" width="21" customWidth="1"/>
    <col min="4866" max="4866" width="12.140625" customWidth="1"/>
    <col min="4867" max="4867" width="21.140625" customWidth="1"/>
    <col min="4868" max="4868" width="12.7109375" customWidth="1"/>
    <col min="5121" max="5121" width="21" customWidth="1"/>
    <col min="5122" max="5122" width="12.140625" customWidth="1"/>
    <col min="5123" max="5123" width="21.140625" customWidth="1"/>
    <col min="5124" max="5124" width="12.7109375" customWidth="1"/>
    <col min="5377" max="5377" width="21" customWidth="1"/>
    <col min="5378" max="5378" width="12.140625" customWidth="1"/>
    <col min="5379" max="5379" width="21.140625" customWidth="1"/>
    <col min="5380" max="5380" width="12.7109375" customWidth="1"/>
    <col min="5633" max="5633" width="21" customWidth="1"/>
    <col min="5634" max="5634" width="12.140625" customWidth="1"/>
    <col min="5635" max="5635" width="21.140625" customWidth="1"/>
    <col min="5636" max="5636" width="12.7109375" customWidth="1"/>
    <col min="5889" max="5889" width="21" customWidth="1"/>
    <col min="5890" max="5890" width="12.140625" customWidth="1"/>
    <col min="5891" max="5891" width="21.140625" customWidth="1"/>
    <col min="5892" max="5892" width="12.7109375" customWidth="1"/>
    <col min="6145" max="6145" width="21" customWidth="1"/>
    <col min="6146" max="6146" width="12.140625" customWidth="1"/>
    <col min="6147" max="6147" width="21.140625" customWidth="1"/>
    <col min="6148" max="6148" width="12.7109375" customWidth="1"/>
    <col min="6401" max="6401" width="21" customWidth="1"/>
    <col min="6402" max="6402" width="12.140625" customWidth="1"/>
    <col min="6403" max="6403" width="21.140625" customWidth="1"/>
    <col min="6404" max="6404" width="12.7109375" customWidth="1"/>
    <col min="6657" max="6657" width="21" customWidth="1"/>
    <col min="6658" max="6658" width="12.140625" customWidth="1"/>
    <col min="6659" max="6659" width="21.140625" customWidth="1"/>
    <col min="6660" max="6660" width="12.7109375" customWidth="1"/>
    <col min="6913" max="6913" width="21" customWidth="1"/>
    <col min="6914" max="6914" width="12.140625" customWidth="1"/>
    <col min="6915" max="6915" width="21.140625" customWidth="1"/>
    <col min="6916" max="6916" width="12.7109375" customWidth="1"/>
    <col min="7169" max="7169" width="21" customWidth="1"/>
    <col min="7170" max="7170" width="12.140625" customWidth="1"/>
    <col min="7171" max="7171" width="21.140625" customWidth="1"/>
    <col min="7172" max="7172" width="12.7109375" customWidth="1"/>
    <col min="7425" max="7425" width="21" customWidth="1"/>
    <col min="7426" max="7426" width="12.140625" customWidth="1"/>
    <col min="7427" max="7427" width="21.140625" customWidth="1"/>
    <col min="7428" max="7428" width="12.7109375" customWidth="1"/>
    <col min="7681" max="7681" width="21" customWidth="1"/>
    <col min="7682" max="7682" width="12.140625" customWidth="1"/>
    <col min="7683" max="7683" width="21.140625" customWidth="1"/>
    <col min="7684" max="7684" width="12.7109375" customWidth="1"/>
    <col min="7937" max="7937" width="21" customWidth="1"/>
    <col min="7938" max="7938" width="12.140625" customWidth="1"/>
    <col min="7939" max="7939" width="21.140625" customWidth="1"/>
    <col min="7940" max="7940" width="12.7109375" customWidth="1"/>
    <col min="8193" max="8193" width="21" customWidth="1"/>
    <col min="8194" max="8194" width="12.140625" customWidth="1"/>
    <col min="8195" max="8195" width="21.140625" customWidth="1"/>
    <col min="8196" max="8196" width="12.7109375" customWidth="1"/>
    <col min="8449" max="8449" width="21" customWidth="1"/>
    <col min="8450" max="8450" width="12.140625" customWidth="1"/>
    <col min="8451" max="8451" width="21.140625" customWidth="1"/>
    <col min="8452" max="8452" width="12.7109375" customWidth="1"/>
    <col min="8705" max="8705" width="21" customWidth="1"/>
    <col min="8706" max="8706" width="12.140625" customWidth="1"/>
    <col min="8707" max="8707" width="21.140625" customWidth="1"/>
    <col min="8708" max="8708" width="12.7109375" customWidth="1"/>
    <col min="8961" max="8961" width="21" customWidth="1"/>
    <col min="8962" max="8962" width="12.140625" customWidth="1"/>
    <col min="8963" max="8963" width="21.140625" customWidth="1"/>
    <col min="8964" max="8964" width="12.7109375" customWidth="1"/>
    <col min="9217" max="9217" width="21" customWidth="1"/>
    <col min="9218" max="9218" width="12.140625" customWidth="1"/>
    <col min="9219" max="9219" width="21.140625" customWidth="1"/>
    <col min="9220" max="9220" width="12.7109375" customWidth="1"/>
    <col min="9473" max="9473" width="21" customWidth="1"/>
    <col min="9474" max="9474" width="12.140625" customWidth="1"/>
    <col min="9475" max="9475" width="21.140625" customWidth="1"/>
    <col min="9476" max="9476" width="12.7109375" customWidth="1"/>
    <col min="9729" max="9729" width="21" customWidth="1"/>
    <col min="9730" max="9730" width="12.140625" customWidth="1"/>
    <col min="9731" max="9731" width="21.140625" customWidth="1"/>
    <col min="9732" max="9732" width="12.7109375" customWidth="1"/>
    <col min="9985" max="9985" width="21" customWidth="1"/>
    <col min="9986" max="9986" width="12.140625" customWidth="1"/>
    <col min="9987" max="9987" width="21.140625" customWidth="1"/>
    <col min="9988" max="9988" width="12.7109375" customWidth="1"/>
    <col min="10241" max="10241" width="21" customWidth="1"/>
    <col min="10242" max="10242" width="12.140625" customWidth="1"/>
    <col min="10243" max="10243" width="21.140625" customWidth="1"/>
    <col min="10244" max="10244" width="12.7109375" customWidth="1"/>
    <col min="10497" max="10497" width="21" customWidth="1"/>
    <col min="10498" max="10498" width="12.140625" customWidth="1"/>
    <col min="10499" max="10499" width="21.140625" customWidth="1"/>
    <col min="10500" max="10500" width="12.7109375" customWidth="1"/>
    <col min="10753" max="10753" width="21" customWidth="1"/>
    <col min="10754" max="10754" width="12.140625" customWidth="1"/>
    <col min="10755" max="10755" width="21.140625" customWidth="1"/>
    <col min="10756" max="10756" width="12.7109375" customWidth="1"/>
    <col min="11009" max="11009" width="21" customWidth="1"/>
    <col min="11010" max="11010" width="12.140625" customWidth="1"/>
    <col min="11011" max="11011" width="21.140625" customWidth="1"/>
    <col min="11012" max="11012" width="12.7109375" customWidth="1"/>
    <col min="11265" max="11265" width="21" customWidth="1"/>
    <col min="11266" max="11266" width="12.140625" customWidth="1"/>
    <col min="11267" max="11267" width="21.140625" customWidth="1"/>
    <col min="11268" max="11268" width="12.7109375" customWidth="1"/>
    <col min="11521" max="11521" width="21" customWidth="1"/>
    <col min="11522" max="11522" width="12.140625" customWidth="1"/>
    <col min="11523" max="11523" width="21.140625" customWidth="1"/>
    <col min="11524" max="11524" width="12.7109375" customWidth="1"/>
    <col min="11777" max="11777" width="21" customWidth="1"/>
    <col min="11778" max="11778" width="12.140625" customWidth="1"/>
    <col min="11779" max="11779" width="21.140625" customWidth="1"/>
    <col min="11780" max="11780" width="12.7109375" customWidth="1"/>
    <col min="12033" max="12033" width="21" customWidth="1"/>
    <col min="12034" max="12034" width="12.140625" customWidth="1"/>
    <col min="12035" max="12035" width="21.140625" customWidth="1"/>
    <col min="12036" max="12036" width="12.7109375" customWidth="1"/>
    <col min="12289" max="12289" width="21" customWidth="1"/>
    <col min="12290" max="12290" width="12.140625" customWidth="1"/>
    <col min="12291" max="12291" width="21.140625" customWidth="1"/>
    <col min="12292" max="12292" width="12.7109375" customWidth="1"/>
    <col min="12545" max="12545" width="21" customWidth="1"/>
    <col min="12546" max="12546" width="12.140625" customWidth="1"/>
    <col min="12547" max="12547" width="21.140625" customWidth="1"/>
    <col min="12548" max="12548" width="12.7109375" customWidth="1"/>
    <col min="12801" max="12801" width="21" customWidth="1"/>
    <col min="12802" max="12802" width="12.140625" customWidth="1"/>
    <col min="12803" max="12803" width="21.140625" customWidth="1"/>
    <col min="12804" max="12804" width="12.7109375" customWidth="1"/>
    <col min="13057" max="13057" width="21" customWidth="1"/>
    <col min="13058" max="13058" width="12.140625" customWidth="1"/>
    <col min="13059" max="13059" width="21.140625" customWidth="1"/>
    <col min="13060" max="13060" width="12.7109375" customWidth="1"/>
    <col min="13313" max="13313" width="21" customWidth="1"/>
    <col min="13314" max="13314" width="12.140625" customWidth="1"/>
    <col min="13315" max="13315" width="21.140625" customWidth="1"/>
    <col min="13316" max="13316" width="12.7109375" customWidth="1"/>
    <col min="13569" max="13569" width="21" customWidth="1"/>
    <col min="13570" max="13570" width="12.140625" customWidth="1"/>
    <col min="13571" max="13571" width="21.140625" customWidth="1"/>
    <col min="13572" max="13572" width="12.7109375" customWidth="1"/>
    <col min="13825" max="13825" width="21" customWidth="1"/>
    <col min="13826" max="13826" width="12.140625" customWidth="1"/>
    <col min="13827" max="13827" width="21.140625" customWidth="1"/>
    <col min="13828" max="13828" width="12.7109375" customWidth="1"/>
    <col min="14081" max="14081" width="21" customWidth="1"/>
    <col min="14082" max="14082" width="12.140625" customWidth="1"/>
    <col min="14083" max="14083" width="21.140625" customWidth="1"/>
    <col min="14084" max="14084" width="12.7109375" customWidth="1"/>
    <col min="14337" max="14337" width="21" customWidth="1"/>
    <col min="14338" max="14338" width="12.140625" customWidth="1"/>
    <col min="14339" max="14339" width="21.140625" customWidth="1"/>
    <col min="14340" max="14340" width="12.7109375" customWidth="1"/>
    <col min="14593" max="14593" width="21" customWidth="1"/>
    <col min="14594" max="14594" width="12.140625" customWidth="1"/>
    <col min="14595" max="14595" width="21.140625" customWidth="1"/>
    <col min="14596" max="14596" width="12.7109375" customWidth="1"/>
    <col min="14849" max="14849" width="21" customWidth="1"/>
    <col min="14850" max="14850" width="12.140625" customWidth="1"/>
    <col min="14851" max="14851" width="21.140625" customWidth="1"/>
    <col min="14852" max="14852" width="12.7109375" customWidth="1"/>
    <col min="15105" max="15105" width="21" customWidth="1"/>
    <col min="15106" max="15106" width="12.140625" customWidth="1"/>
    <col min="15107" max="15107" width="21.140625" customWidth="1"/>
    <col min="15108" max="15108" width="12.7109375" customWidth="1"/>
    <col min="15361" max="15361" width="21" customWidth="1"/>
    <col min="15362" max="15362" width="12.140625" customWidth="1"/>
    <col min="15363" max="15363" width="21.140625" customWidth="1"/>
    <col min="15364" max="15364" width="12.7109375" customWidth="1"/>
    <col min="15617" max="15617" width="21" customWidth="1"/>
    <col min="15618" max="15618" width="12.140625" customWidth="1"/>
    <col min="15619" max="15619" width="21.140625" customWidth="1"/>
    <col min="15620" max="15620" width="12.7109375" customWidth="1"/>
    <col min="15873" max="15873" width="21" customWidth="1"/>
    <col min="15874" max="15874" width="12.140625" customWidth="1"/>
    <col min="15875" max="15875" width="21.140625" customWidth="1"/>
    <col min="15876" max="15876" width="12.7109375" customWidth="1"/>
    <col min="16129" max="16129" width="21" customWidth="1"/>
    <col min="16130" max="16130" width="12.140625" customWidth="1"/>
    <col min="16131" max="16131" width="21.140625" customWidth="1"/>
    <col min="16132" max="16132" width="12.7109375" customWidth="1"/>
  </cols>
  <sheetData>
    <row r="1" spans="1:5" ht="19.5" thickBot="1" x14ac:dyDescent="0.3">
      <c r="A1" s="821" t="s">
        <v>539</v>
      </c>
      <c r="B1" s="821"/>
      <c r="C1" s="821"/>
      <c r="D1" s="821"/>
    </row>
    <row r="2" spans="1:5" x14ac:dyDescent="0.25">
      <c r="A2" s="215" t="s">
        <v>540</v>
      </c>
      <c r="B2" s="379">
        <v>-750000</v>
      </c>
      <c r="C2" s="216" t="s">
        <v>541</v>
      </c>
      <c r="D2" s="380">
        <v>-700000</v>
      </c>
    </row>
    <row r="3" spans="1:5" x14ac:dyDescent="0.25">
      <c r="A3" s="217" t="s">
        <v>542</v>
      </c>
      <c r="B3" s="381">
        <v>-300000</v>
      </c>
      <c r="C3" s="218" t="s">
        <v>543</v>
      </c>
      <c r="D3" s="383">
        <v>-900000</v>
      </c>
    </row>
    <row r="4" spans="1:5" x14ac:dyDescent="0.25">
      <c r="A4" s="217" t="s">
        <v>544</v>
      </c>
      <c r="B4" s="381">
        <v>-500000</v>
      </c>
      <c r="C4" s="218" t="s">
        <v>545</v>
      </c>
      <c r="D4" s="383">
        <v>0</v>
      </c>
    </row>
    <row r="5" spans="1:5" x14ac:dyDescent="0.25">
      <c r="A5" s="217" t="s">
        <v>225</v>
      </c>
      <c r="B5" s="381">
        <v>-1500000</v>
      </c>
      <c r="C5" s="218" t="s">
        <v>546</v>
      </c>
      <c r="D5" s="383">
        <v>-500000</v>
      </c>
    </row>
    <row r="6" spans="1:5" ht="15.75" thickBot="1" x14ac:dyDescent="0.3">
      <c r="A6" s="219" t="s">
        <v>547</v>
      </c>
      <c r="B6" s="382">
        <v>-800000</v>
      </c>
      <c r="C6" s="218" t="s">
        <v>548</v>
      </c>
      <c r="D6" s="383">
        <v>-1300000</v>
      </c>
    </row>
    <row r="7" spans="1:5" ht="15.75" thickBot="1" x14ac:dyDescent="0.3">
      <c r="A7" s="220" t="s">
        <v>549</v>
      </c>
      <c r="B7" s="221">
        <f>SUM(B2:B6,D2:D6)</f>
        <v>-7250000</v>
      </c>
      <c r="C7" s="222"/>
      <c r="D7" s="223"/>
    </row>
    <row r="8" spans="1:5" ht="15.75" thickBot="1" x14ac:dyDescent="0.3">
      <c r="A8" s="224"/>
      <c r="B8" s="225"/>
    </row>
    <row r="9" spans="1:5" ht="19.5" thickBot="1" x14ac:dyDescent="0.3">
      <c r="A9" s="821" t="s">
        <v>550</v>
      </c>
      <c r="B9" s="821"/>
      <c r="C9" s="821"/>
      <c r="D9" s="821"/>
      <c r="E9" s="226" t="s">
        <v>551</v>
      </c>
    </row>
    <row r="10" spans="1:5" x14ac:dyDescent="0.25">
      <c r="A10" s="215" t="s">
        <v>552</v>
      </c>
      <c r="B10" s="649" t="s">
        <v>556</v>
      </c>
      <c r="C10" s="216"/>
      <c r="D10" s="227"/>
      <c r="E10" s="226" t="s">
        <v>553</v>
      </c>
    </row>
    <row r="11" spans="1:5" x14ac:dyDescent="0.25">
      <c r="A11" s="217" t="s">
        <v>554</v>
      </c>
      <c r="B11" s="384">
        <v>1</v>
      </c>
      <c r="C11" s="218" t="s">
        <v>555</v>
      </c>
      <c r="D11" s="383">
        <v>2500000</v>
      </c>
      <c r="E11" s="226" t="s">
        <v>556</v>
      </c>
    </row>
    <row r="12" spans="1:5" ht="15.75" thickBot="1" x14ac:dyDescent="0.3">
      <c r="A12" s="219" t="s">
        <v>557</v>
      </c>
      <c r="B12" s="382">
        <v>500000</v>
      </c>
      <c r="C12" s="218" t="s">
        <v>558</v>
      </c>
      <c r="D12" s="383">
        <f>VLOOKUP($B$11,'Pos. Money'!$A$1:$L$41,IF($B$10="Elite",3,IF($B$10="Master",5,IF($B$10="Pro",7,IF($B$10="Amatuer",9,IF($B$10="Rookie",11,12))))))</f>
        <v>15000000</v>
      </c>
      <c r="E12" s="226" t="s">
        <v>559</v>
      </c>
    </row>
    <row r="13" spans="1:5" ht="15.75" thickBot="1" x14ac:dyDescent="0.3">
      <c r="A13" s="220" t="s">
        <v>549</v>
      </c>
      <c r="B13" s="221">
        <f>SUM(B12,D11:D12)</f>
        <v>18000000</v>
      </c>
      <c r="C13" s="222"/>
      <c r="D13" s="223"/>
      <c r="E13" s="226" t="s">
        <v>560</v>
      </c>
    </row>
    <row r="14" spans="1:5" x14ac:dyDescent="0.25">
      <c r="C14" t="s">
        <v>561</v>
      </c>
      <c r="D14" t="s">
        <v>562</v>
      </c>
    </row>
    <row r="15" spans="1:5" x14ac:dyDescent="0.25">
      <c r="A15" t="s">
        <v>563</v>
      </c>
      <c r="B15" s="228">
        <v>26289376</v>
      </c>
      <c r="C15" s="224"/>
      <c r="D15" s="228">
        <f>B32-B15</f>
        <v>398849159.71563959</v>
      </c>
    </row>
    <row r="16" spans="1:5" x14ac:dyDescent="0.25">
      <c r="A16" t="s">
        <v>564</v>
      </c>
      <c r="B16" s="228">
        <f>B15+$B$13+$B$7-'Season Planner'!N11</f>
        <v>59730973.918865785</v>
      </c>
      <c r="C16" s="214"/>
    </row>
    <row r="17" spans="1:3" x14ac:dyDescent="0.25">
      <c r="A17" t="s">
        <v>565</v>
      </c>
      <c r="B17" s="228">
        <f>B16+$B$13+$B$7-'Season Planner'!N17</f>
        <v>87420367.447761759</v>
      </c>
      <c r="C17" s="214"/>
    </row>
    <row r="18" spans="1:3" x14ac:dyDescent="0.25">
      <c r="A18" t="s">
        <v>566</v>
      </c>
      <c r="B18" s="228">
        <f>B17+$B$13+$B$7-'Season Planner'!N23</f>
        <v>98170367.447761759</v>
      </c>
      <c r="C18" s="214"/>
    </row>
    <row r="19" spans="1:3" x14ac:dyDescent="0.25">
      <c r="A19" t="s">
        <v>567</v>
      </c>
      <c r="B19" s="228">
        <f>B18+$B$13+$B$7-'Season Planner'!N29</f>
        <v>124786246.52500558</v>
      </c>
      <c r="C19" s="214"/>
    </row>
    <row r="20" spans="1:3" x14ac:dyDescent="0.25">
      <c r="A20" t="s">
        <v>568</v>
      </c>
      <c r="B20" s="228">
        <f>B19+$B$13+$B$7-'Season Planner'!N35</f>
        <v>152894796.05194545</v>
      </c>
      <c r="C20" s="214"/>
    </row>
    <row r="21" spans="1:3" x14ac:dyDescent="0.25">
      <c r="A21" t="s">
        <v>569</v>
      </c>
      <c r="B21" s="228">
        <f>B20+$B$13+$B$7-'Season Planner'!N41</f>
        <v>186753149.05022785</v>
      </c>
      <c r="C21" s="214"/>
    </row>
    <row r="22" spans="1:3" x14ac:dyDescent="0.25">
      <c r="A22" t="s">
        <v>570</v>
      </c>
      <c r="B22" s="228">
        <f>B21+$B$13+$B$7-'Season Planner'!N47</f>
        <v>202979073.52196205</v>
      </c>
      <c r="C22" s="214"/>
    </row>
    <row r="23" spans="1:3" x14ac:dyDescent="0.25">
      <c r="A23" t="s">
        <v>571</v>
      </c>
      <c r="B23" s="228">
        <f>B22+$B$13+$B$7-'Season Planner'!N53</f>
        <v>223248498.94006956</v>
      </c>
      <c r="C23" s="214"/>
    </row>
    <row r="24" spans="1:3" x14ac:dyDescent="0.25">
      <c r="A24" t="s">
        <v>572</v>
      </c>
      <c r="B24" s="228">
        <f>B23+$B$13+$B$7-'Season Planner'!N59</f>
        <v>250937892.46896553</v>
      </c>
      <c r="C24" s="214"/>
    </row>
    <row r="25" spans="1:3" x14ac:dyDescent="0.25">
      <c r="A25" t="s">
        <v>573</v>
      </c>
      <c r="B25" s="228">
        <f>B24+$B$13+$B$7-'Season Planner'!N65</f>
        <v>269127658.43551624</v>
      </c>
      <c r="C25" s="214"/>
    </row>
    <row r="26" spans="1:3" x14ac:dyDescent="0.25">
      <c r="A26" t="s">
        <v>574</v>
      </c>
      <c r="B26" s="228">
        <f>B25+$B$13+$B$7-'Season Planner'!N71</f>
        <v>283320605.30863488</v>
      </c>
      <c r="C26" s="214"/>
    </row>
    <row r="27" spans="1:3" x14ac:dyDescent="0.25">
      <c r="A27" t="s">
        <v>575</v>
      </c>
      <c r="B27" s="228">
        <f>B26+$B$13+$B$7-'Season Planner'!N77</f>
        <v>313240221.4082157</v>
      </c>
      <c r="C27" s="214"/>
    </row>
    <row r="28" spans="1:3" x14ac:dyDescent="0.25">
      <c r="A28" t="s">
        <v>576</v>
      </c>
      <c r="B28" s="228">
        <f>B27+$B$13+$B$7-'Season Planner'!N83</f>
        <v>337179790.84610891</v>
      </c>
      <c r="C28" s="214"/>
    </row>
    <row r="29" spans="1:3" x14ac:dyDescent="0.25">
      <c r="A29" t="s">
        <v>577</v>
      </c>
      <c r="B29" s="228">
        <f>B28+$B$13+$B$7-'Season Planner'!N89</f>
        <v>357579981.52758223</v>
      </c>
      <c r="C29" s="214"/>
    </row>
    <row r="30" spans="1:3" x14ac:dyDescent="0.25">
      <c r="A30" t="s">
        <v>578</v>
      </c>
      <c r="B30" s="228">
        <f>B29+$B$13+$B$7-'Season Planner'!N95</f>
        <v>377179716.76863611</v>
      </c>
      <c r="C30" s="214"/>
    </row>
    <row r="31" spans="1:3" x14ac:dyDescent="0.25">
      <c r="A31" t="s">
        <v>579</v>
      </c>
      <c r="B31" s="228">
        <f>B30+$B$13+$B$7-'Season Planner'!N101</f>
        <v>414388535.71563959</v>
      </c>
      <c r="C31" s="214"/>
    </row>
    <row r="32" spans="1:3" x14ac:dyDescent="0.25">
      <c r="A32" t="s">
        <v>580</v>
      </c>
      <c r="B32" s="228">
        <f>B31+$B$13+$B$7</f>
        <v>425138535.71563959</v>
      </c>
      <c r="C32" s="214"/>
    </row>
  </sheetData>
  <sheetProtection selectLockedCells="1"/>
  <customSheetViews>
    <customSheetView guid="{58F65609-3622-42C4-9926-1A56B88F9C36}">
      <selection activeCell="B3" sqref="B3"/>
      <pageMargins left="0.7" right="0.7" top="0.75" bottom="0.75" header="0.3" footer="0.3"/>
    </customSheetView>
  </customSheetViews>
  <mergeCells count="2">
    <mergeCell ref="A1:D1"/>
    <mergeCell ref="A9:D9"/>
  </mergeCells>
  <dataValidations count="1">
    <dataValidation type="list" allowBlank="1" showErrorMessage="1" sqref="B10 IX10 ST10 ACP10 AML10 AWH10 BGD10 BPZ10 BZV10 CJR10 CTN10 DDJ10 DNF10 DXB10 EGX10 EQT10 FAP10 FKL10 FUH10 GED10 GNZ10 GXV10 HHR10 HRN10 IBJ10 ILF10 IVB10 JEX10 JOT10 JYP10 KIL10 KSH10 LCD10 LLZ10 LVV10 MFR10 MPN10 MZJ10 NJF10 NTB10 OCX10 OMT10 OWP10 PGL10 PQH10 QAD10 QJZ10 QTV10 RDR10 RNN10 RXJ10 SHF10 SRB10 TAX10 TKT10 TUP10 UEL10 UOH10 UYD10 VHZ10 VRV10 WBR10 WLN10 WVJ10 B65546 IX65546 ST65546 ACP65546 AML65546 AWH65546 BGD65546 BPZ65546 BZV65546 CJR65546 CTN65546 DDJ65546 DNF65546 DXB65546 EGX65546 EQT65546 FAP65546 FKL65546 FUH65546 GED65546 GNZ65546 GXV65546 HHR65546 HRN65546 IBJ65546 ILF65546 IVB65546 JEX65546 JOT65546 JYP65546 KIL65546 KSH65546 LCD65546 LLZ65546 LVV65546 MFR65546 MPN65546 MZJ65546 NJF65546 NTB65546 OCX65546 OMT65546 OWP65546 PGL65546 PQH65546 QAD65546 QJZ65546 QTV65546 RDR65546 RNN65546 RXJ65546 SHF65546 SRB65546 TAX65546 TKT65546 TUP65546 UEL65546 UOH65546 UYD65546 VHZ65546 VRV65546 WBR65546 WLN65546 WVJ65546 B131082 IX131082 ST131082 ACP131082 AML131082 AWH131082 BGD131082 BPZ131082 BZV131082 CJR131082 CTN131082 DDJ131082 DNF131082 DXB131082 EGX131082 EQT131082 FAP131082 FKL131082 FUH131082 GED131082 GNZ131082 GXV131082 HHR131082 HRN131082 IBJ131082 ILF131082 IVB131082 JEX131082 JOT131082 JYP131082 KIL131082 KSH131082 LCD131082 LLZ131082 LVV131082 MFR131082 MPN131082 MZJ131082 NJF131082 NTB131082 OCX131082 OMT131082 OWP131082 PGL131082 PQH131082 QAD131082 QJZ131082 QTV131082 RDR131082 RNN131082 RXJ131082 SHF131082 SRB131082 TAX131082 TKT131082 TUP131082 UEL131082 UOH131082 UYD131082 VHZ131082 VRV131082 WBR131082 WLN131082 WVJ131082 B196618 IX196618 ST196618 ACP196618 AML196618 AWH196618 BGD196618 BPZ196618 BZV196618 CJR196618 CTN196618 DDJ196618 DNF196618 DXB196618 EGX196618 EQT196618 FAP196618 FKL196618 FUH196618 GED196618 GNZ196618 GXV196618 HHR196618 HRN196618 IBJ196618 ILF196618 IVB196618 JEX196618 JOT196618 JYP196618 KIL196618 KSH196618 LCD196618 LLZ196618 LVV196618 MFR196618 MPN196618 MZJ196618 NJF196618 NTB196618 OCX196618 OMT196618 OWP196618 PGL196618 PQH196618 QAD196618 QJZ196618 QTV196618 RDR196618 RNN196618 RXJ196618 SHF196618 SRB196618 TAX196618 TKT196618 TUP196618 UEL196618 UOH196618 UYD196618 VHZ196618 VRV196618 WBR196618 WLN196618 WVJ196618 B262154 IX262154 ST262154 ACP262154 AML262154 AWH262154 BGD262154 BPZ262154 BZV262154 CJR262154 CTN262154 DDJ262154 DNF262154 DXB262154 EGX262154 EQT262154 FAP262154 FKL262154 FUH262154 GED262154 GNZ262154 GXV262154 HHR262154 HRN262154 IBJ262154 ILF262154 IVB262154 JEX262154 JOT262154 JYP262154 KIL262154 KSH262154 LCD262154 LLZ262154 LVV262154 MFR262154 MPN262154 MZJ262154 NJF262154 NTB262154 OCX262154 OMT262154 OWP262154 PGL262154 PQH262154 QAD262154 QJZ262154 QTV262154 RDR262154 RNN262154 RXJ262154 SHF262154 SRB262154 TAX262154 TKT262154 TUP262154 UEL262154 UOH262154 UYD262154 VHZ262154 VRV262154 WBR262154 WLN262154 WVJ262154 B327690 IX327690 ST327690 ACP327690 AML327690 AWH327690 BGD327690 BPZ327690 BZV327690 CJR327690 CTN327690 DDJ327690 DNF327690 DXB327690 EGX327690 EQT327690 FAP327690 FKL327690 FUH327690 GED327690 GNZ327690 GXV327690 HHR327690 HRN327690 IBJ327690 ILF327690 IVB327690 JEX327690 JOT327690 JYP327690 KIL327690 KSH327690 LCD327690 LLZ327690 LVV327690 MFR327690 MPN327690 MZJ327690 NJF327690 NTB327690 OCX327690 OMT327690 OWP327690 PGL327690 PQH327690 QAD327690 QJZ327690 QTV327690 RDR327690 RNN327690 RXJ327690 SHF327690 SRB327690 TAX327690 TKT327690 TUP327690 UEL327690 UOH327690 UYD327690 VHZ327690 VRV327690 WBR327690 WLN327690 WVJ327690 B393226 IX393226 ST393226 ACP393226 AML393226 AWH393226 BGD393226 BPZ393226 BZV393226 CJR393226 CTN393226 DDJ393226 DNF393226 DXB393226 EGX393226 EQT393226 FAP393226 FKL393226 FUH393226 GED393226 GNZ393226 GXV393226 HHR393226 HRN393226 IBJ393226 ILF393226 IVB393226 JEX393226 JOT393226 JYP393226 KIL393226 KSH393226 LCD393226 LLZ393226 LVV393226 MFR393226 MPN393226 MZJ393226 NJF393226 NTB393226 OCX393226 OMT393226 OWP393226 PGL393226 PQH393226 QAD393226 QJZ393226 QTV393226 RDR393226 RNN393226 RXJ393226 SHF393226 SRB393226 TAX393226 TKT393226 TUP393226 UEL393226 UOH393226 UYD393226 VHZ393226 VRV393226 WBR393226 WLN393226 WVJ393226 B458762 IX458762 ST458762 ACP458762 AML458762 AWH458762 BGD458762 BPZ458762 BZV458762 CJR458762 CTN458762 DDJ458762 DNF458762 DXB458762 EGX458762 EQT458762 FAP458762 FKL458762 FUH458762 GED458762 GNZ458762 GXV458762 HHR458762 HRN458762 IBJ458762 ILF458762 IVB458762 JEX458762 JOT458762 JYP458762 KIL458762 KSH458762 LCD458762 LLZ458762 LVV458762 MFR458762 MPN458762 MZJ458762 NJF458762 NTB458762 OCX458762 OMT458762 OWP458762 PGL458762 PQH458762 QAD458762 QJZ458762 QTV458762 RDR458762 RNN458762 RXJ458762 SHF458762 SRB458762 TAX458762 TKT458762 TUP458762 UEL458762 UOH458762 UYD458762 VHZ458762 VRV458762 WBR458762 WLN458762 WVJ458762 B524298 IX524298 ST524298 ACP524298 AML524298 AWH524298 BGD524298 BPZ524298 BZV524298 CJR524298 CTN524298 DDJ524298 DNF524298 DXB524298 EGX524298 EQT524298 FAP524298 FKL524298 FUH524298 GED524298 GNZ524298 GXV524298 HHR524298 HRN524298 IBJ524298 ILF524298 IVB524298 JEX524298 JOT524298 JYP524298 KIL524298 KSH524298 LCD524298 LLZ524298 LVV524298 MFR524298 MPN524298 MZJ524298 NJF524298 NTB524298 OCX524298 OMT524298 OWP524298 PGL524298 PQH524298 QAD524298 QJZ524298 QTV524298 RDR524298 RNN524298 RXJ524298 SHF524298 SRB524298 TAX524298 TKT524298 TUP524298 UEL524298 UOH524298 UYD524298 VHZ524298 VRV524298 WBR524298 WLN524298 WVJ524298 B589834 IX589834 ST589834 ACP589834 AML589834 AWH589834 BGD589834 BPZ589834 BZV589834 CJR589834 CTN589834 DDJ589834 DNF589834 DXB589834 EGX589834 EQT589834 FAP589834 FKL589834 FUH589834 GED589834 GNZ589834 GXV589834 HHR589834 HRN589834 IBJ589834 ILF589834 IVB589834 JEX589834 JOT589834 JYP589834 KIL589834 KSH589834 LCD589834 LLZ589834 LVV589834 MFR589834 MPN589834 MZJ589834 NJF589834 NTB589834 OCX589834 OMT589834 OWP589834 PGL589834 PQH589834 QAD589834 QJZ589834 QTV589834 RDR589834 RNN589834 RXJ589834 SHF589834 SRB589834 TAX589834 TKT589834 TUP589834 UEL589834 UOH589834 UYD589834 VHZ589834 VRV589834 WBR589834 WLN589834 WVJ589834 B655370 IX655370 ST655370 ACP655370 AML655370 AWH655370 BGD655370 BPZ655370 BZV655370 CJR655370 CTN655370 DDJ655370 DNF655370 DXB655370 EGX655370 EQT655370 FAP655370 FKL655370 FUH655370 GED655370 GNZ655370 GXV655370 HHR655370 HRN655370 IBJ655370 ILF655370 IVB655370 JEX655370 JOT655370 JYP655370 KIL655370 KSH655370 LCD655370 LLZ655370 LVV655370 MFR655370 MPN655370 MZJ655370 NJF655370 NTB655370 OCX655370 OMT655370 OWP655370 PGL655370 PQH655370 QAD655370 QJZ655370 QTV655370 RDR655370 RNN655370 RXJ655370 SHF655370 SRB655370 TAX655370 TKT655370 TUP655370 UEL655370 UOH655370 UYD655370 VHZ655370 VRV655370 WBR655370 WLN655370 WVJ655370 B720906 IX720906 ST720906 ACP720906 AML720906 AWH720906 BGD720906 BPZ720906 BZV720906 CJR720906 CTN720906 DDJ720906 DNF720906 DXB720906 EGX720906 EQT720906 FAP720906 FKL720906 FUH720906 GED720906 GNZ720906 GXV720906 HHR720906 HRN720906 IBJ720906 ILF720906 IVB720906 JEX720906 JOT720906 JYP720906 KIL720906 KSH720906 LCD720906 LLZ720906 LVV720906 MFR720906 MPN720906 MZJ720906 NJF720906 NTB720906 OCX720906 OMT720906 OWP720906 PGL720906 PQH720906 QAD720906 QJZ720906 QTV720906 RDR720906 RNN720906 RXJ720906 SHF720906 SRB720906 TAX720906 TKT720906 TUP720906 UEL720906 UOH720906 UYD720906 VHZ720906 VRV720906 WBR720906 WLN720906 WVJ720906 B786442 IX786442 ST786442 ACP786442 AML786442 AWH786442 BGD786442 BPZ786442 BZV786442 CJR786442 CTN786442 DDJ786442 DNF786442 DXB786442 EGX786442 EQT786442 FAP786442 FKL786442 FUH786442 GED786442 GNZ786442 GXV786442 HHR786442 HRN786442 IBJ786442 ILF786442 IVB786442 JEX786442 JOT786442 JYP786442 KIL786442 KSH786442 LCD786442 LLZ786442 LVV786442 MFR786442 MPN786442 MZJ786442 NJF786442 NTB786442 OCX786442 OMT786442 OWP786442 PGL786442 PQH786442 QAD786442 QJZ786442 QTV786442 RDR786442 RNN786442 RXJ786442 SHF786442 SRB786442 TAX786442 TKT786442 TUP786442 UEL786442 UOH786442 UYD786442 VHZ786442 VRV786442 WBR786442 WLN786442 WVJ786442 B851978 IX851978 ST851978 ACP851978 AML851978 AWH851978 BGD851978 BPZ851978 BZV851978 CJR851978 CTN851978 DDJ851978 DNF851978 DXB851978 EGX851978 EQT851978 FAP851978 FKL851978 FUH851978 GED851978 GNZ851978 GXV851978 HHR851978 HRN851978 IBJ851978 ILF851978 IVB851978 JEX851978 JOT851978 JYP851978 KIL851978 KSH851978 LCD851978 LLZ851978 LVV851978 MFR851978 MPN851978 MZJ851978 NJF851978 NTB851978 OCX851978 OMT851978 OWP851978 PGL851978 PQH851978 QAD851978 QJZ851978 QTV851978 RDR851978 RNN851978 RXJ851978 SHF851978 SRB851978 TAX851978 TKT851978 TUP851978 UEL851978 UOH851978 UYD851978 VHZ851978 VRV851978 WBR851978 WLN851978 WVJ851978 B917514 IX917514 ST917514 ACP917514 AML917514 AWH917514 BGD917514 BPZ917514 BZV917514 CJR917514 CTN917514 DDJ917514 DNF917514 DXB917514 EGX917514 EQT917514 FAP917514 FKL917514 FUH917514 GED917514 GNZ917514 GXV917514 HHR917514 HRN917514 IBJ917514 ILF917514 IVB917514 JEX917514 JOT917514 JYP917514 KIL917514 KSH917514 LCD917514 LLZ917514 LVV917514 MFR917514 MPN917514 MZJ917514 NJF917514 NTB917514 OCX917514 OMT917514 OWP917514 PGL917514 PQH917514 QAD917514 QJZ917514 QTV917514 RDR917514 RNN917514 RXJ917514 SHF917514 SRB917514 TAX917514 TKT917514 TUP917514 UEL917514 UOH917514 UYD917514 VHZ917514 VRV917514 WBR917514 WLN917514 WVJ917514 B983050 IX983050 ST983050 ACP983050 AML983050 AWH983050 BGD983050 BPZ983050 BZV983050 CJR983050 CTN983050 DDJ983050 DNF983050 DXB983050 EGX983050 EQT983050 FAP983050 FKL983050 FUH983050 GED983050 GNZ983050 GXV983050 HHR983050 HRN983050 IBJ983050 ILF983050 IVB983050 JEX983050 JOT983050 JYP983050 KIL983050 KSH983050 LCD983050 LLZ983050 LVV983050 MFR983050 MPN983050 MZJ983050 NJF983050 NTB983050 OCX983050 OMT983050 OWP983050 PGL983050 PQH983050 QAD983050 QJZ983050 QTV983050 RDR983050 RNN983050 RXJ983050 SHF983050 SRB983050 TAX983050 TKT983050 TUP983050 UEL983050 UOH983050 UYD983050 VHZ983050 VRV983050 WBR983050 WLN983050 WVJ983050" xr:uid="{00000000-0002-0000-0C00-000000000000}">
      <formula1>$E$9:$E$13</formula1>
      <formula2>0</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Q66"/>
  <sheetViews>
    <sheetView topLeftCell="A3" workbookViewId="0">
      <selection activeCell="B34" sqref="B34"/>
    </sheetView>
  </sheetViews>
  <sheetFormatPr defaultRowHeight="12.75" x14ac:dyDescent="0.2"/>
  <cols>
    <col min="1" max="1" width="15.42578125" style="335" customWidth="1"/>
    <col min="2" max="2" width="13.140625" style="376" customWidth="1"/>
    <col min="3" max="3" width="4.7109375" style="339" customWidth="1"/>
    <col min="4" max="4" width="7.28515625" style="335" customWidth="1"/>
    <col min="5" max="5" width="7.28515625" style="377" customWidth="1"/>
    <col min="6" max="13" width="4.7109375" style="339" customWidth="1"/>
    <col min="14" max="14" width="3" style="339" customWidth="1"/>
    <col min="15" max="15" width="2.140625" style="339" customWidth="1"/>
    <col min="16" max="16" width="11.85546875" style="339" customWidth="1"/>
    <col min="17" max="22" width="10.5703125" style="339" customWidth="1"/>
    <col min="23" max="25" width="11.42578125" style="339" customWidth="1"/>
    <col min="26" max="26" width="1.5703125" style="339" customWidth="1"/>
    <col min="27" max="27" width="11" style="339" bestFit="1" customWidth="1"/>
    <col min="28" max="28" width="11" style="339" customWidth="1"/>
    <col min="29" max="29" width="10.140625" style="339" bestFit="1" customWidth="1"/>
    <col min="30" max="30" width="11.140625" style="339" bestFit="1" customWidth="1"/>
    <col min="31" max="31" width="11" style="339" bestFit="1" customWidth="1"/>
    <col min="32" max="32" width="13.42578125" style="339" bestFit="1" customWidth="1"/>
    <col min="33" max="33" width="9.140625" style="339" bestFit="1" customWidth="1"/>
    <col min="34" max="34" width="12.140625" style="339" bestFit="1" customWidth="1"/>
    <col min="35" max="35" width="12.7109375" style="339" bestFit="1" customWidth="1"/>
    <col min="36" max="36" width="13.42578125" style="339" bestFit="1" customWidth="1"/>
    <col min="37" max="37" width="16.85546875" style="339" bestFit="1" customWidth="1"/>
    <col min="38" max="38" width="12.140625" style="339" bestFit="1" customWidth="1"/>
    <col min="39" max="39" width="18.5703125" style="339" bestFit="1" customWidth="1"/>
    <col min="40" max="40" width="12.7109375" style="339" bestFit="1" customWidth="1"/>
    <col min="41" max="41" width="13.42578125" style="339" bestFit="1" customWidth="1"/>
    <col min="42" max="42" width="21" style="339" bestFit="1" customWidth="1"/>
    <col min="43" max="45" width="12.7109375" style="339" bestFit="1" customWidth="1"/>
    <col min="46" max="16384" width="9.140625" style="339"/>
  </cols>
  <sheetData>
    <row r="1" spans="1:43" ht="15.75" customHeight="1" x14ac:dyDescent="0.2">
      <c r="A1" s="332" t="s">
        <v>300</v>
      </c>
      <c r="B1" s="333" t="s">
        <v>167</v>
      </c>
      <c r="C1" s="332" t="s">
        <v>218</v>
      </c>
      <c r="D1" s="332" t="s">
        <v>347</v>
      </c>
      <c r="E1" s="332" t="s">
        <v>346</v>
      </c>
      <c r="F1" s="334">
        <v>1</v>
      </c>
      <c r="G1" s="334">
        <v>2</v>
      </c>
      <c r="H1" s="334">
        <v>3</v>
      </c>
      <c r="I1" s="334">
        <v>4</v>
      </c>
      <c r="J1" s="334">
        <v>5</v>
      </c>
      <c r="K1" s="334">
        <v>6</v>
      </c>
      <c r="L1" s="334">
        <v>7</v>
      </c>
      <c r="M1" s="334">
        <v>8</v>
      </c>
      <c r="N1" s="334" t="s">
        <v>345</v>
      </c>
      <c r="O1" s="335"/>
    </row>
    <row r="2" spans="1:43" ht="15.75" customHeight="1" thickBot="1" x14ac:dyDescent="0.3">
      <c r="A2" s="340" t="s">
        <v>48</v>
      </c>
      <c r="B2" s="111">
        <v>7.3750000000000013E-3</v>
      </c>
      <c r="C2" s="341">
        <v>71</v>
      </c>
      <c r="D2" s="342">
        <v>4.3250000000000002</v>
      </c>
      <c r="E2" s="340">
        <v>21.5</v>
      </c>
      <c r="F2" s="342">
        <v>0.84</v>
      </c>
      <c r="G2" s="343">
        <v>0.82</v>
      </c>
      <c r="H2" s="344">
        <v>0.8</v>
      </c>
      <c r="I2" s="342">
        <v>0.78</v>
      </c>
      <c r="J2" s="343">
        <v>0.76</v>
      </c>
      <c r="K2" s="342">
        <v>0.74</v>
      </c>
      <c r="L2" s="342">
        <v>0.72</v>
      </c>
      <c r="M2" s="342">
        <v>0.7</v>
      </c>
      <c r="N2" s="342"/>
      <c r="O2"/>
      <c r="AC2" s="822"/>
      <c r="AD2" s="822"/>
      <c r="AH2" s="335"/>
      <c r="AL2" s="335"/>
      <c r="AM2" s="335"/>
    </row>
    <row r="3" spans="1:43" ht="15.75" customHeight="1" thickBot="1" x14ac:dyDescent="0.3">
      <c r="A3" s="340" t="s">
        <v>49</v>
      </c>
      <c r="B3" s="346">
        <v>8.0666669999999996E-3</v>
      </c>
      <c r="C3" s="341">
        <v>79</v>
      </c>
      <c r="D3" s="342">
        <v>3.78</v>
      </c>
      <c r="E3" s="340">
        <v>19.5</v>
      </c>
      <c r="F3" s="342">
        <v>0.76</v>
      </c>
      <c r="G3" s="342">
        <v>0.74</v>
      </c>
      <c r="H3" s="343">
        <v>0.72</v>
      </c>
      <c r="I3" s="344">
        <v>0.7</v>
      </c>
      <c r="J3" s="344">
        <v>0.68</v>
      </c>
      <c r="K3" s="343">
        <v>0.66</v>
      </c>
      <c r="L3" s="342">
        <v>0.64</v>
      </c>
      <c r="M3" s="342">
        <v>0.62</v>
      </c>
      <c r="N3" s="342"/>
      <c r="O3"/>
      <c r="P3" s="336" t="s">
        <v>344</v>
      </c>
      <c r="Q3" s="337" t="s">
        <v>343</v>
      </c>
      <c r="R3" s="337" t="s">
        <v>342</v>
      </c>
      <c r="S3" s="337" t="s">
        <v>341</v>
      </c>
      <c r="T3" s="337" t="s">
        <v>340</v>
      </c>
      <c r="U3" s="337" t="s">
        <v>339</v>
      </c>
      <c r="V3" s="337" t="s">
        <v>338</v>
      </c>
      <c r="W3" s="337" t="s">
        <v>337</v>
      </c>
      <c r="X3" s="337" t="s">
        <v>336</v>
      </c>
      <c r="Y3" s="338" t="s">
        <v>335</v>
      </c>
    </row>
    <row r="4" spans="1:43" ht="15.75" customHeight="1" x14ac:dyDescent="0.25">
      <c r="A4" s="340" t="s">
        <v>257</v>
      </c>
      <c r="B4" s="111">
        <v>6.2500000000000003E-3</v>
      </c>
      <c r="C4" s="341">
        <v>80</v>
      </c>
      <c r="D4" s="342">
        <v>3.04</v>
      </c>
      <c r="E4" s="340">
        <v>11.5</v>
      </c>
      <c r="F4" s="342">
        <v>0.8</v>
      </c>
      <c r="G4" s="348">
        <v>0.78</v>
      </c>
      <c r="H4" s="343">
        <v>0.76</v>
      </c>
      <c r="I4" s="342">
        <v>0.74</v>
      </c>
      <c r="J4" s="342">
        <v>0.71</v>
      </c>
      <c r="K4" s="349">
        <v>0.69</v>
      </c>
      <c r="L4" s="342">
        <v>0.67</v>
      </c>
      <c r="M4" s="342">
        <v>0.65</v>
      </c>
      <c r="N4" s="342"/>
      <c r="O4"/>
      <c r="P4" s="345" t="s">
        <v>299</v>
      </c>
      <c r="Q4" s="120">
        <v>1292539</v>
      </c>
      <c r="R4" s="119">
        <v>1600809</v>
      </c>
      <c r="S4" s="119">
        <v>1982602</v>
      </c>
      <c r="T4" s="119">
        <v>2455453</v>
      </c>
      <c r="U4" s="119">
        <v>3041079</v>
      </c>
      <c r="V4" s="119">
        <v>3766376</v>
      </c>
      <c r="W4" s="119">
        <v>4664657</v>
      </c>
      <c r="X4" s="119">
        <v>5777178</v>
      </c>
      <c r="Y4" s="118">
        <v>7155035</v>
      </c>
      <c r="AA4" s="676"/>
      <c r="AB4" s="676"/>
      <c r="AE4" s="676"/>
      <c r="AI4" s="676"/>
      <c r="AK4" s="677"/>
      <c r="AN4" s="676"/>
      <c r="AP4" s="678"/>
      <c r="AQ4" s="678"/>
    </row>
    <row r="5" spans="1:43" ht="15.75" customHeight="1" x14ac:dyDescent="0.25">
      <c r="A5" s="340" t="s">
        <v>50</v>
      </c>
      <c r="B5" s="111">
        <v>7.4772727272727204E-3</v>
      </c>
      <c r="C5" s="341">
        <v>70</v>
      </c>
      <c r="D5" s="342">
        <v>4.0259999999999998</v>
      </c>
      <c r="E5" s="340">
        <v>13.5</v>
      </c>
      <c r="F5" s="342">
        <v>0.83</v>
      </c>
      <c r="G5" s="343">
        <v>0.82</v>
      </c>
      <c r="H5" s="344">
        <v>0.8</v>
      </c>
      <c r="I5" s="343">
        <v>0.78</v>
      </c>
      <c r="J5" s="342">
        <v>0.76</v>
      </c>
      <c r="K5" s="342">
        <v>0.74</v>
      </c>
      <c r="L5" s="342">
        <v>0.72</v>
      </c>
      <c r="M5" s="342">
        <v>0.7</v>
      </c>
      <c r="N5" s="342" t="s">
        <v>327</v>
      </c>
      <c r="O5"/>
      <c r="P5" s="347" t="s">
        <v>2</v>
      </c>
      <c r="Q5" s="117">
        <v>3311737</v>
      </c>
      <c r="R5" s="116">
        <v>4101586</v>
      </c>
      <c r="S5" s="116">
        <v>5079814</v>
      </c>
      <c r="T5" s="116">
        <v>6291350</v>
      </c>
      <c r="U5" s="116">
        <v>7791837</v>
      </c>
      <c r="V5" s="116">
        <v>9650191</v>
      </c>
      <c r="W5" s="116">
        <v>11951762</v>
      </c>
      <c r="X5" s="116">
        <v>14802257</v>
      </c>
      <c r="Y5" s="115">
        <v>18332595</v>
      </c>
      <c r="AA5" s="676"/>
      <c r="AB5" s="676"/>
      <c r="AE5" s="676"/>
      <c r="AI5" s="676"/>
      <c r="AK5" s="678"/>
      <c r="AN5" s="676"/>
      <c r="AP5" s="678"/>
      <c r="AQ5" s="678"/>
    </row>
    <row r="6" spans="1:43" ht="15.75" customHeight="1" x14ac:dyDescent="0.25">
      <c r="A6" s="340" t="s">
        <v>785</v>
      </c>
      <c r="B6" s="346">
        <v>2.0615379999999999E-2</v>
      </c>
      <c r="C6" s="341" t="s">
        <v>786</v>
      </c>
      <c r="D6" s="342">
        <v>5.516</v>
      </c>
      <c r="E6" s="340">
        <v>17.5</v>
      </c>
      <c r="F6" s="342">
        <v>0.79</v>
      </c>
      <c r="G6" s="342">
        <v>0.77</v>
      </c>
      <c r="H6" s="597">
        <v>0.75</v>
      </c>
      <c r="I6" s="598">
        <v>0.73</v>
      </c>
      <c r="J6" s="342">
        <v>0.71</v>
      </c>
      <c r="K6" s="353">
        <v>0.69</v>
      </c>
      <c r="L6" s="342">
        <v>0.67</v>
      </c>
      <c r="M6" s="342">
        <v>0.65</v>
      </c>
      <c r="N6" s="342"/>
      <c r="O6"/>
      <c r="P6" s="347" t="s">
        <v>0</v>
      </c>
      <c r="Q6" s="117">
        <v>1551354</v>
      </c>
      <c r="R6" s="116">
        <v>1921352</v>
      </c>
      <c r="S6" s="116">
        <v>2379595</v>
      </c>
      <c r="T6" s="116">
        <v>2947128</v>
      </c>
      <c r="U6" s="116">
        <v>3650018</v>
      </c>
      <c r="V6" s="116">
        <v>4520547</v>
      </c>
      <c r="W6" s="116">
        <v>5598697</v>
      </c>
      <c r="X6" s="116">
        <v>6933986</v>
      </c>
      <c r="Y6" s="115">
        <v>8587742</v>
      </c>
      <c r="AA6" s="676"/>
      <c r="AB6" s="676"/>
      <c r="AE6" s="676"/>
      <c r="AI6" s="676"/>
      <c r="AK6" s="678"/>
      <c r="AN6" s="676"/>
      <c r="AP6" s="678"/>
      <c r="AQ6" s="678"/>
    </row>
    <row r="7" spans="1:43" ht="15.75" customHeight="1" x14ac:dyDescent="0.25">
      <c r="A7" s="340" t="s">
        <v>871</v>
      </c>
      <c r="B7" s="346">
        <v>2.6153845999999999E-3</v>
      </c>
      <c r="C7" s="341" t="s">
        <v>846</v>
      </c>
      <c r="D7" s="342">
        <v>4.88</v>
      </c>
      <c r="E7" s="340">
        <v>13</v>
      </c>
      <c r="F7" s="342">
        <v>0.85</v>
      </c>
      <c r="G7" s="342">
        <v>0.83</v>
      </c>
      <c r="H7" s="597">
        <v>0.81</v>
      </c>
      <c r="I7" s="598">
        <v>0.79</v>
      </c>
      <c r="J7" s="342">
        <v>0.77</v>
      </c>
      <c r="K7" s="353">
        <v>0.75</v>
      </c>
      <c r="L7" s="342">
        <v>0.73</v>
      </c>
      <c r="M7" s="342">
        <v>0.71</v>
      </c>
      <c r="N7" s="342"/>
      <c r="O7"/>
      <c r="P7" s="347" t="s">
        <v>1</v>
      </c>
      <c r="Q7" s="117">
        <v>1504126</v>
      </c>
      <c r="R7" s="116">
        <v>1862860</v>
      </c>
      <c r="S7" s="116">
        <v>2307152</v>
      </c>
      <c r="T7" s="116">
        <v>2857408</v>
      </c>
      <c r="U7" s="116">
        <v>3538900</v>
      </c>
      <c r="V7" s="116">
        <v>4382928</v>
      </c>
      <c r="W7" s="116">
        <v>5428256</v>
      </c>
      <c r="X7" s="116">
        <v>6722895</v>
      </c>
      <c r="Y7" s="115">
        <v>8326305</v>
      </c>
      <c r="AA7" s="676"/>
      <c r="AB7" s="676"/>
      <c r="AE7" s="676"/>
      <c r="AI7" s="676"/>
      <c r="AK7" s="678"/>
      <c r="AN7" s="676"/>
      <c r="AP7" s="678"/>
      <c r="AQ7" s="678"/>
    </row>
    <row r="8" spans="1:43" ht="15.75" customHeight="1" x14ac:dyDescent="0.25">
      <c r="A8" s="340" t="s">
        <v>841</v>
      </c>
      <c r="B8" s="346">
        <v>2.7275859999999999E-2</v>
      </c>
      <c r="C8" s="341" t="s">
        <v>842</v>
      </c>
      <c r="D8" s="342">
        <v>6.0060000000000002</v>
      </c>
      <c r="E8" s="340">
        <v>17</v>
      </c>
      <c r="F8" s="342">
        <v>0.87</v>
      </c>
      <c r="G8" s="342">
        <v>0.85</v>
      </c>
      <c r="H8" s="597">
        <v>0.83</v>
      </c>
      <c r="I8" s="598">
        <v>0.81</v>
      </c>
      <c r="J8" s="342">
        <v>0.79</v>
      </c>
      <c r="K8" s="353">
        <v>0.77</v>
      </c>
      <c r="L8" s="342">
        <v>0.75</v>
      </c>
      <c r="M8" s="342">
        <v>0.73</v>
      </c>
      <c r="N8" s="342"/>
      <c r="O8"/>
      <c r="P8" s="347" t="s">
        <v>298</v>
      </c>
      <c r="Q8" s="117">
        <v>510128</v>
      </c>
      <c r="R8" s="116">
        <v>631793</v>
      </c>
      <c r="S8" s="116">
        <v>782476</v>
      </c>
      <c r="T8" s="116">
        <v>969096</v>
      </c>
      <c r="U8" s="116">
        <v>1200226</v>
      </c>
      <c r="V8" s="116">
        <v>1486480</v>
      </c>
      <c r="W8" s="116">
        <v>1841005</v>
      </c>
      <c r="X8" s="116">
        <v>2280085</v>
      </c>
      <c r="Y8" s="115">
        <v>2823885</v>
      </c>
      <c r="AA8" s="676"/>
      <c r="AB8" s="676"/>
      <c r="AE8" s="676"/>
      <c r="AI8" s="676"/>
      <c r="AK8" s="678"/>
      <c r="AN8" s="676"/>
      <c r="AP8" s="678"/>
      <c r="AQ8" s="678"/>
    </row>
    <row r="9" spans="1:43" ht="15.75" customHeight="1" x14ac:dyDescent="0.25">
      <c r="A9" s="340" t="s">
        <v>51</v>
      </c>
      <c r="B9" s="346">
        <v>1.2869999999999999E-2</v>
      </c>
      <c r="C9" s="341">
        <v>65</v>
      </c>
      <c r="D9" s="342">
        <v>4.7279999999999998</v>
      </c>
      <c r="E9" s="340">
        <v>21</v>
      </c>
      <c r="F9" s="342">
        <v>0.82</v>
      </c>
      <c r="G9" s="342">
        <v>0.8</v>
      </c>
      <c r="H9" s="344">
        <v>0.78</v>
      </c>
      <c r="I9" s="343">
        <v>0.76</v>
      </c>
      <c r="J9" s="342">
        <v>0.74</v>
      </c>
      <c r="K9" s="350">
        <v>0.72</v>
      </c>
      <c r="L9" s="342">
        <v>0.7</v>
      </c>
      <c r="M9" s="342">
        <v>0.68</v>
      </c>
      <c r="N9" s="342" t="s">
        <v>327</v>
      </c>
      <c r="O9"/>
      <c r="P9" s="347" t="s">
        <v>297</v>
      </c>
      <c r="Q9" s="117">
        <v>459831</v>
      </c>
      <c r="R9" s="116">
        <v>569501</v>
      </c>
      <c r="S9" s="116">
        <v>705327</v>
      </c>
      <c r="T9" s="116">
        <v>873547</v>
      </c>
      <c r="U9" s="116">
        <v>1081888</v>
      </c>
      <c r="V9" s="116">
        <v>1339918</v>
      </c>
      <c r="W9" s="116">
        <v>1659488</v>
      </c>
      <c r="X9" s="116">
        <v>2055276</v>
      </c>
      <c r="Y9" s="115">
        <v>2545459</v>
      </c>
      <c r="AA9" s="676"/>
      <c r="AB9" s="676"/>
      <c r="AE9" s="676"/>
      <c r="AI9" s="676"/>
      <c r="AK9" s="678"/>
      <c r="AN9" s="676"/>
      <c r="AP9" s="678"/>
      <c r="AQ9" s="678"/>
    </row>
    <row r="10" spans="1:43" ht="15.75" customHeight="1" x14ac:dyDescent="0.25">
      <c r="A10" s="340" t="s">
        <v>52</v>
      </c>
      <c r="B10" s="346">
        <v>7.8125E-3</v>
      </c>
      <c r="C10" s="341">
        <v>75</v>
      </c>
      <c r="D10" s="342">
        <v>4.2069999999999999</v>
      </c>
      <c r="E10" s="340">
        <v>25.5</v>
      </c>
      <c r="F10" s="342">
        <v>0.78</v>
      </c>
      <c r="G10" s="342">
        <v>0.76</v>
      </c>
      <c r="H10" s="343">
        <v>0.74</v>
      </c>
      <c r="I10" s="344">
        <v>0.72</v>
      </c>
      <c r="J10" s="342">
        <v>0.7</v>
      </c>
      <c r="K10" s="342">
        <v>0.68</v>
      </c>
      <c r="L10" s="342">
        <v>0.66</v>
      </c>
      <c r="M10" s="342">
        <v>0.64</v>
      </c>
      <c r="N10" s="342" t="s">
        <v>327</v>
      </c>
      <c r="O10"/>
      <c r="P10" s="347" t="s">
        <v>296</v>
      </c>
      <c r="Q10" s="117">
        <v>454545</v>
      </c>
      <c r="R10" s="116">
        <v>562954</v>
      </c>
      <c r="S10" s="116">
        <v>697218</v>
      </c>
      <c r="T10" s="116">
        <v>863505</v>
      </c>
      <c r="U10" s="116">
        <v>1069451</v>
      </c>
      <c r="V10" s="116">
        <v>1324515</v>
      </c>
      <c r="W10" s="116">
        <v>1640412</v>
      </c>
      <c r="X10" s="116">
        <v>2031650</v>
      </c>
      <c r="Y10" s="115">
        <v>2516199</v>
      </c>
      <c r="AA10" s="676"/>
      <c r="AB10" s="676"/>
      <c r="AE10" s="676"/>
      <c r="AI10" s="676"/>
      <c r="AK10" s="678"/>
      <c r="AN10" s="676"/>
      <c r="AP10" s="678"/>
      <c r="AQ10" s="678"/>
    </row>
    <row r="11" spans="1:43" ht="15.75" customHeight="1" x14ac:dyDescent="0.25">
      <c r="A11" s="340" t="s">
        <v>53</v>
      </c>
      <c r="B11" s="346">
        <v>1.2E-2</v>
      </c>
      <c r="C11" s="341">
        <v>55</v>
      </c>
      <c r="D11" s="342">
        <v>5.4749999999999996</v>
      </c>
      <c r="E11" s="340">
        <v>13.5</v>
      </c>
      <c r="F11" s="351">
        <v>0.84</v>
      </c>
      <c r="G11" s="352">
        <v>0.83</v>
      </c>
      <c r="H11" s="342">
        <v>0.81</v>
      </c>
      <c r="I11" s="350">
        <v>0.79</v>
      </c>
      <c r="J11" s="342">
        <v>0.77</v>
      </c>
      <c r="K11" s="343">
        <v>0.75</v>
      </c>
      <c r="L11" s="350">
        <v>0.73</v>
      </c>
      <c r="M11" s="353">
        <v>0.71</v>
      </c>
      <c r="N11" s="353" t="s">
        <v>327</v>
      </c>
      <c r="O11"/>
      <c r="P11" s="347" t="s">
        <v>295</v>
      </c>
      <c r="Q11" s="117">
        <v>3098104</v>
      </c>
      <c r="R11" s="116">
        <v>3837002</v>
      </c>
      <c r="S11" s="116">
        <v>4752127</v>
      </c>
      <c r="T11" s="116">
        <v>5885509</v>
      </c>
      <c r="U11" s="116">
        <v>7289203</v>
      </c>
      <c r="V11" s="116">
        <v>9027678</v>
      </c>
      <c r="W11" s="116">
        <v>11180779</v>
      </c>
      <c r="X11" s="116">
        <v>13847395</v>
      </c>
      <c r="Y11" s="115">
        <v>17149999</v>
      </c>
      <c r="AA11" s="676"/>
      <c r="AB11" s="676"/>
      <c r="AE11" s="676"/>
      <c r="AI11" s="676"/>
      <c r="AK11" s="678"/>
      <c r="AN11" s="676"/>
      <c r="AP11" s="678"/>
      <c r="AQ11" s="678"/>
    </row>
    <row r="12" spans="1:43" ht="15" x14ac:dyDescent="0.25">
      <c r="A12" s="340" t="s">
        <v>829</v>
      </c>
      <c r="B12" s="346">
        <v>1.4E-2</v>
      </c>
      <c r="C12" s="341" t="s">
        <v>833</v>
      </c>
      <c r="D12" s="342">
        <v>7.2809999999999997</v>
      </c>
      <c r="E12" s="340">
        <v>17</v>
      </c>
      <c r="F12" s="351">
        <v>0.81</v>
      </c>
      <c r="G12" s="352">
        <v>0.79</v>
      </c>
      <c r="H12" s="342">
        <v>0.77</v>
      </c>
      <c r="I12" s="350">
        <v>0.75</v>
      </c>
      <c r="J12" s="342">
        <v>0.73</v>
      </c>
      <c r="K12" s="343">
        <v>0.71</v>
      </c>
      <c r="L12" s="350">
        <v>0.69</v>
      </c>
      <c r="M12" s="353">
        <v>0.67</v>
      </c>
      <c r="N12" s="353"/>
      <c r="O12"/>
      <c r="P12" s="347" t="s">
        <v>3</v>
      </c>
      <c r="Q12" s="117">
        <v>697674</v>
      </c>
      <c r="R12" s="116">
        <v>864069</v>
      </c>
      <c r="S12" s="116">
        <v>1070150</v>
      </c>
      <c r="T12" s="116">
        <v>1325381</v>
      </c>
      <c r="U12" s="116">
        <v>1641484</v>
      </c>
      <c r="V12" s="116">
        <v>2032978</v>
      </c>
      <c r="W12" s="116">
        <v>2517843</v>
      </c>
      <c r="X12" s="116">
        <v>3118349</v>
      </c>
      <c r="Y12" s="115">
        <v>3862075</v>
      </c>
      <c r="AA12" s="676"/>
      <c r="AB12" s="676"/>
      <c r="AE12" s="676"/>
      <c r="AI12" s="676"/>
      <c r="AK12" s="678"/>
      <c r="AN12" s="676"/>
      <c r="AP12" s="678"/>
      <c r="AQ12" s="678"/>
    </row>
    <row r="13" spans="1:43" ht="15" x14ac:dyDescent="0.25">
      <c r="A13" s="340" t="s">
        <v>159</v>
      </c>
      <c r="B13" s="346">
        <v>1.9478261E-2</v>
      </c>
      <c r="C13" s="341">
        <v>57</v>
      </c>
      <c r="D13" s="342">
        <v>5.4039999999999999</v>
      </c>
      <c r="E13" s="340">
        <v>14</v>
      </c>
      <c r="F13" s="342">
        <v>0.79</v>
      </c>
      <c r="G13" s="343">
        <v>0.77</v>
      </c>
      <c r="H13" s="350">
        <v>0.75</v>
      </c>
      <c r="I13" s="342">
        <v>0.73</v>
      </c>
      <c r="J13" s="342">
        <v>0.71</v>
      </c>
      <c r="K13" s="344">
        <v>0.68</v>
      </c>
      <c r="L13" s="342">
        <v>0.66</v>
      </c>
      <c r="M13" s="342">
        <v>0.64</v>
      </c>
      <c r="N13" s="342"/>
      <c r="O13"/>
      <c r="P13" s="347" t="s">
        <v>5</v>
      </c>
      <c r="Q13" s="117">
        <v>1181545</v>
      </c>
      <c r="R13" s="116">
        <v>1463344</v>
      </c>
      <c r="S13" s="116">
        <v>1812351</v>
      </c>
      <c r="T13" s="116">
        <v>2244597</v>
      </c>
      <c r="U13" s="116">
        <v>2779933</v>
      </c>
      <c r="V13" s="116">
        <v>3442947</v>
      </c>
      <c r="W13" s="116">
        <v>4264090</v>
      </c>
      <c r="X13" s="116">
        <v>5281075</v>
      </c>
      <c r="Y13" s="115">
        <v>6540611</v>
      </c>
      <c r="AA13" s="676"/>
      <c r="AB13" s="676"/>
      <c r="AE13" s="676"/>
      <c r="AI13" s="676"/>
      <c r="AK13" s="678"/>
      <c r="AN13" s="676"/>
      <c r="AP13" s="678"/>
      <c r="AQ13" s="678"/>
    </row>
    <row r="14" spans="1:43" ht="15.75" customHeight="1" thickBot="1" x14ac:dyDescent="0.25">
      <c r="A14" s="340" t="s">
        <v>156</v>
      </c>
      <c r="B14" s="111">
        <v>6.4545449999999999E-3</v>
      </c>
      <c r="C14" s="341">
        <v>80</v>
      </c>
      <c r="D14" s="342">
        <v>3.0710000000000002</v>
      </c>
      <c r="E14" s="340">
        <v>24</v>
      </c>
      <c r="F14" s="343">
        <v>0.87</v>
      </c>
      <c r="G14" s="342">
        <v>0.85</v>
      </c>
      <c r="H14" s="342">
        <v>0.83</v>
      </c>
      <c r="I14" s="342">
        <v>0.81</v>
      </c>
      <c r="J14" s="342">
        <v>0.79</v>
      </c>
      <c r="K14" s="342">
        <v>0.77</v>
      </c>
      <c r="L14" s="342">
        <v>0.75</v>
      </c>
      <c r="M14" s="342">
        <v>0.73</v>
      </c>
      <c r="N14" s="342"/>
      <c r="O14" s="335"/>
      <c r="P14" s="354" t="s">
        <v>294</v>
      </c>
      <c r="Q14" s="114">
        <v>938416</v>
      </c>
      <c r="R14" s="113">
        <v>1162228</v>
      </c>
      <c r="S14" s="113">
        <v>1439419</v>
      </c>
      <c r="T14" s="113">
        <v>1782721</v>
      </c>
      <c r="U14" s="113">
        <v>2207900</v>
      </c>
      <c r="V14" s="113">
        <v>2734484</v>
      </c>
      <c r="W14" s="113">
        <v>3386658</v>
      </c>
      <c r="X14" s="113">
        <v>4194376</v>
      </c>
      <c r="Y14" s="112">
        <v>5194735</v>
      </c>
      <c r="AA14" s="676"/>
      <c r="AB14" s="676"/>
      <c r="AE14" s="676"/>
      <c r="AI14" s="676"/>
      <c r="AK14" s="678"/>
      <c r="AN14" s="676"/>
      <c r="AP14" s="678"/>
      <c r="AQ14" s="678"/>
    </row>
    <row r="15" spans="1:43" ht="15.75" customHeight="1" thickBot="1" x14ac:dyDescent="0.3">
      <c r="A15" s="340" t="s">
        <v>54</v>
      </c>
      <c r="B15" s="346">
        <v>1.4177778000000002E-2</v>
      </c>
      <c r="C15" s="341">
        <v>72</v>
      </c>
      <c r="D15" s="342">
        <v>4.258</v>
      </c>
      <c r="E15" s="340">
        <v>19.5</v>
      </c>
      <c r="F15" s="351">
        <v>0.73</v>
      </c>
      <c r="G15" s="343">
        <v>0.71</v>
      </c>
      <c r="H15" s="344">
        <v>0.69</v>
      </c>
      <c r="I15" s="343">
        <v>0.67</v>
      </c>
      <c r="J15" s="344">
        <v>0.65</v>
      </c>
      <c r="K15" s="343">
        <v>0.62</v>
      </c>
      <c r="L15" s="350">
        <v>0.60000000000000009</v>
      </c>
      <c r="M15" s="353">
        <v>0.57999999999999996</v>
      </c>
      <c r="N15" s="353"/>
      <c r="O15" s="335"/>
      <c r="P15"/>
      <c r="Q15"/>
      <c r="R15" s="356"/>
      <c r="S15"/>
      <c r="T15"/>
      <c r="U15" s="356"/>
      <c r="V15"/>
      <c r="W15"/>
      <c r="X15"/>
      <c r="Y15"/>
    </row>
    <row r="16" spans="1:43" ht="15.75" customHeight="1" thickBot="1" x14ac:dyDescent="0.3">
      <c r="A16" s="340" t="s">
        <v>55</v>
      </c>
      <c r="B16" s="346">
        <v>9.0740739999999997E-3</v>
      </c>
      <c r="C16" s="341">
        <v>70</v>
      </c>
      <c r="D16" s="342">
        <v>4.3600000000000003</v>
      </c>
      <c r="E16" s="340">
        <v>22.5</v>
      </c>
      <c r="F16" s="342">
        <v>0.78</v>
      </c>
      <c r="G16" s="342">
        <v>0.76</v>
      </c>
      <c r="H16" s="342">
        <v>0.74</v>
      </c>
      <c r="I16" s="352">
        <v>0.72</v>
      </c>
      <c r="J16" s="342">
        <v>0.7</v>
      </c>
      <c r="K16" s="343">
        <v>0.68</v>
      </c>
      <c r="L16" s="342">
        <v>0.66</v>
      </c>
      <c r="M16" s="342">
        <v>0.64</v>
      </c>
      <c r="N16" s="342"/>
      <c r="O16"/>
      <c r="R16" s="567" t="s">
        <v>334</v>
      </c>
      <c r="S16" s="568" t="s">
        <v>333</v>
      </c>
      <c r="U16" s="335"/>
    </row>
    <row r="17" spans="1:43" ht="15.75" customHeight="1" x14ac:dyDescent="0.25">
      <c r="A17" s="340" t="s">
        <v>56</v>
      </c>
      <c r="B17" s="346">
        <v>8.6046510000000014E-3</v>
      </c>
      <c r="C17" s="341">
        <v>79</v>
      </c>
      <c r="D17" s="342">
        <v>3.02</v>
      </c>
      <c r="E17" s="340">
        <v>16.5</v>
      </c>
      <c r="F17" s="355">
        <v>0.87</v>
      </c>
      <c r="G17" s="342">
        <v>0.86</v>
      </c>
      <c r="H17" s="342">
        <v>0.84</v>
      </c>
      <c r="I17" s="343">
        <v>0.82</v>
      </c>
      <c r="J17" s="342">
        <v>0.8</v>
      </c>
      <c r="K17" s="344">
        <v>0.78</v>
      </c>
      <c r="L17" s="342">
        <v>0.76</v>
      </c>
      <c r="M17" s="342">
        <v>0.74</v>
      </c>
      <c r="N17" s="342"/>
      <c r="O17"/>
      <c r="R17" s="569" t="s">
        <v>0</v>
      </c>
      <c r="S17" s="570">
        <v>4.5999999999999996</v>
      </c>
      <c r="U17" s="335"/>
      <c r="W17" s="651" t="s">
        <v>819</v>
      </c>
      <c r="X17" s="650">
        <v>750000</v>
      </c>
    </row>
    <row r="18" spans="1:43" ht="15" x14ac:dyDescent="0.25">
      <c r="A18" s="340" t="s">
        <v>57</v>
      </c>
      <c r="B18" s="346">
        <v>1.3636364000000003E-2</v>
      </c>
      <c r="C18" s="341">
        <v>67</v>
      </c>
      <c r="D18" s="342">
        <v>4.5579999999999998</v>
      </c>
      <c r="E18" s="340">
        <v>18.5</v>
      </c>
      <c r="F18" s="357">
        <v>0.79</v>
      </c>
      <c r="G18" s="357">
        <v>0.77</v>
      </c>
      <c r="H18" s="340">
        <v>0.75</v>
      </c>
      <c r="I18" s="340">
        <v>0.73</v>
      </c>
      <c r="J18" s="340">
        <v>0.71</v>
      </c>
      <c r="K18" s="357">
        <v>0.69</v>
      </c>
      <c r="L18" s="340">
        <v>0.67</v>
      </c>
      <c r="M18" s="340">
        <v>0.65</v>
      </c>
      <c r="N18" s="340" t="s">
        <v>327</v>
      </c>
      <c r="O18"/>
      <c r="R18" s="571" t="s">
        <v>1</v>
      </c>
      <c r="S18" s="572">
        <v>4.5999999999999996</v>
      </c>
      <c r="U18" s="335"/>
      <c r="W18" s="652" t="s">
        <v>820</v>
      </c>
      <c r="X18" s="650">
        <v>700000</v>
      </c>
    </row>
    <row r="19" spans="1:43" ht="15.75" customHeight="1" x14ac:dyDescent="0.25">
      <c r="A19" s="340" t="s">
        <v>834</v>
      </c>
      <c r="B19" s="346">
        <v>1.4333333E-2</v>
      </c>
      <c r="C19" s="341" t="s">
        <v>836</v>
      </c>
      <c r="D19" s="342">
        <v>4.1680000000000001</v>
      </c>
      <c r="E19" s="340">
        <v>13</v>
      </c>
      <c r="F19" s="357">
        <v>0.76500000000000001</v>
      </c>
      <c r="G19" s="357">
        <v>0.74</v>
      </c>
      <c r="H19" s="340">
        <v>0.72</v>
      </c>
      <c r="I19" s="340">
        <v>0.7</v>
      </c>
      <c r="J19" s="340">
        <v>0.68</v>
      </c>
      <c r="K19" s="357">
        <v>0.66</v>
      </c>
      <c r="L19" s="340">
        <v>0.64</v>
      </c>
      <c r="M19" s="340">
        <v>0.62</v>
      </c>
      <c r="N19" s="340"/>
      <c r="O19"/>
      <c r="R19" s="571" t="s">
        <v>2</v>
      </c>
      <c r="S19" s="572">
        <v>-3.8</v>
      </c>
      <c r="U19" s="335"/>
      <c r="W19" s="652" t="s">
        <v>821</v>
      </c>
      <c r="X19" s="650">
        <v>500000</v>
      </c>
      <c r="AC19" s="650"/>
      <c r="AD19" s="650"/>
      <c r="AE19" s="650"/>
      <c r="AF19" s="650"/>
      <c r="AG19" s="650"/>
      <c r="AH19" s="650"/>
      <c r="AI19" s="373"/>
      <c r="AJ19" s="650"/>
      <c r="AK19" s="650"/>
      <c r="AL19" s="650"/>
      <c r="AM19" s="373"/>
      <c r="AN19" s="373"/>
      <c r="AO19" s="373"/>
      <c r="AP19" s="373"/>
      <c r="AQ19" s="373"/>
    </row>
    <row r="20" spans="1:43" ht="15" x14ac:dyDescent="0.25">
      <c r="A20" s="340" t="s">
        <v>58</v>
      </c>
      <c r="B20" s="346">
        <v>1.3733334E-2</v>
      </c>
      <c r="C20" s="341">
        <v>67</v>
      </c>
      <c r="D20" s="342">
        <v>4.5730000000000004</v>
      </c>
      <c r="E20" s="340">
        <v>16.5</v>
      </c>
      <c r="F20" s="340">
        <v>0.82</v>
      </c>
      <c r="G20" s="340">
        <v>0.8</v>
      </c>
      <c r="H20" s="358">
        <v>0.78</v>
      </c>
      <c r="I20" s="340">
        <v>0.76</v>
      </c>
      <c r="J20" s="358">
        <v>0.74</v>
      </c>
      <c r="K20" s="357">
        <v>0.72</v>
      </c>
      <c r="L20" s="340">
        <v>0.7</v>
      </c>
      <c r="M20" s="340">
        <v>0.68</v>
      </c>
      <c r="N20" s="340"/>
      <c r="O20"/>
      <c r="R20" s="571" t="s">
        <v>3</v>
      </c>
      <c r="S20" s="572">
        <v>6</v>
      </c>
      <c r="U20" s="335"/>
      <c r="W20" s="652" t="s">
        <v>822</v>
      </c>
      <c r="X20" s="650">
        <v>600000</v>
      </c>
      <c r="AO20" s="655"/>
    </row>
    <row r="21" spans="1:43" ht="15" x14ac:dyDescent="0.25">
      <c r="A21" s="340" t="s">
        <v>59</v>
      </c>
      <c r="B21" s="340">
        <v>7.2857142857142799E-3</v>
      </c>
      <c r="C21" s="341">
        <v>77</v>
      </c>
      <c r="D21" s="342">
        <v>3.968</v>
      </c>
      <c r="E21" s="340">
        <v>16.5</v>
      </c>
      <c r="F21" s="340">
        <v>0.71</v>
      </c>
      <c r="G21" s="359">
        <v>0.69</v>
      </c>
      <c r="H21" s="359">
        <v>0.67</v>
      </c>
      <c r="I21" s="340">
        <v>0.65</v>
      </c>
      <c r="J21" s="360">
        <v>0.63</v>
      </c>
      <c r="K21" s="358">
        <v>0.61</v>
      </c>
      <c r="L21" s="340">
        <v>0.59</v>
      </c>
      <c r="M21" s="340">
        <v>0.56999999999999995</v>
      </c>
      <c r="N21" s="340" t="s">
        <v>327</v>
      </c>
      <c r="O21"/>
      <c r="R21" s="571" t="s">
        <v>12</v>
      </c>
      <c r="S21" s="572">
        <v>-4.2</v>
      </c>
      <c r="U21" s="335"/>
      <c r="W21" s="652" t="s">
        <v>823</v>
      </c>
      <c r="X21" s="650">
        <v>400000</v>
      </c>
    </row>
    <row r="22" spans="1:43" ht="15.75" thickBot="1" x14ac:dyDescent="0.3">
      <c r="A22" s="340" t="s">
        <v>60</v>
      </c>
      <c r="B22" s="346">
        <v>1.3044444000000002E-2</v>
      </c>
      <c r="C22" s="341">
        <v>62</v>
      </c>
      <c r="D22" s="342">
        <v>4.9290000000000003</v>
      </c>
      <c r="E22" s="340">
        <v>11.5</v>
      </c>
      <c r="F22" s="340">
        <v>0.79</v>
      </c>
      <c r="G22" s="361">
        <v>0.77</v>
      </c>
      <c r="H22" s="359">
        <v>0.75</v>
      </c>
      <c r="I22" s="340">
        <v>0.73</v>
      </c>
      <c r="J22" s="340">
        <v>0.71</v>
      </c>
      <c r="K22" s="340">
        <v>0.69</v>
      </c>
      <c r="L22" s="340">
        <v>0.67</v>
      </c>
      <c r="M22" s="340">
        <v>0.65</v>
      </c>
      <c r="N22" s="340"/>
      <c r="O22"/>
      <c r="R22" s="573" t="s">
        <v>5</v>
      </c>
      <c r="S22" s="574">
        <v>-6</v>
      </c>
      <c r="U22" s="335"/>
      <c r="W22" s="652" t="s">
        <v>824</v>
      </c>
      <c r="X22" s="650">
        <v>550000</v>
      </c>
    </row>
    <row r="23" spans="1:43" ht="15.75" thickBot="1" x14ac:dyDescent="0.3">
      <c r="A23" s="340" t="s">
        <v>61</v>
      </c>
      <c r="B23" s="346">
        <v>9.7948719999999996E-3</v>
      </c>
      <c r="C23" s="341">
        <v>73</v>
      </c>
      <c r="D23" s="342">
        <v>4.2</v>
      </c>
      <c r="E23" s="340">
        <v>25.5</v>
      </c>
      <c r="F23" s="340">
        <v>0.83</v>
      </c>
      <c r="G23" s="340">
        <v>0.81</v>
      </c>
      <c r="H23" s="340">
        <v>0.79</v>
      </c>
      <c r="I23" s="340">
        <v>0.77</v>
      </c>
      <c r="J23" s="340">
        <v>0.75</v>
      </c>
      <c r="K23" s="359">
        <v>0.73</v>
      </c>
      <c r="L23" s="340">
        <v>0.71</v>
      </c>
      <c r="M23" s="340">
        <v>0.69</v>
      </c>
      <c r="N23" s="340"/>
      <c r="O23" s="335"/>
      <c r="P23"/>
      <c r="Q23"/>
      <c r="R23"/>
      <c r="S23"/>
      <c r="T23"/>
      <c r="U23"/>
      <c r="W23" s="652" t="s">
        <v>825</v>
      </c>
      <c r="X23" s="650">
        <v>500000</v>
      </c>
    </row>
    <row r="24" spans="1:43" ht="15.75" thickBot="1" x14ac:dyDescent="0.3">
      <c r="A24" s="340" t="s">
        <v>256</v>
      </c>
      <c r="B24" s="111">
        <v>2.5000000000000001E-3</v>
      </c>
      <c r="C24" s="341">
        <v>80</v>
      </c>
      <c r="D24" s="342">
        <v>4.0220000000000002</v>
      </c>
      <c r="E24" s="340">
        <v>45</v>
      </c>
      <c r="F24" s="340">
        <v>0.84</v>
      </c>
      <c r="G24" s="359">
        <v>0.83</v>
      </c>
      <c r="H24" s="359">
        <v>0.81</v>
      </c>
      <c r="I24" s="358">
        <v>0.79</v>
      </c>
      <c r="J24" s="340">
        <v>0.77</v>
      </c>
      <c r="K24" s="358">
        <v>0.75</v>
      </c>
      <c r="L24" s="340">
        <v>0.73</v>
      </c>
      <c r="M24" s="340">
        <v>0.71</v>
      </c>
      <c r="N24" s="340"/>
      <c r="O24" s="335"/>
      <c r="P24" t="s">
        <v>332</v>
      </c>
      <c r="Q24"/>
      <c r="R24" s="362" t="s">
        <v>331</v>
      </c>
      <c r="S24" s="362" t="s">
        <v>330</v>
      </c>
      <c r="T24" s="362" t="s">
        <v>329</v>
      </c>
      <c r="U24" s="362" t="s">
        <v>328</v>
      </c>
      <c r="V24"/>
      <c r="W24" s="110"/>
    </row>
    <row r="25" spans="1:43" ht="15.75" thickBot="1" x14ac:dyDescent="0.3">
      <c r="A25" s="340" t="s">
        <v>62</v>
      </c>
      <c r="B25" s="346">
        <v>1.0809523999999999E-2</v>
      </c>
      <c r="C25" s="341">
        <v>71</v>
      </c>
      <c r="D25" s="342">
        <v>4.3079999999999998</v>
      </c>
      <c r="E25" s="340">
        <v>18</v>
      </c>
      <c r="F25" s="359">
        <v>0.79</v>
      </c>
      <c r="G25" s="340">
        <v>0.77</v>
      </c>
      <c r="H25" s="340">
        <v>0.75</v>
      </c>
      <c r="I25" s="340">
        <v>0.73</v>
      </c>
      <c r="J25" s="359">
        <v>0.71</v>
      </c>
      <c r="K25" s="359">
        <v>0.69</v>
      </c>
      <c r="L25" s="340">
        <v>0.67</v>
      </c>
      <c r="M25" s="340">
        <v>0.65</v>
      </c>
      <c r="N25" s="340"/>
      <c r="O25" s="335"/>
      <c r="P25" s="363" t="s">
        <v>326</v>
      </c>
      <c r="Q25" s="335"/>
      <c r="R25" s="364">
        <f>IF('Race Strategy'!B14-'Race Strategy'!B15=3,TyreData!N21,IF('Race Strategy'!B14-'Race Strategy'!B15=2,TyreData!N22,IF('Race Strategy'!B14-'Race Strategy'!B15=1,TyreData!N23,IF('Race Strategy'!B14-'Race Strategy'!B15=0,TyreData!N24,IF('Race Strategy'!B14-'Race Strategy'!B15=-1,TyreData!N25,IF('Race Strategy'!B14-'Race Strategy'!B15=-2,TyreData!N26,IF('Race Strategy'!B14-'Race Strategy'!B15=-3,TyreData!N27,0)))))))</f>
        <v>0</v>
      </c>
      <c r="S25" s="364">
        <f>IF('Race Strategy'!B22&lt;=12,TyreData!L21,IF(AND('Race Strategy'!B22&gt;=13,'Race Strategy'!B22&lt;=24),TyreData!L22,IF(AND('Race Strategy'!B22&gt;=25,'Race Strategy'!B22&lt;=36),TyreData!L23,IF(AND('Race Strategy'!B22&gt;=37,'Race Strategy'!B22&lt;=48),TyreData!L24,IF(AND('Race Strategy'!B22&gt;=49,'Race Strategy'!B22&lt;=60),TyreData!L25,IF(AND('Race Strategy'!B22&gt;=61,'Race Strategy'!B22&lt;=71),TyreData!L26,IF(AND('Race Strategy'!B22&gt;=72,'Race Strategy'!B22&lt;=83),TyreData!L27,0)))))))</f>
        <v>1.333E-2</v>
      </c>
      <c r="T25" s="364">
        <f>IF(AND('Race Strategy'!B16&gt;=24,'Race Strategy'!B16&lt;=45),TyreData!P33,IF(AND('Race Strategy'!B16&gt;=46,'Race Strategy'!B16&lt;=68),TyreData!P34,IF(AND('Race Strategy'!B16&gt;=69,'Race Strategy'!B16&lt;=91),TyreData!P35,IF(AND('Race Strategy'!B16&gt;=92,'Race Strategy'!B16&lt;=114),TyreData!P36,IF(AND('Race Strategy'!B16&gt;=115,'Race Strategy'!B16&lt;=136),TyreData!P37,IF(AND('Race Strategy'!B16&gt;=137,'Race Strategy'!B16&lt;=159),TyreData!P38,IF(AND('Race Strategy'!B16&gt;=160,'Race Strategy'!B16&lt;=182),TyreData!P39,0)))))))</f>
        <v>3.3300000000000001E-3</v>
      </c>
      <c r="U25" s="364">
        <f>IF('Race Strategy'!B21&lt;=28,TyreData!N32,IF(AND('Race Strategy'!B21&gt;=29,'Race Strategy'!B21&lt;=56),TyreData!N33,IF(AND('Race Strategy'!B21&gt;=84,'Race Strategy'!B21&lt;=111),TyreData!N35,IF(AND('Race Strategy'!B21&gt;=112,'Race Strategy'!B21&lt;=139),TyreData!N36,IF(AND('Race Strategy'!B21&gt;=140,'Race Strategy'!B21&lt;=167),TyreData!N37,IF(AND('Race Strategy'!B21&gt;=168,'Race Strategy'!B21&lt;=194),TyreData!N38,IF(AND('Race Strategy'!B21&gt;=195,'Race Strategy'!B21&lt;=222),TyreData!N39,IF(AND('Race Strategy'!B21&gt;=223,'Race Strategy'!B21&lt;=250),TyreData!N40,0))))))))</f>
        <v>6.6600000000000001E-3</v>
      </c>
      <c r="V25"/>
      <c r="W25" s="653" t="s">
        <v>826</v>
      </c>
      <c r="X25" s="650">
        <v>400000</v>
      </c>
    </row>
    <row r="26" spans="1:43" ht="15.75" thickBot="1" x14ac:dyDescent="0.3">
      <c r="A26" s="340" t="s">
        <v>125</v>
      </c>
      <c r="B26" s="111">
        <v>9.2857140000000005E-3</v>
      </c>
      <c r="C26" s="341">
        <v>79</v>
      </c>
      <c r="D26" s="342">
        <v>3.7160000000000002</v>
      </c>
      <c r="E26" s="340">
        <v>14</v>
      </c>
      <c r="F26" s="340">
        <v>0.79</v>
      </c>
      <c r="G26" s="359">
        <v>0.77</v>
      </c>
      <c r="H26" s="340">
        <v>0.75</v>
      </c>
      <c r="I26" s="340">
        <v>0.73</v>
      </c>
      <c r="J26" s="359">
        <v>0.71</v>
      </c>
      <c r="K26" s="340">
        <v>0.69</v>
      </c>
      <c r="L26" s="340">
        <v>0.67</v>
      </c>
      <c r="M26" s="340">
        <v>0.65</v>
      </c>
      <c r="N26" s="340"/>
      <c r="O26" s="335"/>
      <c r="P26" s="365" t="s">
        <v>325</v>
      </c>
      <c r="Q26" s="335"/>
      <c r="R26" s="364">
        <f>IF('Race Strategy'!B14-'Race Strategy'!B15&gt;=4,TyreData!N20,IF('Race Strategy'!B14-'Race Strategy'!B15&lt;=-4,TyreData!N28,0))</f>
        <v>0</v>
      </c>
      <c r="S26" s="364">
        <f>IF(AND('Race Strategy'!B22&gt;=84,'Race Strategy'!B22&lt;=95),TyreData!L28,IF(AND('Race Strategy'!B22&gt;=96,'Race Strategy'!B22&lt;=107),TyreData!L29,IF(AND('Race Strategy'!B22&gt;=108,'Race Strategy'!B22&lt;=119),TyreData!L30,IF(AND('Race Strategy'!B22&gt;=120,'Race Strategy'!B22&lt;=131),TyreData!L31,IF(AND('Race Strategy'!B22&gt;=132,'Race Strategy'!B22&lt;=143),TyreData!L32,IF(AND('Race Strategy'!B22&gt;=144,'Race Strategy'!B22&lt;=155),TyreData!L33,IF(AND('Race Strategy'!B22&gt;=156,'Race Strategy'!B22&lt;=167),TyreData!L34,0)))))))</f>
        <v>0</v>
      </c>
      <c r="T26" s="364">
        <f>IF(AND('Race Strategy'!B16&gt;=183,'Race Strategy'!B16&lt;=205),TyreData!P40,IF(AND('Race Strategy'!B16&gt;=206,'Race Strategy'!B16&lt;=227),TyreData!P41,IF(AND('Race Strategy'!B16&gt;=228,'Race Strategy'!B16&lt;=250),TyreData!P42,0)))</f>
        <v>0</v>
      </c>
      <c r="U26" s="10"/>
      <c r="W26" s="654" t="s">
        <v>827</v>
      </c>
      <c r="X26" s="650">
        <v>100000</v>
      </c>
    </row>
    <row r="27" spans="1:43" ht="15.75" thickBot="1" x14ac:dyDescent="0.3">
      <c r="A27" s="340" t="s">
        <v>63</v>
      </c>
      <c r="B27" s="346">
        <v>1.21666666666666E-2</v>
      </c>
      <c r="C27" s="341">
        <v>58</v>
      </c>
      <c r="D27" s="342">
        <v>5.3339999999999996</v>
      </c>
      <c r="E27" s="340">
        <v>16</v>
      </c>
      <c r="F27" s="340">
        <v>0.8</v>
      </c>
      <c r="G27" s="340">
        <v>0.78</v>
      </c>
      <c r="H27" s="340">
        <v>0.76</v>
      </c>
      <c r="I27" s="359">
        <v>0.74</v>
      </c>
      <c r="J27" s="358">
        <v>0.72</v>
      </c>
      <c r="K27" s="358">
        <v>0.7</v>
      </c>
      <c r="L27" s="340">
        <v>0.68</v>
      </c>
      <c r="M27" s="340">
        <v>0.66</v>
      </c>
      <c r="N27" s="340" t="s">
        <v>327</v>
      </c>
      <c r="O27" s="335"/>
      <c r="P27" s="366" t="s">
        <v>324</v>
      </c>
      <c r="Q27" s="335"/>
      <c r="R27"/>
      <c r="S27" s="364">
        <f>IF(AND('Race Strategy'!B22&gt;=168,'Race Strategy'!B22&lt;=179),TyreData!L35,IF(AND('Race Strategy'!B22&gt;=180,'Race Strategy'!B22&lt;=190),TyreData!L36,IF(AND('Race Strategy'!B22&gt;=191,'Race Strategy'!B22&lt;=202),TyreData!L37,IF(AND('Race Strategy'!B22&gt;=203,'Race Strategy'!B22&lt;=214),TyreData!L38,IF(AND('Race Strategy'!B22&gt;=215,'Race Strategy'!B22&lt;=226),TyreData!L39,IF(AND('Race Strategy'!B22&gt;=227,'Race Strategy'!B22&lt;=238),TyreData!L40,IF(AND('Race Strategy'!B22&gt;=239,'Race Strategy'!B22&lt;=250),TyreData!L41,0)))))))</f>
        <v>0</v>
      </c>
      <c r="T27" s="10"/>
      <c r="U27" s="10"/>
      <c r="W27" s="654" t="s">
        <v>190</v>
      </c>
      <c r="X27" s="650">
        <v>100000</v>
      </c>
    </row>
    <row r="28" spans="1:43" ht="15.75" thickBot="1" x14ac:dyDescent="0.3">
      <c r="A28" s="340" t="s">
        <v>870</v>
      </c>
      <c r="B28" s="729">
        <v>3.2333000000000001E-2</v>
      </c>
      <c r="C28" s="341" t="s">
        <v>872</v>
      </c>
      <c r="D28" s="342">
        <v>6.1740000000000004</v>
      </c>
      <c r="E28" s="340">
        <v>21</v>
      </c>
      <c r="F28" s="340">
        <v>0.88</v>
      </c>
      <c r="G28" s="340">
        <v>0.86</v>
      </c>
      <c r="H28" s="340">
        <v>0.84</v>
      </c>
      <c r="I28" s="359">
        <v>0.82</v>
      </c>
      <c r="J28" s="358">
        <v>0.8</v>
      </c>
      <c r="K28" s="358">
        <v>0.78</v>
      </c>
      <c r="L28" s="340">
        <v>0.76</v>
      </c>
      <c r="M28" s="340">
        <v>0.74</v>
      </c>
      <c r="N28" s="340"/>
      <c r="O28" s="335"/>
      <c r="P28" s="367" t="s">
        <v>323</v>
      </c>
      <c r="Q28" s="335"/>
      <c r="R28"/>
      <c r="S28"/>
      <c r="T28" s="10"/>
      <c r="U28" s="10"/>
      <c r="W28" s="654" t="s">
        <v>828</v>
      </c>
      <c r="X28" s="650">
        <v>600000</v>
      </c>
    </row>
    <row r="29" spans="1:43" ht="15.75" thickBot="1" x14ac:dyDescent="0.3">
      <c r="A29" s="340" t="s">
        <v>64</v>
      </c>
      <c r="B29" s="346">
        <v>1.4102564102564099E-2</v>
      </c>
      <c r="C29" s="341">
        <v>69</v>
      </c>
      <c r="D29" s="342">
        <v>4.4409999999999998</v>
      </c>
      <c r="E29" s="340">
        <v>18</v>
      </c>
      <c r="F29" s="340">
        <v>0.84</v>
      </c>
      <c r="G29" s="340">
        <v>0.82</v>
      </c>
      <c r="H29" s="359">
        <v>0.8</v>
      </c>
      <c r="I29" s="340">
        <v>0.78</v>
      </c>
      <c r="J29" s="358">
        <v>0.76</v>
      </c>
      <c r="K29" s="340">
        <v>0.74</v>
      </c>
      <c r="L29" s="340">
        <v>0.72</v>
      </c>
      <c r="M29" s="340">
        <v>0.7</v>
      </c>
      <c r="N29" s="340" t="s">
        <v>327</v>
      </c>
      <c r="O29" s="335"/>
      <c r="P29" s="368" t="s">
        <v>322</v>
      </c>
      <c r="Q29" s="335"/>
      <c r="R29" s="362" t="s">
        <v>321</v>
      </c>
      <c r="S29" s="369" t="s">
        <v>208</v>
      </c>
      <c r="T29" s="369" t="s">
        <v>320</v>
      </c>
      <c r="U29"/>
    </row>
    <row r="30" spans="1:43" ht="15.75" customHeight="1" thickBot="1" x14ac:dyDescent="0.3">
      <c r="A30" s="340" t="s">
        <v>837</v>
      </c>
      <c r="B30" s="346">
        <v>9.0666659999999993E-3</v>
      </c>
      <c r="C30" s="341" t="s">
        <v>838</v>
      </c>
      <c r="D30" s="342">
        <v>2.2999999999999998</v>
      </c>
      <c r="E30" s="340">
        <v>19.5</v>
      </c>
      <c r="F30" s="340">
        <v>0.77</v>
      </c>
      <c r="G30" s="340">
        <v>0.75</v>
      </c>
      <c r="H30" s="359">
        <v>0.73</v>
      </c>
      <c r="I30" s="340">
        <v>0.71</v>
      </c>
      <c r="J30" s="358">
        <v>0.69</v>
      </c>
      <c r="K30" s="340">
        <v>0.67</v>
      </c>
      <c r="L30" s="340">
        <v>0.65</v>
      </c>
      <c r="M30" s="340">
        <v>0.63</v>
      </c>
      <c r="N30" s="340"/>
      <c r="O30" s="335"/>
      <c r="P30" s="370" t="s">
        <v>319</v>
      </c>
      <c r="Q30" s="335"/>
      <c r="R30" s="109">
        <f>Resources!R25+Resources!S25+Resources!T25+Resources!T26+Resources!U25+Resources!R26+Resources!S26+Resources!S27</f>
        <v>2.332E-2</v>
      </c>
      <c r="S30" s="371">
        <f>'Race Strategy'!D15*VLOOKUP('Race Strategy'!B1,Resources!A2:L64,4,FALSE)*'Race Strategy'!B7</f>
        <v>232.0280424</v>
      </c>
      <c r="T30" s="371">
        <f>'Race Strategy'!E15*VLOOKUP('Race Strategy'!B1,Resources!A2:L64,4,FALSE)*'Race Strategy'!B7</f>
        <v>225.45600000000002</v>
      </c>
      <c r="U30"/>
      <c r="W30" s="339" t="s">
        <v>547</v>
      </c>
      <c r="X30" s="650">
        <v>1000000</v>
      </c>
    </row>
    <row r="31" spans="1:43" ht="15.75" customHeight="1" x14ac:dyDescent="0.25">
      <c r="A31" s="340" t="s">
        <v>245</v>
      </c>
      <c r="B31" s="346">
        <v>6.7428571428571399E-3</v>
      </c>
      <c r="C31" s="340">
        <v>80</v>
      </c>
      <c r="D31" s="342">
        <v>3.3010000000000002</v>
      </c>
      <c r="E31" s="340">
        <v>11</v>
      </c>
      <c r="F31" s="340">
        <v>0.79</v>
      </c>
      <c r="G31" s="340">
        <v>0.77</v>
      </c>
      <c r="H31" s="360">
        <v>0.75</v>
      </c>
      <c r="I31" s="359">
        <v>0.73</v>
      </c>
      <c r="J31" s="360">
        <v>0.71</v>
      </c>
      <c r="K31" s="360">
        <v>0.69</v>
      </c>
      <c r="L31" s="340">
        <v>0.67</v>
      </c>
      <c r="M31" s="340">
        <v>0.65</v>
      </c>
      <c r="N31" s="340" t="s">
        <v>327</v>
      </c>
      <c r="O31" s="335"/>
      <c r="P31" s="372" t="s">
        <v>318</v>
      </c>
      <c r="Q31" s="335"/>
      <c r="R31" s="335"/>
      <c r="W31" s="654" t="s">
        <v>830</v>
      </c>
      <c r="X31" s="650">
        <v>6102000</v>
      </c>
    </row>
    <row r="32" spans="1:43" ht="15.75" customHeight="1" x14ac:dyDescent="0.25">
      <c r="A32" s="340" t="s">
        <v>65</v>
      </c>
      <c r="B32" s="346">
        <v>1.0529411764705799E-2</v>
      </c>
      <c r="C32" s="341">
        <v>72</v>
      </c>
      <c r="D32" s="342">
        <v>4.2610000000000001</v>
      </c>
      <c r="E32" s="340">
        <v>15</v>
      </c>
      <c r="F32" s="340">
        <v>0.74</v>
      </c>
      <c r="G32" s="340">
        <v>0.72</v>
      </c>
      <c r="H32" s="359">
        <v>0.7</v>
      </c>
      <c r="I32" s="340">
        <v>0.68</v>
      </c>
      <c r="J32" s="359">
        <v>0.66</v>
      </c>
      <c r="K32" s="359">
        <v>0.64</v>
      </c>
      <c r="L32" s="340">
        <v>0.62</v>
      </c>
      <c r="M32" s="340">
        <v>0.6</v>
      </c>
      <c r="N32" s="340" t="s">
        <v>327</v>
      </c>
      <c r="O32" s="335"/>
      <c r="P32" s="44" t="s">
        <v>317</v>
      </c>
      <c r="Q32" s="335"/>
      <c r="R32"/>
      <c r="S32"/>
      <c r="T32"/>
      <c r="U32"/>
    </row>
    <row r="33" spans="1:25" ht="15.75" customHeight="1" x14ac:dyDescent="0.25">
      <c r="A33" s="340" t="s">
        <v>66</v>
      </c>
      <c r="B33" s="346">
        <v>7.6818181818181803E-3</v>
      </c>
      <c r="C33" s="341">
        <v>79</v>
      </c>
      <c r="D33" s="342">
        <v>3.601</v>
      </c>
      <c r="E33" s="340">
        <v>16.7</v>
      </c>
      <c r="F33" s="340">
        <v>0.84</v>
      </c>
      <c r="G33" s="340">
        <v>0.82</v>
      </c>
      <c r="H33" s="340">
        <v>0.8</v>
      </c>
      <c r="I33" s="359">
        <v>0.78</v>
      </c>
      <c r="J33" s="358">
        <v>0.76</v>
      </c>
      <c r="K33" s="340">
        <v>0.74</v>
      </c>
      <c r="L33" s="340">
        <v>0.72</v>
      </c>
      <c r="M33" s="340">
        <v>0.7</v>
      </c>
      <c r="N33" s="340" t="s">
        <v>327</v>
      </c>
      <c r="O33" s="335"/>
      <c r="P33" s="335"/>
      <c r="Q33" s="335"/>
      <c r="R33"/>
      <c r="S33"/>
      <c r="T33"/>
      <c r="U33"/>
      <c r="W33" s="373"/>
      <c r="Y33" s="373"/>
    </row>
    <row r="34" spans="1:25" ht="15.75" customHeight="1" x14ac:dyDescent="0.25">
      <c r="A34" s="340" t="s">
        <v>879</v>
      </c>
      <c r="B34" s="346">
        <v>2.0500000000000001E-2</v>
      </c>
      <c r="C34" s="341" t="s">
        <v>872</v>
      </c>
      <c r="D34" s="342">
        <v>6.1180000000000003</v>
      </c>
      <c r="E34" s="340">
        <v>23</v>
      </c>
      <c r="F34" s="340"/>
      <c r="G34" s="340"/>
      <c r="H34" s="340"/>
      <c r="I34" s="359"/>
      <c r="J34" s="358"/>
      <c r="K34" s="340"/>
      <c r="L34" s="340"/>
      <c r="M34" s="340"/>
      <c r="N34" s="340"/>
      <c r="O34" s="335"/>
      <c r="P34" s="335"/>
      <c r="Q34" s="335"/>
      <c r="R34"/>
      <c r="S34"/>
      <c r="T34"/>
      <c r="U34"/>
    </row>
    <row r="35" spans="1:25" ht="15.75" customHeight="1" x14ac:dyDescent="0.25">
      <c r="A35" s="340" t="s">
        <v>878</v>
      </c>
      <c r="B35" s="346">
        <v>1.8780487799999999E-2</v>
      </c>
      <c r="C35" s="341" t="s">
        <v>874</v>
      </c>
      <c r="D35" s="342">
        <v>5.3810000000000002</v>
      </c>
      <c r="E35" s="340">
        <v>24</v>
      </c>
      <c r="F35" s="340">
        <v>0.78</v>
      </c>
      <c r="G35" s="340">
        <v>0.76</v>
      </c>
      <c r="H35" s="340">
        <v>0.74</v>
      </c>
      <c r="I35" s="359">
        <v>0.72</v>
      </c>
      <c r="J35" s="358">
        <v>0.7</v>
      </c>
      <c r="K35" s="340">
        <v>0.68</v>
      </c>
      <c r="L35" s="340">
        <v>0.66</v>
      </c>
      <c r="M35" s="340">
        <v>0.64</v>
      </c>
      <c r="N35" s="340"/>
      <c r="O35" s="335"/>
      <c r="P35" s="335"/>
      <c r="Q35" s="335"/>
      <c r="R35"/>
      <c r="S35"/>
      <c r="T35"/>
      <c r="U35"/>
    </row>
    <row r="36" spans="1:25" ht="15.75" customHeight="1" x14ac:dyDescent="0.25">
      <c r="A36" s="340" t="s">
        <v>67</v>
      </c>
      <c r="B36" s="346">
        <v>1.1333332999999999E-2</v>
      </c>
      <c r="C36" s="341">
        <v>72</v>
      </c>
      <c r="D36" s="342">
        <v>4.2469999999999999</v>
      </c>
      <c r="E36" s="340">
        <v>18</v>
      </c>
      <c r="F36" s="340">
        <v>0.81</v>
      </c>
      <c r="G36" s="340">
        <v>0.79</v>
      </c>
      <c r="H36" s="340">
        <v>0.77</v>
      </c>
      <c r="I36" s="340">
        <v>0.75</v>
      </c>
      <c r="J36" s="358">
        <v>0.73</v>
      </c>
      <c r="K36" s="359">
        <v>0.71</v>
      </c>
      <c r="L36" s="340">
        <v>0.69</v>
      </c>
      <c r="M36" s="340">
        <v>0.67</v>
      </c>
      <c r="N36" s="341"/>
      <c r="O36" s="335"/>
      <c r="P36" s="335"/>
      <c r="Q36" s="335"/>
      <c r="R36"/>
      <c r="S36"/>
      <c r="T36"/>
      <c r="U36"/>
    </row>
    <row r="37" spans="1:25" ht="15.75" customHeight="1" x14ac:dyDescent="0.25">
      <c r="A37" s="340" t="s">
        <v>68</v>
      </c>
      <c r="B37" s="346">
        <v>1.7111111111111101E-2</v>
      </c>
      <c r="C37" s="341">
        <v>58</v>
      </c>
      <c r="D37" s="342">
        <v>5.3029999999999999</v>
      </c>
      <c r="E37" s="340">
        <v>16.5</v>
      </c>
      <c r="F37" s="340">
        <v>0.81</v>
      </c>
      <c r="G37" s="358">
        <v>0.79</v>
      </c>
      <c r="H37" s="340">
        <v>0.77</v>
      </c>
      <c r="I37" s="359">
        <v>0.75</v>
      </c>
      <c r="J37" s="358">
        <v>0.73</v>
      </c>
      <c r="K37" s="340">
        <v>0.71</v>
      </c>
      <c r="L37" s="340">
        <v>0.69</v>
      </c>
      <c r="M37" s="340">
        <v>0.67</v>
      </c>
      <c r="N37" s="340" t="s">
        <v>327</v>
      </c>
      <c r="O37" s="335"/>
      <c r="P37" s="335"/>
      <c r="Q37" s="335"/>
      <c r="R37"/>
      <c r="S37"/>
      <c r="T37"/>
      <c r="U37"/>
    </row>
    <row r="38" spans="1:25" ht="15.75" customHeight="1" x14ac:dyDescent="0.25">
      <c r="A38" s="340" t="s">
        <v>69</v>
      </c>
      <c r="B38" s="346">
        <v>7.2173910000000001E-3</v>
      </c>
      <c r="C38" s="341">
        <v>69</v>
      </c>
      <c r="D38" s="342">
        <v>4.42</v>
      </c>
      <c r="E38" s="340">
        <v>24</v>
      </c>
      <c r="F38" s="340">
        <v>0.77</v>
      </c>
      <c r="G38" s="340">
        <v>0.75</v>
      </c>
      <c r="H38" s="359">
        <v>0.73</v>
      </c>
      <c r="I38" s="359">
        <v>0.71</v>
      </c>
      <c r="J38" s="359">
        <v>0.69</v>
      </c>
      <c r="K38" s="340">
        <v>0.67</v>
      </c>
      <c r="L38" s="340">
        <v>0.65</v>
      </c>
      <c r="M38" s="340">
        <v>0.63</v>
      </c>
      <c r="N38" s="340"/>
      <c r="O38" s="335"/>
      <c r="P38" s="335"/>
      <c r="Q38" s="335"/>
      <c r="R38"/>
      <c r="S38"/>
      <c r="T38"/>
      <c r="U38"/>
    </row>
    <row r="39" spans="1:25" ht="15.75" customHeight="1" x14ac:dyDescent="0.2">
      <c r="A39" s="340" t="s">
        <v>873</v>
      </c>
      <c r="B39" s="346">
        <v>1.47692E-2</v>
      </c>
      <c r="C39" s="341" t="s">
        <v>874</v>
      </c>
      <c r="D39" s="342">
        <v>5.4109999999999996</v>
      </c>
      <c r="E39" s="340">
        <v>17</v>
      </c>
      <c r="F39" s="340">
        <v>0.78</v>
      </c>
      <c r="G39" s="340">
        <v>0.76</v>
      </c>
      <c r="H39" s="359">
        <v>0.74</v>
      </c>
      <c r="I39" s="359">
        <v>0.72</v>
      </c>
      <c r="J39" s="359">
        <v>0.7</v>
      </c>
      <c r="K39" s="340">
        <v>0.68</v>
      </c>
      <c r="L39" s="340">
        <v>0.66</v>
      </c>
      <c r="M39" s="340">
        <v>0.64</v>
      </c>
      <c r="N39" s="340"/>
      <c r="O39" s="335"/>
      <c r="P39" s="335"/>
      <c r="Q39" s="335"/>
      <c r="R39" s="335"/>
    </row>
    <row r="40" spans="1:25" ht="15.75" customHeight="1" x14ac:dyDescent="0.2">
      <c r="A40" s="340" t="s">
        <v>70</v>
      </c>
      <c r="B40" s="346">
        <v>1.1054054000000002E-2</v>
      </c>
      <c r="C40" s="341">
        <v>78</v>
      </c>
      <c r="D40" s="342">
        <v>3.3689999999999998</v>
      </c>
      <c r="E40" s="340">
        <v>18</v>
      </c>
      <c r="F40" s="359">
        <v>0.75</v>
      </c>
      <c r="G40" s="359">
        <v>0.74</v>
      </c>
      <c r="H40" s="359">
        <v>0.72</v>
      </c>
      <c r="I40" s="340">
        <v>0.7</v>
      </c>
      <c r="J40" s="340">
        <v>0.68</v>
      </c>
      <c r="K40" s="359">
        <v>0.66</v>
      </c>
      <c r="L40" s="340">
        <v>0.64</v>
      </c>
      <c r="M40" s="340">
        <v>0.62</v>
      </c>
      <c r="N40" s="340"/>
      <c r="O40" s="335"/>
      <c r="P40" s="335"/>
      <c r="Q40" s="335"/>
      <c r="R40" s="335"/>
    </row>
    <row r="41" spans="1:25" ht="15.75" customHeight="1" x14ac:dyDescent="0.2">
      <c r="A41" s="340" t="s">
        <v>71</v>
      </c>
      <c r="B41" s="346">
        <v>8.9411760000000003E-3</v>
      </c>
      <c r="C41" s="341">
        <v>69</v>
      </c>
      <c r="D41" s="342">
        <v>4.42</v>
      </c>
      <c r="E41" s="340">
        <v>16.5</v>
      </c>
      <c r="F41" s="340">
        <v>0.8</v>
      </c>
      <c r="G41" s="359">
        <v>0.78</v>
      </c>
      <c r="H41" s="359">
        <v>0.76</v>
      </c>
      <c r="I41" s="340">
        <v>0.74</v>
      </c>
      <c r="J41" s="359">
        <v>0.72</v>
      </c>
      <c r="K41" s="359">
        <v>0.7</v>
      </c>
      <c r="L41" s="340">
        <v>0.68</v>
      </c>
      <c r="M41" s="340">
        <v>0.66</v>
      </c>
      <c r="N41" s="340"/>
      <c r="O41" s="335"/>
      <c r="P41" s="335"/>
      <c r="Q41" s="335"/>
      <c r="R41" s="335"/>
    </row>
    <row r="42" spans="1:25" ht="15.75" customHeight="1" x14ac:dyDescent="0.2">
      <c r="A42" s="340" t="s">
        <v>72</v>
      </c>
      <c r="B42" s="346">
        <v>1.2942857000000002E-2</v>
      </c>
      <c r="C42" s="341">
        <v>53</v>
      </c>
      <c r="D42" s="342">
        <v>5.7869999999999999</v>
      </c>
      <c r="E42" s="340">
        <v>25.5</v>
      </c>
      <c r="F42" s="340">
        <v>0.85</v>
      </c>
      <c r="G42" s="359">
        <v>0.83</v>
      </c>
      <c r="H42" s="359">
        <v>0.81</v>
      </c>
      <c r="I42" s="340">
        <v>0.79</v>
      </c>
      <c r="J42" s="359">
        <v>0.77</v>
      </c>
      <c r="K42" s="358">
        <v>0.75</v>
      </c>
      <c r="L42" s="340">
        <v>0.73</v>
      </c>
      <c r="M42" s="340">
        <v>0.71</v>
      </c>
      <c r="N42" s="340"/>
      <c r="O42" s="335"/>
      <c r="P42" s="335"/>
      <c r="Q42" s="335"/>
      <c r="R42" s="335"/>
    </row>
    <row r="43" spans="1:25" ht="15.75" customHeight="1" x14ac:dyDescent="0.2">
      <c r="A43" s="340" t="s">
        <v>73</v>
      </c>
      <c r="B43" s="346">
        <v>1.2999999999999998E-2</v>
      </c>
      <c r="C43" s="341">
        <v>58</v>
      </c>
      <c r="D43" s="342">
        <v>5.2469999999999999</v>
      </c>
      <c r="E43" s="340">
        <v>13.5</v>
      </c>
      <c r="F43" s="340">
        <v>0.79</v>
      </c>
      <c r="G43" s="340">
        <v>0.77</v>
      </c>
      <c r="H43" s="340">
        <v>0.75</v>
      </c>
      <c r="I43" s="359">
        <v>0.73</v>
      </c>
      <c r="J43" s="340">
        <v>0.71</v>
      </c>
      <c r="K43" s="340">
        <v>0.69</v>
      </c>
      <c r="L43" s="340">
        <v>0.67</v>
      </c>
      <c r="M43" s="340">
        <v>0.65</v>
      </c>
      <c r="N43" s="340"/>
      <c r="O43" s="335"/>
      <c r="P43" s="335"/>
      <c r="Q43" s="335"/>
      <c r="R43" s="335"/>
    </row>
    <row r="44" spans="1:25" ht="15.75" customHeight="1" x14ac:dyDescent="0.2">
      <c r="A44" s="340" t="s">
        <v>253</v>
      </c>
      <c r="B44" s="346">
        <v>1.8499999999999999E-2</v>
      </c>
      <c r="C44" s="341" t="s">
        <v>316</v>
      </c>
      <c r="D44" s="342">
        <v>5.1370000000000005</v>
      </c>
      <c r="E44" s="340">
        <v>19</v>
      </c>
      <c r="F44" s="340">
        <v>0.8</v>
      </c>
      <c r="G44" s="340">
        <v>0.78</v>
      </c>
      <c r="H44" s="340">
        <v>0.76</v>
      </c>
      <c r="I44" s="340">
        <v>0.74</v>
      </c>
      <c r="J44" s="359">
        <v>0.72</v>
      </c>
      <c r="K44" s="340">
        <v>0.7</v>
      </c>
      <c r="L44" s="340">
        <v>0.68</v>
      </c>
      <c r="M44" s="340">
        <v>0.66</v>
      </c>
      <c r="N44" s="340"/>
      <c r="O44" s="335"/>
      <c r="P44" s="335"/>
      <c r="Q44" s="335"/>
      <c r="R44" s="335"/>
    </row>
    <row r="45" spans="1:25" ht="15.75" customHeight="1" x14ac:dyDescent="0.2">
      <c r="A45" s="340" t="s">
        <v>74</v>
      </c>
      <c r="B45" s="346">
        <v>1.2906249999999999E-2</v>
      </c>
      <c r="C45" s="341">
        <v>60</v>
      </c>
      <c r="D45" s="342">
        <v>5.1449999999999996</v>
      </c>
      <c r="E45" s="340">
        <v>15</v>
      </c>
      <c r="F45" s="340">
        <v>0.73</v>
      </c>
      <c r="G45" s="359">
        <v>0.71</v>
      </c>
      <c r="H45" s="340">
        <v>0.69</v>
      </c>
      <c r="I45" s="359">
        <v>0.67</v>
      </c>
      <c r="J45" s="340">
        <v>0.65</v>
      </c>
      <c r="K45" s="340">
        <v>0.63</v>
      </c>
      <c r="L45" s="340">
        <v>0.61</v>
      </c>
      <c r="M45" s="340">
        <v>0.59</v>
      </c>
      <c r="N45" s="340"/>
      <c r="O45" s="335"/>
      <c r="P45" s="335"/>
      <c r="Q45" s="335"/>
      <c r="R45" s="335"/>
    </row>
    <row r="46" spans="1:25" ht="15.75" customHeight="1" x14ac:dyDescent="0.2">
      <c r="A46" s="340" t="s">
        <v>75</v>
      </c>
      <c r="B46" s="346">
        <v>1.1542857E-2</v>
      </c>
      <c r="C46" s="341">
        <v>52</v>
      </c>
      <c r="D46" s="342">
        <v>5.94</v>
      </c>
      <c r="E46" s="340">
        <v>21</v>
      </c>
      <c r="F46" s="340">
        <v>0.82</v>
      </c>
      <c r="G46" s="340">
        <v>0.8</v>
      </c>
      <c r="H46" s="340">
        <v>0.78</v>
      </c>
      <c r="I46" s="340">
        <v>0.76</v>
      </c>
      <c r="J46" s="340">
        <v>0.74</v>
      </c>
      <c r="K46" s="358">
        <v>0.72</v>
      </c>
      <c r="L46" s="340">
        <v>0.7</v>
      </c>
      <c r="M46" s="340">
        <v>0.68</v>
      </c>
      <c r="N46" s="340"/>
      <c r="O46" s="335"/>
      <c r="P46" s="335"/>
      <c r="Q46" s="335"/>
      <c r="R46" s="335"/>
    </row>
    <row r="47" spans="1:25" ht="15.75" customHeight="1" x14ac:dyDescent="0.2">
      <c r="A47" s="340" t="s">
        <v>76</v>
      </c>
      <c r="B47" s="346">
        <v>9.4374999999999997E-3</v>
      </c>
      <c r="C47" s="341">
        <v>79</v>
      </c>
      <c r="D47" s="342">
        <v>3.8609999999999998</v>
      </c>
      <c r="E47" s="340">
        <v>19.5</v>
      </c>
      <c r="F47" s="374">
        <v>0.83</v>
      </c>
      <c r="G47" s="340">
        <v>0.82</v>
      </c>
      <c r="H47" s="340">
        <v>0.8</v>
      </c>
      <c r="I47" s="359">
        <v>0.78</v>
      </c>
      <c r="J47" s="340">
        <v>0.76</v>
      </c>
      <c r="K47" s="340">
        <v>0.74</v>
      </c>
      <c r="L47" s="340">
        <v>0.72</v>
      </c>
      <c r="M47" s="340">
        <v>0.7</v>
      </c>
      <c r="N47" s="340"/>
      <c r="O47" s="335"/>
      <c r="P47" s="335"/>
      <c r="Q47" s="335"/>
      <c r="R47" s="335"/>
    </row>
    <row r="48" spans="1:25" ht="15.75" customHeight="1" x14ac:dyDescent="0.2">
      <c r="A48" s="340" t="s">
        <v>252</v>
      </c>
      <c r="B48" s="346">
        <v>1.6449999999999999E-2</v>
      </c>
      <c r="C48" s="341" t="s">
        <v>315</v>
      </c>
      <c r="D48" s="342">
        <v>4.6920000000000002</v>
      </c>
      <c r="E48" s="340">
        <v>15.5</v>
      </c>
      <c r="F48" s="340">
        <v>0.78</v>
      </c>
      <c r="G48" s="340">
        <v>0.76</v>
      </c>
      <c r="H48" s="340">
        <v>0.74</v>
      </c>
      <c r="I48" s="340">
        <v>0.72</v>
      </c>
      <c r="J48" s="359">
        <v>0.7</v>
      </c>
      <c r="K48" s="340">
        <v>0.68</v>
      </c>
      <c r="L48" s="340">
        <v>0.66</v>
      </c>
      <c r="M48" s="340">
        <v>0.64</v>
      </c>
      <c r="N48" s="340" t="s">
        <v>327</v>
      </c>
      <c r="O48" s="335"/>
      <c r="P48" s="335"/>
      <c r="Q48" s="335"/>
      <c r="R48" s="335"/>
    </row>
    <row r="49" spans="1:18" ht="15.75" customHeight="1" x14ac:dyDescent="0.2">
      <c r="A49" s="340" t="s">
        <v>89</v>
      </c>
      <c r="B49" s="346">
        <v>9.6249999999999999E-3</v>
      </c>
      <c r="C49" s="341">
        <v>75</v>
      </c>
      <c r="D49" s="342">
        <v>4.0830000000000002</v>
      </c>
      <c r="E49" s="340">
        <v>14</v>
      </c>
      <c r="F49" s="359">
        <v>0.75</v>
      </c>
      <c r="G49" s="340">
        <v>0.73</v>
      </c>
      <c r="H49" s="340">
        <v>0.71</v>
      </c>
      <c r="I49" s="359">
        <v>0.69</v>
      </c>
      <c r="J49" s="340">
        <v>0.67</v>
      </c>
      <c r="K49" s="340">
        <v>0.65</v>
      </c>
      <c r="L49" s="340">
        <v>0.63</v>
      </c>
      <c r="M49" s="340">
        <v>0.61</v>
      </c>
      <c r="N49" s="340"/>
      <c r="O49" s="335"/>
      <c r="P49" s="335"/>
      <c r="Q49" s="335"/>
      <c r="R49" s="335"/>
    </row>
    <row r="50" spans="1:18" ht="15.75" customHeight="1" x14ac:dyDescent="0.2">
      <c r="A50" s="340" t="s">
        <v>848</v>
      </c>
      <c r="B50" s="346">
        <v>7.6923069999999998E-3</v>
      </c>
      <c r="C50" s="341" t="s">
        <v>849</v>
      </c>
      <c r="D50" s="342">
        <v>4.7359999999999998</v>
      </c>
      <c r="E50" s="340">
        <v>10</v>
      </c>
      <c r="F50" s="359">
        <v>0.82</v>
      </c>
      <c r="G50" s="340">
        <v>0.8</v>
      </c>
      <c r="H50" s="340">
        <v>0.78</v>
      </c>
      <c r="I50" s="359">
        <v>0.76</v>
      </c>
      <c r="J50" s="340">
        <v>0.74</v>
      </c>
      <c r="K50" s="340">
        <v>0.72</v>
      </c>
      <c r="L50" s="340">
        <v>0.7</v>
      </c>
      <c r="M50" s="340">
        <v>0.68</v>
      </c>
      <c r="N50" s="340"/>
      <c r="O50" s="335"/>
      <c r="P50" s="335"/>
      <c r="Q50" s="335"/>
      <c r="R50" s="335"/>
    </row>
    <row r="51" spans="1:18" ht="15.75" customHeight="1" x14ac:dyDescent="0.2">
      <c r="A51" s="340" t="s">
        <v>77</v>
      </c>
      <c r="B51" s="346">
        <v>1.2583333333333301E-2</v>
      </c>
      <c r="C51" s="341">
        <v>57</v>
      </c>
      <c r="D51" s="342">
        <v>5.4119999999999999</v>
      </c>
      <c r="E51" s="340">
        <v>25.5</v>
      </c>
      <c r="F51" s="340">
        <v>0.87</v>
      </c>
      <c r="G51" s="359">
        <v>0.85</v>
      </c>
      <c r="H51" s="359">
        <v>0.83</v>
      </c>
      <c r="I51" s="358">
        <v>0.81</v>
      </c>
      <c r="J51" s="340">
        <v>0.79</v>
      </c>
      <c r="K51" s="340">
        <v>0.77</v>
      </c>
      <c r="L51" s="340">
        <v>0.75</v>
      </c>
      <c r="M51" s="340">
        <v>0.73</v>
      </c>
      <c r="N51" s="340" t="s">
        <v>327</v>
      </c>
      <c r="O51" s="335"/>
      <c r="P51" s="335"/>
      <c r="Q51" s="335"/>
      <c r="R51" s="335"/>
    </row>
    <row r="52" spans="1:18" ht="15.75" customHeight="1" x14ac:dyDescent="0.2">
      <c r="A52" s="340" t="s">
        <v>78</v>
      </c>
      <c r="B52" s="346">
        <v>1.75454545454545E-2</v>
      </c>
      <c r="C52" s="341">
        <v>55</v>
      </c>
      <c r="D52" s="342">
        <v>5.6440000000000001</v>
      </c>
      <c r="E52" s="340">
        <v>24</v>
      </c>
      <c r="F52" s="340">
        <v>0.79</v>
      </c>
      <c r="G52" s="359">
        <v>0.77</v>
      </c>
      <c r="H52" s="340">
        <v>0.75</v>
      </c>
      <c r="I52" s="359">
        <v>0.73</v>
      </c>
      <c r="J52" s="340">
        <v>0.71</v>
      </c>
      <c r="K52" s="358">
        <v>0.69</v>
      </c>
      <c r="L52" s="340">
        <v>0.67</v>
      </c>
      <c r="M52" s="340">
        <v>0.65</v>
      </c>
      <c r="N52" s="340" t="s">
        <v>327</v>
      </c>
      <c r="O52" s="335"/>
      <c r="P52" s="335"/>
      <c r="Q52" s="335"/>
      <c r="R52" s="335"/>
    </row>
    <row r="53" spans="1:18" x14ac:dyDescent="0.2">
      <c r="A53" s="340" t="s">
        <v>844</v>
      </c>
      <c r="B53" s="346">
        <v>9.0909089999999994E-3</v>
      </c>
      <c r="C53" s="341" t="s">
        <v>845</v>
      </c>
      <c r="D53" s="342">
        <v>3.1859999999999999</v>
      </c>
      <c r="E53" s="340">
        <v>12</v>
      </c>
      <c r="F53" s="340">
        <v>0.82</v>
      </c>
      <c r="G53" s="359">
        <v>0.8</v>
      </c>
      <c r="H53" s="340">
        <v>0.78</v>
      </c>
      <c r="I53" s="359">
        <v>0.76</v>
      </c>
      <c r="J53" s="340">
        <v>0.74</v>
      </c>
      <c r="K53" s="358">
        <v>0.72</v>
      </c>
      <c r="L53" s="340">
        <v>0.7</v>
      </c>
      <c r="M53" s="340">
        <v>0.68</v>
      </c>
      <c r="N53" s="340"/>
      <c r="P53" s="335"/>
      <c r="Q53" s="335"/>
      <c r="R53" s="335"/>
    </row>
    <row r="54" spans="1:18" x14ac:dyDescent="0.2">
      <c r="A54" s="340" t="s">
        <v>79</v>
      </c>
      <c r="B54" s="346">
        <v>9.3333333333333306E-3</v>
      </c>
      <c r="C54" s="341">
        <v>56</v>
      </c>
      <c r="D54" s="342">
        <v>5.45</v>
      </c>
      <c r="E54" s="340">
        <v>24</v>
      </c>
      <c r="F54" s="340">
        <v>0.86</v>
      </c>
      <c r="G54" s="359">
        <v>0.84</v>
      </c>
      <c r="H54" s="359">
        <v>0.82</v>
      </c>
      <c r="I54" s="358">
        <v>0.8</v>
      </c>
      <c r="J54" s="340">
        <v>0.78</v>
      </c>
      <c r="K54" s="340">
        <v>0.76</v>
      </c>
      <c r="L54" s="340">
        <v>0.74</v>
      </c>
      <c r="M54" s="340">
        <v>0.72</v>
      </c>
      <c r="N54" s="340"/>
      <c r="P54" s="335"/>
      <c r="Q54" s="335"/>
      <c r="R54" s="335"/>
    </row>
    <row r="55" spans="1:18" x14ac:dyDescent="0.2">
      <c r="A55" s="340" t="s">
        <v>80</v>
      </c>
      <c r="B55" s="346">
        <v>1.0642856999999999E-2</v>
      </c>
      <c r="C55" s="341">
        <v>60</v>
      </c>
      <c r="D55" s="342">
        <v>5.1379999999999999</v>
      </c>
      <c r="E55" s="340">
        <v>22.5</v>
      </c>
      <c r="F55" s="359">
        <v>0.82</v>
      </c>
      <c r="G55" s="359">
        <v>0.8</v>
      </c>
      <c r="H55" s="340">
        <v>0.78</v>
      </c>
      <c r="I55" s="359">
        <v>0.76</v>
      </c>
      <c r="J55" s="340">
        <v>0.74</v>
      </c>
      <c r="K55" s="340">
        <v>0.72</v>
      </c>
      <c r="L55" s="340">
        <v>0.7</v>
      </c>
      <c r="M55" s="340">
        <v>0.68</v>
      </c>
      <c r="N55" s="340" t="s">
        <v>327</v>
      </c>
    </row>
    <row r="56" spans="1:18" x14ac:dyDescent="0.2">
      <c r="A56" s="340" t="s">
        <v>81</v>
      </c>
      <c r="B56" s="346">
        <v>2.4666667000000003E-2</v>
      </c>
      <c r="C56" s="341">
        <v>61</v>
      </c>
      <c r="D56" s="342">
        <v>5.0670000000000002</v>
      </c>
      <c r="E56" s="340">
        <v>17</v>
      </c>
      <c r="F56" s="340">
        <v>0.8</v>
      </c>
      <c r="G56" s="359">
        <v>0.78</v>
      </c>
      <c r="H56" s="359">
        <v>0.76</v>
      </c>
      <c r="I56" s="358">
        <v>0.74</v>
      </c>
      <c r="J56" s="340">
        <v>0.72</v>
      </c>
      <c r="K56" s="340">
        <v>0.7</v>
      </c>
      <c r="L56" s="340">
        <v>0.68</v>
      </c>
      <c r="M56" s="340">
        <v>0.66</v>
      </c>
      <c r="N56" s="340"/>
    </row>
    <row r="57" spans="1:18" x14ac:dyDescent="0.2">
      <c r="A57" s="340" t="s">
        <v>847</v>
      </c>
      <c r="B57" s="346">
        <v>1.6199999999999999E-2</v>
      </c>
      <c r="C57" s="341" t="s">
        <v>840</v>
      </c>
      <c r="D57" s="342">
        <v>5.923</v>
      </c>
      <c r="E57" s="340">
        <v>19.5</v>
      </c>
      <c r="F57" s="340">
        <v>0.85</v>
      </c>
      <c r="G57" s="359">
        <v>0.83</v>
      </c>
      <c r="H57" s="340">
        <v>0.81</v>
      </c>
      <c r="I57" s="359">
        <v>0.79</v>
      </c>
      <c r="J57" s="340">
        <v>0.77</v>
      </c>
      <c r="K57" s="359">
        <v>0.75</v>
      </c>
      <c r="L57" s="340">
        <v>0.73</v>
      </c>
      <c r="M57" s="359">
        <v>0.71</v>
      </c>
      <c r="N57" s="340"/>
    </row>
    <row r="58" spans="1:18" x14ac:dyDescent="0.2">
      <c r="A58" s="340" t="s">
        <v>839</v>
      </c>
      <c r="B58" s="346">
        <v>2.2272727199999998E-2</v>
      </c>
      <c r="C58" s="341" t="s">
        <v>840</v>
      </c>
      <c r="D58" s="342">
        <v>5.851</v>
      </c>
      <c r="E58" s="340">
        <v>23</v>
      </c>
      <c r="F58" s="340">
        <v>0.76</v>
      </c>
      <c r="G58" s="359">
        <v>0.74</v>
      </c>
      <c r="H58" s="359">
        <v>0.72</v>
      </c>
      <c r="I58" s="358">
        <v>0.7</v>
      </c>
      <c r="J58" s="340">
        <v>0.68</v>
      </c>
      <c r="K58" s="340">
        <v>0.66</v>
      </c>
      <c r="L58" s="340">
        <v>0.64</v>
      </c>
      <c r="M58" s="340">
        <v>0.62</v>
      </c>
      <c r="N58" s="340"/>
    </row>
    <row r="59" spans="1:18" x14ac:dyDescent="0.2">
      <c r="A59" s="340" t="s">
        <v>82</v>
      </c>
      <c r="B59" s="346">
        <v>2.775E-2</v>
      </c>
      <c r="C59" s="341">
        <v>44</v>
      </c>
      <c r="D59" s="342">
        <v>6.968</v>
      </c>
      <c r="E59" s="340">
        <v>13.5</v>
      </c>
      <c r="F59" s="340">
        <v>0.83</v>
      </c>
      <c r="G59" s="358">
        <v>0.81</v>
      </c>
      <c r="H59" s="359">
        <v>0.79</v>
      </c>
      <c r="I59" s="340">
        <v>0.77</v>
      </c>
      <c r="J59" s="358">
        <v>0.75</v>
      </c>
      <c r="K59" s="359">
        <v>0.73</v>
      </c>
      <c r="L59" s="340">
        <v>0.71</v>
      </c>
      <c r="M59" s="340">
        <v>0.69</v>
      </c>
      <c r="N59" s="340" t="s">
        <v>327</v>
      </c>
    </row>
    <row r="60" spans="1:18" x14ac:dyDescent="0.2">
      <c r="A60" s="340" t="s">
        <v>83</v>
      </c>
      <c r="B60" s="346">
        <v>1.4052631578947299E-2</v>
      </c>
      <c r="C60" s="341">
        <v>53</v>
      </c>
      <c r="D60" s="342">
        <v>5.86</v>
      </c>
      <c r="E60" s="340">
        <v>15</v>
      </c>
      <c r="F60" s="340">
        <v>0.8</v>
      </c>
      <c r="G60" s="357">
        <v>0.78</v>
      </c>
      <c r="H60" s="340">
        <v>0.76</v>
      </c>
      <c r="I60" s="357">
        <v>0.74</v>
      </c>
      <c r="J60" s="375">
        <v>0.72</v>
      </c>
      <c r="K60" s="340">
        <v>0.7</v>
      </c>
      <c r="L60" s="340">
        <v>0.68</v>
      </c>
      <c r="M60" s="340">
        <v>0.66</v>
      </c>
      <c r="N60" s="340" t="s">
        <v>327</v>
      </c>
    </row>
    <row r="61" spans="1:18" x14ac:dyDescent="0.2">
      <c r="A61" s="340" t="s">
        <v>84</v>
      </c>
      <c r="B61" s="346">
        <v>2.6048386999999999E-2</v>
      </c>
      <c r="C61" s="341">
        <v>57</v>
      </c>
      <c r="D61" s="342">
        <v>5.44</v>
      </c>
      <c r="E61" s="340">
        <v>14.5</v>
      </c>
      <c r="F61" s="359">
        <v>0.78</v>
      </c>
      <c r="G61" s="340">
        <v>0.76</v>
      </c>
      <c r="H61" s="359">
        <v>0.74</v>
      </c>
      <c r="I61" s="340">
        <v>0.72</v>
      </c>
      <c r="J61" s="340">
        <v>0.7</v>
      </c>
      <c r="K61" s="358">
        <v>0.68</v>
      </c>
      <c r="L61" s="340">
        <v>0.66</v>
      </c>
      <c r="M61" s="340">
        <v>0.64</v>
      </c>
      <c r="N61" s="340"/>
    </row>
    <row r="62" spans="1:18" x14ac:dyDescent="0.2">
      <c r="A62" s="340" t="s">
        <v>88</v>
      </c>
      <c r="B62" s="346">
        <v>2.1041666666666601E-2</v>
      </c>
      <c r="C62" s="341">
        <v>55</v>
      </c>
      <c r="D62" s="342">
        <v>5.5549999999999997</v>
      </c>
      <c r="E62" s="340">
        <v>18.5</v>
      </c>
      <c r="F62" s="340">
        <v>0.76</v>
      </c>
      <c r="G62" s="359">
        <v>0.74</v>
      </c>
      <c r="H62" s="340">
        <v>0.72</v>
      </c>
      <c r="I62" s="359">
        <v>0.7</v>
      </c>
      <c r="J62" s="359">
        <v>0.68</v>
      </c>
      <c r="K62" s="340">
        <v>0.66</v>
      </c>
      <c r="L62" s="340">
        <v>0.64</v>
      </c>
      <c r="M62" s="340">
        <v>0.62</v>
      </c>
      <c r="N62" s="340" t="s">
        <v>327</v>
      </c>
    </row>
    <row r="63" spans="1:18" x14ac:dyDescent="0.2">
      <c r="A63" s="340" t="s">
        <v>87</v>
      </c>
      <c r="B63" s="346">
        <v>2.0268292682926799E-2</v>
      </c>
      <c r="C63" s="341">
        <v>55</v>
      </c>
      <c r="D63" s="342">
        <v>5.6219999999999999</v>
      </c>
      <c r="E63" s="340">
        <v>23.5</v>
      </c>
      <c r="F63" s="340">
        <v>0.78</v>
      </c>
      <c r="G63" s="340">
        <v>0.76</v>
      </c>
      <c r="H63" s="359">
        <v>0.74</v>
      </c>
      <c r="I63" s="359">
        <v>0.72</v>
      </c>
      <c r="J63" s="340">
        <v>0.7</v>
      </c>
      <c r="K63" s="340">
        <v>0.68</v>
      </c>
      <c r="L63" s="340">
        <v>0.66</v>
      </c>
      <c r="M63" s="340">
        <v>0.64</v>
      </c>
      <c r="N63" s="340" t="s">
        <v>327</v>
      </c>
    </row>
    <row r="64" spans="1:18" x14ac:dyDescent="0.2">
      <c r="A64" s="340" t="s">
        <v>85</v>
      </c>
      <c r="B64" s="346">
        <v>1.0149999999999999E-2</v>
      </c>
      <c r="C64" s="341">
        <v>71</v>
      </c>
      <c r="D64" s="342">
        <v>4.2510000000000003</v>
      </c>
      <c r="E64" s="340">
        <v>22.5</v>
      </c>
      <c r="F64" s="340">
        <v>0.76</v>
      </c>
      <c r="G64" s="340">
        <v>0.74</v>
      </c>
      <c r="H64" s="340">
        <v>0.72</v>
      </c>
      <c r="I64" s="358">
        <v>0.7</v>
      </c>
      <c r="J64" s="359">
        <v>0.68</v>
      </c>
      <c r="K64" s="340">
        <v>0.66</v>
      </c>
      <c r="L64" s="340">
        <v>0.64</v>
      </c>
      <c r="M64" s="340">
        <v>0.62</v>
      </c>
      <c r="N64" s="340" t="s">
        <v>327</v>
      </c>
    </row>
    <row r="65" spans="1:14" x14ac:dyDescent="0.2">
      <c r="A65" s="340" t="s">
        <v>86</v>
      </c>
      <c r="B65" s="346">
        <v>1.3651200000000002E-2</v>
      </c>
      <c r="C65" s="341">
        <v>70</v>
      </c>
      <c r="D65" s="342">
        <v>4.2610000000000001</v>
      </c>
      <c r="E65" s="340">
        <v>19.5</v>
      </c>
      <c r="F65" s="340">
        <v>0.77</v>
      </c>
      <c r="G65" s="359">
        <v>0.75</v>
      </c>
      <c r="H65" s="359">
        <v>0.73</v>
      </c>
      <c r="I65" s="359">
        <v>0.71</v>
      </c>
      <c r="J65" s="340">
        <v>0.69</v>
      </c>
      <c r="K65" s="340">
        <v>0.67</v>
      </c>
      <c r="L65" s="340">
        <v>0.65</v>
      </c>
      <c r="M65" s="340">
        <v>0.63</v>
      </c>
      <c r="N65" s="340" t="s">
        <v>327</v>
      </c>
    </row>
    <row r="66" spans="1:14" x14ac:dyDescent="0.2">
      <c r="D66" s="378"/>
    </row>
  </sheetData>
  <sheetProtection selectLockedCells="1"/>
  <customSheetViews>
    <customSheetView guid="{58F65609-3622-42C4-9926-1A56B88F9C36}" state="hidden" topLeftCell="A16">
      <selection activeCell="J38" sqref="J38"/>
      <pageMargins left="0.7" right="0.7" top="0.75" bottom="0.75" header="0.3" footer="0.3"/>
    </customSheetView>
  </customSheetViews>
  <mergeCells count="1">
    <mergeCell ref="AC2:AD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B124"/>
  <sheetViews>
    <sheetView workbookViewId="0">
      <selection activeCell="C4" sqref="C4"/>
    </sheetView>
  </sheetViews>
  <sheetFormatPr defaultRowHeight="15" x14ac:dyDescent="0.25"/>
  <cols>
    <col min="7" max="7" width="9.85546875" customWidth="1"/>
    <col min="15" max="15" width="14.5703125" customWidth="1"/>
    <col min="263" max="263" width="9.85546875" customWidth="1"/>
    <col min="271" max="271" width="14.5703125" customWidth="1"/>
    <col min="519" max="519" width="9.85546875" customWidth="1"/>
    <col min="527" max="527" width="14.5703125" customWidth="1"/>
    <col min="775" max="775" width="9.85546875" customWidth="1"/>
    <col min="783" max="783" width="14.5703125" customWidth="1"/>
    <col min="1031" max="1031" width="9.85546875" customWidth="1"/>
    <col min="1039" max="1039" width="14.5703125" customWidth="1"/>
    <col min="1287" max="1287" width="9.85546875" customWidth="1"/>
    <col min="1295" max="1295" width="14.5703125" customWidth="1"/>
    <col min="1543" max="1543" width="9.85546875" customWidth="1"/>
    <col min="1551" max="1551" width="14.5703125" customWidth="1"/>
    <col min="1799" max="1799" width="9.85546875" customWidth="1"/>
    <col min="1807" max="1807" width="14.5703125" customWidth="1"/>
    <col min="2055" max="2055" width="9.85546875" customWidth="1"/>
    <col min="2063" max="2063" width="14.5703125" customWidth="1"/>
    <col min="2311" max="2311" width="9.85546875" customWidth="1"/>
    <col min="2319" max="2319" width="14.5703125" customWidth="1"/>
    <col min="2567" max="2567" width="9.85546875" customWidth="1"/>
    <col min="2575" max="2575" width="14.5703125" customWidth="1"/>
    <col min="2823" max="2823" width="9.85546875" customWidth="1"/>
    <col min="2831" max="2831" width="14.5703125" customWidth="1"/>
    <col min="3079" max="3079" width="9.85546875" customWidth="1"/>
    <col min="3087" max="3087" width="14.5703125" customWidth="1"/>
    <col min="3335" max="3335" width="9.85546875" customWidth="1"/>
    <col min="3343" max="3343" width="14.5703125" customWidth="1"/>
    <col min="3591" max="3591" width="9.85546875" customWidth="1"/>
    <col min="3599" max="3599" width="14.5703125" customWidth="1"/>
    <col min="3847" max="3847" width="9.85546875" customWidth="1"/>
    <col min="3855" max="3855" width="14.5703125" customWidth="1"/>
    <col min="4103" max="4103" width="9.85546875" customWidth="1"/>
    <col min="4111" max="4111" width="14.5703125" customWidth="1"/>
    <col min="4359" max="4359" width="9.85546875" customWidth="1"/>
    <col min="4367" max="4367" width="14.5703125" customWidth="1"/>
    <col min="4615" max="4615" width="9.85546875" customWidth="1"/>
    <col min="4623" max="4623" width="14.5703125" customWidth="1"/>
    <col min="4871" max="4871" width="9.85546875" customWidth="1"/>
    <col min="4879" max="4879" width="14.5703125" customWidth="1"/>
    <col min="5127" max="5127" width="9.85546875" customWidth="1"/>
    <col min="5135" max="5135" width="14.5703125" customWidth="1"/>
    <col min="5383" max="5383" width="9.85546875" customWidth="1"/>
    <col min="5391" max="5391" width="14.5703125" customWidth="1"/>
    <col min="5639" max="5639" width="9.85546875" customWidth="1"/>
    <col min="5647" max="5647" width="14.5703125" customWidth="1"/>
    <col min="5895" max="5895" width="9.85546875" customWidth="1"/>
    <col min="5903" max="5903" width="14.5703125" customWidth="1"/>
    <col min="6151" max="6151" width="9.85546875" customWidth="1"/>
    <col min="6159" max="6159" width="14.5703125" customWidth="1"/>
    <col min="6407" max="6407" width="9.85546875" customWidth="1"/>
    <col min="6415" max="6415" width="14.5703125" customWidth="1"/>
    <col min="6663" max="6663" width="9.85546875" customWidth="1"/>
    <col min="6671" max="6671" width="14.5703125" customWidth="1"/>
    <col min="6919" max="6919" width="9.85546875" customWidth="1"/>
    <col min="6927" max="6927" width="14.5703125" customWidth="1"/>
    <col min="7175" max="7175" width="9.85546875" customWidth="1"/>
    <col min="7183" max="7183" width="14.5703125" customWidth="1"/>
    <col min="7431" max="7431" width="9.85546875" customWidth="1"/>
    <col min="7439" max="7439" width="14.5703125" customWidth="1"/>
    <col min="7687" max="7687" width="9.85546875" customWidth="1"/>
    <col min="7695" max="7695" width="14.5703125" customWidth="1"/>
    <col min="7943" max="7943" width="9.85546875" customWidth="1"/>
    <col min="7951" max="7951" width="14.5703125" customWidth="1"/>
    <col min="8199" max="8199" width="9.85546875" customWidth="1"/>
    <col min="8207" max="8207" width="14.5703125" customWidth="1"/>
    <col min="8455" max="8455" width="9.85546875" customWidth="1"/>
    <col min="8463" max="8463" width="14.5703125" customWidth="1"/>
    <col min="8711" max="8711" width="9.85546875" customWidth="1"/>
    <col min="8719" max="8719" width="14.5703125" customWidth="1"/>
    <col min="8967" max="8967" width="9.85546875" customWidth="1"/>
    <col min="8975" max="8975" width="14.5703125" customWidth="1"/>
    <col min="9223" max="9223" width="9.85546875" customWidth="1"/>
    <col min="9231" max="9231" width="14.5703125" customWidth="1"/>
    <col min="9479" max="9479" width="9.85546875" customWidth="1"/>
    <col min="9487" max="9487" width="14.5703125" customWidth="1"/>
    <col min="9735" max="9735" width="9.85546875" customWidth="1"/>
    <col min="9743" max="9743" width="14.5703125" customWidth="1"/>
    <col min="9991" max="9991" width="9.85546875" customWidth="1"/>
    <col min="9999" max="9999" width="14.5703125" customWidth="1"/>
    <col min="10247" max="10247" width="9.85546875" customWidth="1"/>
    <col min="10255" max="10255" width="14.5703125" customWidth="1"/>
    <col min="10503" max="10503" width="9.85546875" customWidth="1"/>
    <col min="10511" max="10511" width="14.5703125" customWidth="1"/>
    <col min="10759" max="10759" width="9.85546875" customWidth="1"/>
    <col min="10767" max="10767" width="14.5703125" customWidth="1"/>
    <col min="11015" max="11015" width="9.85546875" customWidth="1"/>
    <col min="11023" max="11023" width="14.5703125" customWidth="1"/>
    <col min="11271" max="11271" width="9.85546875" customWidth="1"/>
    <col min="11279" max="11279" width="14.5703125" customWidth="1"/>
    <col min="11527" max="11527" width="9.85546875" customWidth="1"/>
    <col min="11535" max="11535" width="14.5703125" customWidth="1"/>
    <col min="11783" max="11783" width="9.85546875" customWidth="1"/>
    <col min="11791" max="11791" width="14.5703125" customWidth="1"/>
    <col min="12039" max="12039" width="9.85546875" customWidth="1"/>
    <col min="12047" max="12047" width="14.5703125" customWidth="1"/>
    <col min="12295" max="12295" width="9.85546875" customWidth="1"/>
    <col min="12303" max="12303" width="14.5703125" customWidth="1"/>
    <col min="12551" max="12551" width="9.85546875" customWidth="1"/>
    <col min="12559" max="12559" width="14.5703125" customWidth="1"/>
    <col min="12807" max="12807" width="9.85546875" customWidth="1"/>
    <col min="12815" max="12815" width="14.5703125" customWidth="1"/>
    <col min="13063" max="13063" width="9.85546875" customWidth="1"/>
    <col min="13071" max="13071" width="14.5703125" customWidth="1"/>
    <col min="13319" max="13319" width="9.85546875" customWidth="1"/>
    <col min="13327" max="13327" width="14.5703125" customWidth="1"/>
    <col min="13575" max="13575" width="9.85546875" customWidth="1"/>
    <col min="13583" max="13583" width="14.5703125" customWidth="1"/>
    <col min="13831" max="13831" width="9.85546875" customWidth="1"/>
    <col min="13839" max="13839" width="14.5703125" customWidth="1"/>
    <col min="14087" max="14087" width="9.85546875" customWidth="1"/>
    <col min="14095" max="14095" width="14.5703125" customWidth="1"/>
    <col min="14343" max="14343" width="9.85546875" customWidth="1"/>
    <col min="14351" max="14351" width="14.5703125" customWidth="1"/>
    <col min="14599" max="14599" width="9.85546875" customWidth="1"/>
    <col min="14607" max="14607" width="14.5703125" customWidth="1"/>
    <col min="14855" max="14855" width="9.85546875" customWidth="1"/>
    <col min="14863" max="14863" width="14.5703125" customWidth="1"/>
    <col min="15111" max="15111" width="9.85546875" customWidth="1"/>
    <col min="15119" max="15119" width="14.5703125" customWidth="1"/>
    <col min="15367" max="15367" width="9.85546875" customWidth="1"/>
    <col min="15375" max="15375" width="14.5703125" customWidth="1"/>
    <col min="15623" max="15623" width="9.85546875" customWidth="1"/>
    <col min="15631" max="15631" width="14.5703125" customWidth="1"/>
    <col min="15879" max="15879" width="9.85546875" customWidth="1"/>
    <col min="15887" max="15887" width="14.5703125" customWidth="1"/>
    <col min="16135" max="16135" width="9.85546875" customWidth="1"/>
    <col min="16143" max="16143" width="14.5703125" customWidth="1"/>
  </cols>
  <sheetData>
    <row r="1" spans="1:15" x14ac:dyDescent="0.25">
      <c r="A1" s="194" t="s">
        <v>168</v>
      </c>
      <c r="B1" s="194"/>
      <c r="C1" s="195" t="s">
        <v>299</v>
      </c>
      <c r="D1" s="195" t="s">
        <v>2</v>
      </c>
      <c r="E1" s="195" t="s">
        <v>0</v>
      </c>
      <c r="F1" s="195" t="s">
        <v>1</v>
      </c>
      <c r="G1" s="195" t="s">
        <v>298</v>
      </c>
      <c r="H1" s="195" t="s">
        <v>297</v>
      </c>
      <c r="I1" s="195" t="s">
        <v>296</v>
      </c>
      <c r="J1" s="195" t="s">
        <v>295</v>
      </c>
      <c r="K1" s="195" t="s">
        <v>3</v>
      </c>
      <c r="L1" s="195" t="s">
        <v>5</v>
      </c>
      <c r="M1" s="195" t="s">
        <v>294</v>
      </c>
      <c r="N1" s="196" t="s">
        <v>499</v>
      </c>
      <c r="O1" s="197" t="s">
        <v>500</v>
      </c>
    </row>
    <row r="2" spans="1:15" x14ac:dyDescent="0.25">
      <c r="A2" s="194" t="s">
        <v>48</v>
      </c>
      <c r="B2" s="194"/>
      <c r="C2" s="198">
        <v>0.21</v>
      </c>
      <c r="D2" s="198">
        <v>0.39</v>
      </c>
      <c r="E2" s="198">
        <v>0.14000000000000001</v>
      </c>
      <c r="F2" s="198">
        <v>0.15</v>
      </c>
      <c r="G2" s="198">
        <v>0.15</v>
      </c>
      <c r="H2" s="198">
        <v>0.18</v>
      </c>
      <c r="I2" s="198">
        <v>0.13</v>
      </c>
      <c r="J2" s="198">
        <v>0.27</v>
      </c>
      <c r="K2" s="198">
        <v>0.32</v>
      </c>
      <c r="L2" s="198">
        <v>0.21</v>
      </c>
      <c r="M2" s="198">
        <v>0.15</v>
      </c>
      <c r="N2" s="196" t="s">
        <v>501</v>
      </c>
      <c r="O2" s="44" t="s">
        <v>502</v>
      </c>
    </row>
    <row r="3" spans="1:15" x14ac:dyDescent="0.25">
      <c r="A3" s="194" t="s">
        <v>48</v>
      </c>
      <c r="B3" s="194"/>
      <c r="C3" s="198">
        <v>0.16</v>
      </c>
      <c r="D3" s="198">
        <v>0.28999999999999998</v>
      </c>
      <c r="E3" s="198">
        <v>0.11</v>
      </c>
      <c r="F3" s="198">
        <v>0.11</v>
      </c>
      <c r="G3" s="198">
        <v>0.11</v>
      </c>
      <c r="H3" s="198">
        <v>0.13</v>
      </c>
      <c r="I3" s="198">
        <v>0.09</v>
      </c>
      <c r="J3" s="198">
        <v>0.2</v>
      </c>
      <c r="K3" s="198">
        <v>0.24</v>
      </c>
      <c r="L3" s="198">
        <v>0.15</v>
      </c>
      <c r="M3" s="198">
        <v>0.11</v>
      </c>
      <c r="N3" s="196" t="s">
        <v>501</v>
      </c>
      <c r="O3" s="44"/>
    </row>
    <row r="4" spans="1:15" x14ac:dyDescent="0.25">
      <c r="A4" s="194" t="s">
        <v>48</v>
      </c>
      <c r="B4" s="194"/>
      <c r="C4" s="198">
        <v>0.12</v>
      </c>
      <c r="D4" s="198">
        <v>0.3</v>
      </c>
      <c r="E4" s="198">
        <v>7.0000000000000007E-2</v>
      </c>
      <c r="F4" s="198">
        <v>0.08</v>
      </c>
      <c r="G4" s="198">
        <v>0.08</v>
      </c>
      <c r="H4" s="198">
        <v>0.1</v>
      </c>
      <c r="I4" s="198">
        <v>0.06</v>
      </c>
      <c r="J4" s="198">
        <v>0.17</v>
      </c>
      <c r="K4" s="198">
        <v>0.21</v>
      </c>
      <c r="L4" s="198">
        <v>0.12</v>
      </c>
      <c r="M4" s="198">
        <v>0.08</v>
      </c>
      <c r="N4" s="196" t="s">
        <v>501</v>
      </c>
      <c r="O4" s="44"/>
    </row>
    <row r="5" spans="1:15" x14ac:dyDescent="0.25">
      <c r="A5" s="194" t="s">
        <v>48</v>
      </c>
      <c r="B5" s="194"/>
      <c r="C5" s="198">
        <v>0.17</v>
      </c>
      <c r="D5" s="198">
        <v>0.31</v>
      </c>
      <c r="E5" s="198">
        <v>0.11</v>
      </c>
      <c r="F5" s="198">
        <v>0.12</v>
      </c>
      <c r="G5" s="198">
        <v>0.12</v>
      </c>
      <c r="H5" s="198">
        <v>0.14000000000000001</v>
      </c>
      <c r="I5" s="198">
        <v>0.1</v>
      </c>
      <c r="J5" s="198">
        <v>0.21</v>
      </c>
      <c r="K5" s="198">
        <v>0.25</v>
      </c>
      <c r="L5" s="198">
        <v>0.16</v>
      </c>
      <c r="M5" s="198">
        <v>0.12</v>
      </c>
      <c r="N5" s="196" t="s">
        <v>503</v>
      </c>
      <c r="O5" s="44"/>
    </row>
    <row r="6" spans="1:15" x14ac:dyDescent="0.25">
      <c r="A6" s="194" t="s">
        <v>48</v>
      </c>
      <c r="B6" s="194"/>
      <c r="C6" s="198">
        <v>0.13</v>
      </c>
      <c r="D6" s="198">
        <v>0.28000000000000003</v>
      </c>
      <c r="E6" s="198">
        <v>0.08</v>
      </c>
      <c r="F6" s="198">
        <v>0.08</v>
      </c>
      <c r="G6" s="198">
        <v>0.11</v>
      </c>
      <c r="H6" s="198">
        <v>0.13</v>
      </c>
      <c r="I6" s="198">
        <v>0.09</v>
      </c>
      <c r="J6" s="198">
        <v>0.18</v>
      </c>
      <c r="K6" s="198">
        <v>0.22</v>
      </c>
      <c r="L6" s="198">
        <v>0.12</v>
      </c>
      <c r="M6" s="198">
        <v>0.08</v>
      </c>
      <c r="N6" s="196" t="s">
        <v>504</v>
      </c>
      <c r="O6" s="44"/>
    </row>
    <row r="7" spans="1:15" x14ac:dyDescent="0.25">
      <c r="A7" s="194" t="s">
        <v>48</v>
      </c>
      <c r="B7" s="194"/>
      <c r="C7" s="198">
        <v>0.17</v>
      </c>
      <c r="D7" s="198">
        <v>0.41</v>
      </c>
      <c r="E7" s="198">
        <v>0.11</v>
      </c>
      <c r="F7" s="198">
        <v>0.12</v>
      </c>
      <c r="G7" s="198">
        <v>0.15</v>
      </c>
      <c r="H7" s="198">
        <v>0.25</v>
      </c>
      <c r="I7" s="198">
        <v>0.13</v>
      </c>
      <c r="J7" s="198">
        <v>0.22</v>
      </c>
      <c r="K7" s="198">
        <v>0.34</v>
      </c>
      <c r="L7" s="198">
        <v>0.16</v>
      </c>
      <c r="M7" s="198">
        <v>0.16</v>
      </c>
      <c r="N7" s="196" t="s">
        <v>505</v>
      </c>
      <c r="O7" s="44" t="s">
        <v>502</v>
      </c>
    </row>
    <row r="8" spans="1:15" x14ac:dyDescent="0.25">
      <c r="A8" s="199" t="s">
        <v>48</v>
      </c>
      <c r="B8" s="200"/>
      <c r="C8" s="201">
        <v>0.17</v>
      </c>
      <c r="D8" s="201">
        <v>0.33</v>
      </c>
      <c r="E8" s="201">
        <v>0.11</v>
      </c>
      <c r="F8" s="201">
        <v>0.12</v>
      </c>
      <c r="G8" s="201">
        <v>0.11</v>
      </c>
      <c r="H8" s="201">
        <v>0.14000000000000001</v>
      </c>
      <c r="I8" s="201">
        <v>0.1</v>
      </c>
      <c r="J8" s="201">
        <v>0.24</v>
      </c>
      <c r="K8" s="201">
        <v>0.27</v>
      </c>
      <c r="L8" s="201">
        <v>0.16</v>
      </c>
      <c r="M8" s="201">
        <v>0.12</v>
      </c>
      <c r="N8" s="202" t="s">
        <v>506</v>
      </c>
      <c r="O8" s="44"/>
    </row>
    <row r="9" spans="1:15" x14ac:dyDescent="0.25">
      <c r="A9" s="194" t="s">
        <v>49</v>
      </c>
      <c r="B9" s="194"/>
      <c r="C9" s="198">
        <v>0.23</v>
      </c>
      <c r="D9" s="198">
        <v>0.12</v>
      </c>
      <c r="E9" s="198">
        <v>0.24</v>
      </c>
      <c r="F9" s="198">
        <v>0.28999999999999998</v>
      </c>
      <c r="G9" s="198">
        <v>0.27</v>
      </c>
      <c r="H9" s="198">
        <v>0.16</v>
      </c>
      <c r="I9" s="198">
        <v>0.19</v>
      </c>
      <c r="J9" s="198">
        <v>0.18</v>
      </c>
      <c r="K9" s="198">
        <v>0.15</v>
      </c>
      <c r="L9" s="198">
        <v>0.09</v>
      </c>
      <c r="M9" s="198">
        <v>0.13</v>
      </c>
      <c r="N9" s="196" t="s">
        <v>501</v>
      </c>
      <c r="O9" s="44"/>
    </row>
    <row r="10" spans="1:15" x14ac:dyDescent="0.25">
      <c r="A10" s="194" t="s">
        <v>49</v>
      </c>
      <c r="B10" s="194"/>
      <c r="C10" s="198">
        <v>0.24</v>
      </c>
      <c r="D10" s="198">
        <v>0.12</v>
      </c>
      <c r="E10" s="198">
        <v>0.23</v>
      </c>
      <c r="F10" s="198">
        <v>0.27</v>
      </c>
      <c r="G10" s="198">
        <v>0.32</v>
      </c>
      <c r="H10" s="198">
        <v>0.19</v>
      </c>
      <c r="I10" s="198">
        <v>0.22</v>
      </c>
      <c r="J10" s="198">
        <v>0.22</v>
      </c>
      <c r="K10" s="198">
        <v>0.18</v>
      </c>
      <c r="L10" s="198">
        <v>0.11</v>
      </c>
      <c r="M10" s="198">
        <v>0.16</v>
      </c>
      <c r="N10" s="196" t="s">
        <v>507</v>
      </c>
      <c r="O10" s="44" t="s">
        <v>502</v>
      </c>
    </row>
    <row r="11" spans="1:15" x14ac:dyDescent="0.25">
      <c r="A11" s="194" t="s">
        <v>49</v>
      </c>
      <c r="B11" s="194"/>
      <c r="C11" s="198">
        <v>0.19</v>
      </c>
      <c r="D11" s="198">
        <v>0.08</v>
      </c>
      <c r="E11" s="198">
        <v>0.2</v>
      </c>
      <c r="F11" s="198">
        <v>0.24</v>
      </c>
      <c r="G11" s="198">
        <v>0.22</v>
      </c>
      <c r="H11" s="198">
        <v>0.12</v>
      </c>
      <c r="I11" s="198">
        <v>0.14000000000000001</v>
      </c>
      <c r="J11" s="198">
        <v>0.14000000000000001</v>
      </c>
      <c r="K11" s="198">
        <v>0.1</v>
      </c>
      <c r="L11" s="198">
        <v>0.06</v>
      </c>
      <c r="M11" s="198">
        <v>0.09</v>
      </c>
      <c r="N11" s="196" t="s">
        <v>507</v>
      </c>
      <c r="O11" s="44"/>
    </row>
    <row r="12" spans="1:15" x14ac:dyDescent="0.25">
      <c r="A12" s="194" t="s">
        <v>49</v>
      </c>
      <c r="B12" s="194"/>
      <c r="C12" s="198">
        <v>0.21</v>
      </c>
      <c r="D12" s="198">
        <v>0.09</v>
      </c>
      <c r="E12" s="198">
        <v>0.25</v>
      </c>
      <c r="F12" s="198">
        <v>0.27</v>
      </c>
      <c r="G12" s="198">
        <v>0.27</v>
      </c>
      <c r="H12" s="198">
        <v>0.15</v>
      </c>
      <c r="I12" s="198">
        <v>0.18</v>
      </c>
      <c r="J12" s="198">
        <v>0.14000000000000001</v>
      </c>
      <c r="K12" s="198">
        <v>0.14000000000000001</v>
      </c>
      <c r="L12" s="198">
        <v>7.0000000000000007E-2</v>
      </c>
      <c r="M12" s="198">
        <v>0.1</v>
      </c>
      <c r="N12" s="196" t="s">
        <v>507</v>
      </c>
      <c r="O12" s="44"/>
    </row>
    <row r="13" spans="1:15" x14ac:dyDescent="0.25">
      <c r="A13" s="194" t="s">
        <v>49</v>
      </c>
      <c r="B13" s="194"/>
      <c r="C13" s="198">
        <v>0.22</v>
      </c>
      <c r="D13" s="198">
        <v>0.11</v>
      </c>
      <c r="E13" s="198">
        <v>0.23</v>
      </c>
      <c r="F13" s="198">
        <v>0.27</v>
      </c>
      <c r="G13" s="198">
        <v>0.24</v>
      </c>
      <c r="H13" s="198">
        <v>0.15</v>
      </c>
      <c r="I13" s="198">
        <v>0.17</v>
      </c>
      <c r="J13" s="198">
        <v>0.16</v>
      </c>
      <c r="K13" s="198">
        <v>0.13</v>
      </c>
      <c r="L13" s="198">
        <v>0.08</v>
      </c>
      <c r="M13" s="198">
        <v>0.12</v>
      </c>
      <c r="N13" s="196" t="s">
        <v>507</v>
      </c>
      <c r="O13" s="44"/>
    </row>
    <row r="14" spans="1:15" x14ac:dyDescent="0.25">
      <c r="A14" s="194" t="s">
        <v>49</v>
      </c>
      <c r="B14" s="194"/>
      <c r="C14" s="198">
        <v>0.34</v>
      </c>
      <c r="D14" s="198">
        <v>0.12</v>
      </c>
      <c r="E14" s="198">
        <v>0.22</v>
      </c>
      <c r="F14" s="198">
        <v>0.26</v>
      </c>
      <c r="G14" s="198">
        <v>0.39</v>
      </c>
      <c r="H14" s="198">
        <v>0.23</v>
      </c>
      <c r="I14" s="198">
        <v>0.2</v>
      </c>
      <c r="J14" s="198">
        <v>0.16</v>
      </c>
      <c r="K14" s="198">
        <v>0.21</v>
      </c>
      <c r="L14" s="198">
        <v>0.09</v>
      </c>
      <c r="M14" s="198">
        <v>0.11</v>
      </c>
      <c r="N14" s="196" t="s">
        <v>504</v>
      </c>
      <c r="O14" s="44" t="s">
        <v>502</v>
      </c>
    </row>
    <row r="15" spans="1:15" x14ac:dyDescent="0.25">
      <c r="A15" s="194" t="s">
        <v>49</v>
      </c>
      <c r="B15" s="194"/>
      <c r="C15" s="198">
        <v>0.22</v>
      </c>
      <c r="D15" s="198">
        <v>0.1</v>
      </c>
      <c r="E15" s="198">
        <v>0.22</v>
      </c>
      <c r="F15" s="198">
        <v>0.27</v>
      </c>
      <c r="G15" s="198">
        <v>0.25</v>
      </c>
      <c r="H15" s="198">
        <v>0.18</v>
      </c>
      <c r="I15" s="198">
        <v>0.17</v>
      </c>
      <c r="J15" s="198">
        <v>0.16</v>
      </c>
      <c r="K15" s="198">
        <v>0.16</v>
      </c>
      <c r="L15" s="198">
        <v>0.1</v>
      </c>
      <c r="M15" s="198">
        <v>0.11</v>
      </c>
      <c r="N15" s="196" t="s">
        <v>508</v>
      </c>
      <c r="O15" s="44"/>
    </row>
    <row r="16" spans="1:15" x14ac:dyDescent="0.25">
      <c r="A16" s="194" t="s">
        <v>49</v>
      </c>
      <c r="B16" s="194"/>
      <c r="C16" s="198">
        <v>0.23</v>
      </c>
      <c r="D16" s="198">
        <v>0.11</v>
      </c>
      <c r="E16" s="198">
        <v>0.24</v>
      </c>
      <c r="F16" s="198">
        <v>0.28999999999999998</v>
      </c>
      <c r="G16" s="198">
        <v>0.33</v>
      </c>
      <c r="H16" s="198">
        <v>0.16</v>
      </c>
      <c r="I16" s="198">
        <v>0.23</v>
      </c>
      <c r="J16" s="198">
        <v>0.17</v>
      </c>
      <c r="K16" s="198">
        <v>0.18</v>
      </c>
      <c r="L16" s="198">
        <v>0.08</v>
      </c>
      <c r="M16" s="198">
        <v>0.13</v>
      </c>
      <c r="N16" s="196" t="s">
        <v>508</v>
      </c>
      <c r="O16" s="44"/>
    </row>
    <row r="17" spans="1:15" x14ac:dyDescent="0.25">
      <c r="A17" s="194" t="s">
        <v>49</v>
      </c>
      <c r="B17" s="194"/>
      <c r="C17" s="198">
        <v>0.25</v>
      </c>
      <c r="D17" s="198">
        <v>0.14000000000000001</v>
      </c>
      <c r="E17" s="198">
        <v>0.27</v>
      </c>
      <c r="F17" s="198">
        <v>0.31</v>
      </c>
      <c r="G17" s="198">
        <v>0.28000000000000003</v>
      </c>
      <c r="H17" s="198">
        <v>0.18</v>
      </c>
      <c r="I17" s="198">
        <v>0.21</v>
      </c>
      <c r="J17" s="198">
        <v>0.2</v>
      </c>
      <c r="K17" s="198">
        <v>0.16</v>
      </c>
      <c r="L17" s="198">
        <v>0.11</v>
      </c>
      <c r="M17" s="198">
        <v>0.15</v>
      </c>
      <c r="N17" s="196" t="s">
        <v>505</v>
      </c>
      <c r="O17" s="44"/>
    </row>
    <row r="18" spans="1:15" x14ac:dyDescent="0.25">
      <c r="A18" s="194" t="s">
        <v>49</v>
      </c>
      <c r="B18" s="194"/>
      <c r="C18" s="198">
        <v>0.2</v>
      </c>
      <c r="D18" s="198">
        <v>0.09</v>
      </c>
      <c r="E18" s="198">
        <v>0.21</v>
      </c>
      <c r="F18" s="198">
        <v>0.26</v>
      </c>
      <c r="G18" s="198">
        <v>0.24</v>
      </c>
      <c r="H18" s="198">
        <v>0.13</v>
      </c>
      <c r="I18" s="198">
        <v>0.15</v>
      </c>
      <c r="J18" s="198">
        <v>0.15</v>
      </c>
      <c r="K18" s="198">
        <v>0.12</v>
      </c>
      <c r="L18" s="198">
        <v>0.06</v>
      </c>
      <c r="M18" s="198">
        <v>0.1</v>
      </c>
      <c r="N18" s="196" t="s">
        <v>505</v>
      </c>
      <c r="O18" s="44"/>
    </row>
    <row r="19" spans="1:15" x14ac:dyDescent="0.25">
      <c r="A19" s="194" t="s">
        <v>50</v>
      </c>
      <c r="B19" s="194"/>
      <c r="C19" s="198">
        <v>0.14000000000000001</v>
      </c>
      <c r="D19" s="198">
        <v>0.3</v>
      </c>
      <c r="E19" s="198">
        <v>0.11</v>
      </c>
      <c r="F19" s="198">
        <v>0.1</v>
      </c>
      <c r="G19" s="198">
        <v>0.26</v>
      </c>
      <c r="H19" s="198">
        <v>0.18</v>
      </c>
      <c r="I19" s="198">
        <v>0.09</v>
      </c>
      <c r="J19" s="198">
        <v>0.24</v>
      </c>
      <c r="K19" s="198">
        <v>0.32</v>
      </c>
      <c r="L19" s="198">
        <v>0.13</v>
      </c>
      <c r="M19" s="198">
        <v>7.0000000000000007E-2</v>
      </c>
      <c r="N19" s="196"/>
      <c r="O19" s="44" t="s">
        <v>509</v>
      </c>
    </row>
    <row r="20" spans="1:15" x14ac:dyDescent="0.25">
      <c r="A20" s="203" t="s">
        <v>50</v>
      </c>
      <c r="B20" s="204"/>
      <c r="C20" s="205">
        <v>0.14000000000000001</v>
      </c>
      <c r="D20" s="205">
        <v>0.31</v>
      </c>
      <c r="E20" s="205">
        <v>0.11</v>
      </c>
      <c r="F20" s="205">
        <v>0.1</v>
      </c>
      <c r="G20" s="205">
        <v>0.26</v>
      </c>
      <c r="H20" s="205">
        <v>0.16</v>
      </c>
      <c r="I20" s="205">
        <v>7.0000000000000007E-2</v>
      </c>
      <c r="J20" s="205">
        <v>0.25</v>
      </c>
      <c r="K20" s="205">
        <v>0.33</v>
      </c>
      <c r="L20" s="205">
        <v>0.12</v>
      </c>
      <c r="M20" s="205">
        <v>0.06</v>
      </c>
      <c r="N20" s="206" t="s">
        <v>510</v>
      </c>
      <c r="O20" s="44"/>
    </row>
    <row r="21" spans="1:15" x14ac:dyDescent="0.25">
      <c r="A21" s="194" t="s">
        <v>51</v>
      </c>
      <c r="B21" s="194"/>
      <c r="C21" s="198">
        <v>0.16</v>
      </c>
      <c r="D21" s="198">
        <v>0.3</v>
      </c>
      <c r="E21" s="198">
        <v>0.26</v>
      </c>
      <c r="F21" s="198">
        <v>0.3</v>
      </c>
      <c r="G21" s="198">
        <v>0.19</v>
      </c>
      <c r="H21" s="198">
        <v>0.13</v>
      </c>
      <c r="I21" s="198">
        <v>0.13</v>
      </c>
      <c r="J21" s="198">
        <v>0.21</v>
      </c>
      <c r="K21" s="198">
        <v>0.31</v>
      </c>
      <c r="L21" s="198">
        <v>0.24</v>
      </c>
      <c r="M21" s="198">
        <v>0.12</v>
      </c>
      <c r="N21" s="196" t="s">
        <v>511</v>
      </c>
      <c r="O21" s="44"/>
    </row>
    <row r="22" spans="1:15" x14ac:dyDescent="0.25">
      <c r="A22" s="194" t="s">
        <v>51</v>
      </c>
      <c r="B22" s="194"/>
      <c r="C22" s="198">
        <v>0.16</v>
      </c>
      <c r="D22" s="198">
        <v>0.35</v>
      </c>
      <c r="E22" s="198">
        <v>0.27</v>
      </c>
      <c r="F22" s="198">
        <v>0.32</v>
      </c>
      <c r="G22" s="198">
        <v>0.2</v>
      </c>
      <c r="H22" s="198">
        <v>0.14000000000000001</v>
      </c>
      <c r="I22" s="198">
        <v>0.14000000000000001</v>
      </c>
      <c r="J22" s="198">
        <v>0.22</v>
      </c>
      <c r="K22" s="198">
        <v>0.32</v>
      </c>
      <c r="L22" s="198">
        <v>0.25</v>
      </c>
      <c r="M22" s="198">
        <v>0.13</v>
      </c>
      <c r="N22" s="196" t="s">
        <v>512</v>
      </c>
      <c r="O22" s="44"/>
    </row>
    <row r="23" spans="1:15" x14ac:dyDescent="0.25">
      <c r="A23" s="194" t="s">
        <v>51</v>
      </c>
      <c r="B23" s="194"/>
      <c r="C23" s="198">
        <v>0.17</v>
      </c>
      <c r="D23" s="198">
        <v>0.38</v>
      </c>
      <c r="E23" s="198">
        <v>0.28000000000000003</v>
      </c>
      <c r="F23" s="198">
        <v>0.33</v>
      </c>
      <c r="G23" s="198">
        <v>0.21</v>
      </c>
      <c r="H23" s="198">
        <v>0.14000000000000001</v>
      </c>
      <c r="I23" s="198">
        <v>0.14000000000000001</v>
      </c>
      <c r="J23" s="198">
        <v>0.22</v>
      </c>
      <c r="K23" s="198">
        <v>0.35</v>
      </c>
      <c r="L23" s="198">
        <v>0.27</v>
      </c>
      <c r="M23" s="198">
        <v>0.12</v>
      </c>
      <c r="N23" s="196"/>
      <c r="O23" s="44" t="s">
        <v>509</v>
      </c>
    </row>
    <row r="24" spans="1:15" x14ac:dyDescent="0.25">
      <c r="A24" s="194" t="s">
        <v>52</v>
      </c>
      <c r="B24" s="194"/>
      <c r="C24" s="198">
        <v>0.03</v>
      </c>
      <c r="D24" s="198">
        <v>0.15</v>
      </c>
      <c r="E24" s="198">
        <v>0.08</v>
      </c>
      <c r="F24" s="198">
        <v>0.11</v>
      </c>
      <c r="G24" s="198">
        <v>0.12</v>
      </c>
      <c r="H24" s="198">
        <v>0.05</v>
      </c>
      <c r="I24" s="198">
        <v>0.04</v>
      </c>
      <c r="J24" s="198">
        <v>0.09</v>
      </c>
      <c r="K24" s="198">
        <v>0.18</v>
      </c>
      <c r="L24" s="198">
        <v>0.18</v>
      </c>
      <c r="M24" s="198">
        <v>0.08</v>
      </c>
      <c r="N24" s="196" t="s">
        <v>501</v>
      </c>
      <c r="O24" s="44"/>
    </row>
    <row r="25" spans="1:15" x14ac:dyDescent="0.25">
      <c r="A25" s="194" t="s">
        <v>52</v>
      </c>
      <c r="B25" s="194"/>
      <c r="C25" s="198">
        <v>0.06</v>
      </c>
      <c r="D25" s="198">
        <v>0.17</v>
      </c>
      <c r="E25" s="198">
        <v>0.1</v>
      </c>
      <c r="F25" s="198">
        <v>0.13</v>
      </c>
      <c r="G25" s="198">
        <v>0.18</v>
      </c>
      <c r="H25" s="198">
        <v>0.09</v>
      </c>
      <c r="I25" s="198">
        <v>0.06</v>
      </c>
      <c r="J25" s="198">
        <v>0.11</v>
      </c>
      <c r="K25" s="198">
        <v>0.22</v>
      </c>
      <c r="L25" s="198">
        <v>0.26</v>
      </c>
      <c r="M25" s="198">
        <v>0.1</v>
      </c>
      <c r="N25" s="196" t="s">
        <v>513</v>
      </c>
      <c r="O25" s="44"/>
    </row>
    <row r="26" spans="1:15" x14ac:dyDescent="0.25">
      <c r="A26" s="194" t="s">
        <v>52</v>
      </c>
      <c r="B26" s="194"/>
      <c r="C26" s="198">
        <v>0.04</v>
      </c>
      <c r="D26" s="198">
        <v>0.17</v>
      </c>
      <c r="E26" s="198">
        <v>0.09</v>
      </c>
      <c r="F26" s="198">
        <v>0.13</v>
      </c>
      <c r="G26" s="198">
        <v>0.14000000000000001</v>
      </c>
      <c r="H26" s="198">
        <v>0.09</v>
      </c>
      <c r="I26" s="198">
        <v>0.05</v>
      </c>
      <c r="J26" s="198">
        <v>0.1</v>
      </c>
      <c r="K26" s="198">
        <v>0.2</v>
      </c>
      <c r="L26" s="198">
        <v>0.21</v>
      </c>
      <c r="M26" s="198">
        <v>0.09</v>
      </c>
      <c r="N26" s="196" t="s">
        <v>513</v>
      </c>
      <c r="O26" s="44"/>
    </row>
    <row r="27" spans="1:15" x14ac:dyDescent="0.25">
      <c r="A27" s="194" t="s">
        <v>52</v>
      </c>
      <c r="B27" s="194"/>
      <c r="C27" s="198">
        <v>7.0000000000000007E-2</v>
      </c>
      <c r="D27" s="198">
        <v>0.19</v>
      </c>
      <c r="E27" s="198">
        <v>0.12</v>
      </c>
      <c r="F27" s="198">
        <v>0.15</v>
      </c>
      <c r="G27" s="198">
        <v>0.17</v>
      </c>
      <c r="H27" s="198">
        <v>0.09</v>
      </c>
      <c r="I27" s="198">
        <v>7.0000000000000007E-2</v>
      </c>
      <c r="J27" s="198">
        <v>0.13</v>
      </c>
      <c r="K27" s="198">
        <v>0.23</v>
      </c>
      <c r="L27" s="198">
        <v>0.24</v>
      </c>
      <c r="M27" s="198">
        <v>0.12</v>
      </c>
      <c r="N27" s="196" t="s">
        <v>504</v>
      </c>
      <c r="O27" s="44"/>
    </row>
    <row r="28" spans="1:15" x14ac:dyDescent="0.25">
      <c r="A28" s="194" t="s">
        <v>52</v>
      </c>
      <c r="B28" s="194"/>
      <c r="C28" s="198">
        <v>0.05</v>
      </c>
      <c r="D28" s="198">
        <v>0.19</v>
      </c>
      <c r="E28" s="198">
        <v>0.11</v>
      </c>
      <c r="F28" s="198">
        <v>0.14000000000000001</v>
      </c>
      <c r="G28" s="198">
        <v>0.21</v>
      </c>
      <c r="H28" s="198">
        <v>0.08</v>
      </c>
      <c r="I28" s="198">
        <v>0.06</v>
      </c>
      <c r="J28" s="198">
        <v>0.12</v>
      </c>
      <c r="K28" s="198">
        <v>0.22</v>
      </c>
      <c r="L28" s="198">
        <v>0.23</v>
      </c>
      <c r="M28" s="198">
        <v>0.11</v>
      </c>
      <c r="N28" s="196" t="s">
        <v>505</v>
      </c>
      <c r="O28" s="44"/>
    </row>
    <row r="29" spans="1:15" x14ac:dyDescent="0.25">
      <c r="A29" s="194" t="s">
        <v>52</v>
      </c>
      <c r="B29" s="194"/>
      <c r="C29" s="198">
        <v>7.0000000000000007E-2</v>
      </c>
      <c r="D29" s="198">
        <v>0.21</v>
      </c>
      <c r="E29" s="198">
        <v>0.12</v>
      </c>
      <c r="F29" s="198">
        <v>0.16</v>
      </c>
      <c r="G29" s="198">
        <v>0.35</v>
      </c>
      <c r="H29" s="198">
        <v>0.1</v>
      </c>
      <c r="I29" s="198">
        <v>0.08</v>
      </c>
      <c r="J29" s="198">
        <v>0.14000000000000001</v>
      </c>
      <c r="K29" s="198">
        <v>0.47</v>
      </c>
      <c r="L29" s="198">
        <v>0.25</v>
      </c>
      <c r="M29" s="198">
        <v>0.12</v>
      </c>
      <c r="N29" s="196" t="s">
        <v>514</v>
      </c>
      <c r="O29" s="44"/>
    </row>
    <row r="30" spans="1:15" x14ac:dyDescent="0.25">
      <c r="A30" s="194" t="s">
        <v>515</v>
      </c>
      <c r="B30" s="194"/>
      <c r="C30" s="198">
        <v>0.1</v>
      </c>
      <c r="D30" s="198">
        <v>0.23</v>
      </c>
      <c r="E30" s="198">
        <v>0.14000000000000001</v>
      </c>
      <c r="F30" s="198">
        <v>0.17</v>
      </c>
      <c r="G30" s="198">
        <v>0.14000000000000001</v>
      </c>
      <c r="H30" s="198">
        <v>0.13</v>
      </c>
      <c r="I30" s="198">
        <v>0.15</v>
      </c>
      <c r="J30" s="198">
        <v>0.19</v>
      </c>
      <c r="K30" s="198">
        <v>0.26</v>
      </c>
      <c r="L30" s="198">
        <v>0.11</v>
      </c>
      <c r="M30" s="198">
        <v>0.11</v>
      </c>
      <c r="N30" s="196" t="s">
        <v>504</v>
      </c>
      <c r="O30" s="44" t="s">
        <v>516</v>
      </c>
    </row>
    <row r="31" spans="1:15" x14ac:dyDescent="0.25">
      <c r="A31" s="194" t="s">
        <v>515</v>
      </c>
      <c r="B31" s="194"/>
      <c r="C31" s="198">
        <v>0.11</v>
      </c>
      <c r="D31" s="198">
        <v>0.23</v>
      </c>
      <c r="E31" s="198">
        <v>0.15</v>
      </c>
      <c r="F31" s="198">
        <v>0.18</v>
      </c>
      <c r="G31" s="198">
        <v>0.12</v>
      </c>
      <c r="H31" s="198">
        <v>0.11</v>
      </c>
      <c r="I31" s="198">
        <v>0.12</v>
      </c>
      <c r="J31" s="198">
        <v>0.2</v>
      </c>
      <c r="K31" s="198">
        <v>0.27</v>
      </c>
      <c r="L31" s="198">
        <v>0.12</v>
      </c>
      <c r="M31" s="198">
        <v>0.1</v>
      </c>
      <c r="N31" s="196" t="s">
        <v>508</v>
      </c>
      <c r="O31" s="44"/>
    </row>
    <row r="32" spans="1:15" x14ac:dyDescent="0.25">
      <c r="A32" s="194" t="s">
        <v>515</v>
      </c>
      <c r="B32" s="194"/>
      <c r="C32" s="198">
        <v>0.11</v>
      </c>
      <c r="D32" s="198">
        <v>0.23</v>
      </c>
      <c r="E32" s="198">
        <v>0.15</v>
      </c>
      <c r="F32" s="198">
        <v>0.18</v>
      </c>
      <c r="G32" s="198">
        <v>0.15</v>
      </c>
      <c r="H32" s="198">
        <v>0.1</v>
      </c>
      <c r="I32" s="198">
        <v>0.12</v>
      </c>
      <c r="J32" s="198">
        <v>0.19</v>
      </c>
      <c r="K32" s="198">
        <v>0.34</v>
      </c>
      <c r="L32" s="198">
        <v>0.12</v>
      </c>
      <c r="M32" s="198">
        <v>0.1</v>
      </c>
      <c r="N32" s="196" t="s">
        <v>508</v>
      </c>
      <c r="O32" s="44"/>
    </row>
    <row r="33" spans="1:28" x14ac:dyDescent="0.25">
      <c r="A33" s="194" t="s">
        <v>159</v>
      </c>
      <c r="B33" s="194"/>
      <c r="C33" s="198">
        <v>0.17</v>
      </c>
      <c r="D33" s="198">
        <v>0.3</v>
      </c>
      <c r="E33" s="198">
        <v>0.19</v>
      </c>
      <c r="F33" s="198">
        <v>0.15</v>
      </c>
      <c r="G33" s="198">
        <v>0.21</v>
      </c>
      <c r="H33" s="198">
        <v>0.2</v>
      </c>
      <c r="I33" s="198">
        <v>0.19</v>
      </c>
      <c r="J33" s="198">
        <v>0.21</v>
      </c>
      <c r="K33" s="198">
        <v>0.23</v>
      </c>
      <c r="L33" s="198">
        <v>0.18</v>
      </c>
      <c r="M33" s="198">
        <v>0.13</v>
      </c>
      <c r="N33" s="196"/>
      <c r="O33" s="44" t="s">
        <v>509</v>
      </c>
    </row>
    <row r="34" spans="1:28" x14ac:dyDescent="0.25">
      <c r="A34" s="194" t="s">
        <v>54</v>
      </c>
      <c r="B34" s="194"/>
      <c r="C34" s="198">
        <v>0.15</v>
      </c>
      <c r="D34" s="198">
        <v>0.27</v>
      </c>
      <c r="E34" s="198">
        <v>0.11</v>
      </c>
      <c r="F34" s="198">
        <v>0.14000000000000001</v>
      </c>
      <c r="G34" s="198">
        <v>0.1</v>
      </c>
      <c r="H34" s="198">
        <v>0.08</v>
      </c>
      <c r="I34" s="198">
        <v>0.12</v>
      </c>
      <c r="J34" s="198">
        <v>0.28999999999999998</v>
      </c>
      <c r="K34" s="198">
        <v>0.38</v>
      </c>
      <c r="L34" s="198">
        <v>0.26</v>
      </c>
      <c r="M34" s="198">
        <v>0.09</v>
      </c>
      <c r="N34" s="196" t="s">
        <v>501</v>
      </c>
      <c r="O34" s="44"/>
    </row>
    <row r="35" spans="1:28" x14ac:dyDescent="0.25">
      <c r="A35" s="194" t="s">
        <v>54</v>
      </c>
      <c r="B35" s="194"/>
      <c r="C35" s="198">
        <v>0.19</v>
      </c>
      <c r="D35" s="198">
        <v>0.33</v>
      </c>
      <c r="E35" s="198">
        <v>0.15</v>
      </c>
      <c r="F35" s="198">
        <v>0.19</v>
      </c>
      <c r="G35" s="198">
        <v>0.16</v>
      </c>
      <c r="H35" s="198">
        <v>0.11</v>
      </c>
      <c r="I35" s="198">
        <v>0.16</v>
      </c>
      <c r="J35" s="198">
        <v>0.34</v>
      </c>
      <c r="K35" s="198">
        <v>0.44</v>
      </c>
      <c r="L35" s="198">
        <v>0.31</v>
      </c>
      <c r="M35" s="198">
        <v>0.12</v>
      </c>
      <c r="N35" s="196" t="s">
        <v>503</v>
      </c>
      <c r="O35" s="44"/>
    </row>
    <row r="36" spans="1:28" x14ac:dyDescent="0.25">
      <c r="A36" s="194" t="s">
        <v>54</v>
      </c>
      <c r="B36" s="194"/>
      <c r="C36" s="198">
        <v>0.2</v>
      </c>
      <c r="D36" s="198">
        <v>0.35</v>
      </c>
      <c r="E36" s="198">
        <v>0.15</v>
      </c>
      <c r="F36" s="198">
        <v>0.19</v>
      </c>
      <c r="G36" s="198">
        <v>0.14000000000000001</v>
      </c>
      <c r="H36" s="198">
        <v>0.12</v>
      </c>
      <c r="I36" s="198">
        <v>0.17</v>
      </c>
      <c r="J36" s="198">
        <v>0.36</v>
      </c>
      <c r="K36" s="198">
        <v>0.46</v>
      </c>
      <c r="L36" s="198">
        <v>0.32</v>
      </c>
      <c r="M36" s="198">
        <v>0.13</v>
      </c>
      <c r="N36" s="196" t="s">
        <v>504</v>
      </c>
      <c r="O36" s="44"/>
    </row>
    <row r="37" spans="1:28" x14ac:dyDescent="0.25">
      <c r="A37" s="194" t="s">
        <v>54</v>
      </c>
      <c r="B37" s="194"/>
      <c r="C37" s="198">
        <v>0.19</v>
      </c>
      <c r="D37" s="198">
        <v>0.32</v>
      </c>
      <c r="E37" s="198">
        <v>0.13</v>
      </c>
      <c r="F37" s="198">
        <v>0.17</v>
      </c>
      <c r="G37" s="198">
        <v>0.13</v>
      </c>
      <c r="H37" s="198">
        <v>0.12</v>
      </c>
      <c r="I37" s="198">
        <v>0.17</v>
      </c>
      <c r="J37" s="198">
        <v>0.34</v>
      </c>
      <c r="K37" s="198">
        <v>0.52</v>
      </c>
      <c r="L37" s="198">
        <v>0.35</v>
      </c>
      <c r="M37" s="198">
        <v>0.12</v>
      </c>
      <c r="N37" s="196"/>
      <c r="O37" s="44" t="s">
        <v>509</v>
      </c>
    </row>
    <row r="38" spans="1:28" x14ac:dyDescent="0.25">
      <c r="A38" s="199" t="s">
        <v>55</v>
      </c>
      <c r="B38" s="200"/>
      <c r="C38" s="201">
        <v>0.09</v>
      </c>
      <c r="D38" s="201">
        <v>0.26</v>
      </c>
      <c r="E38" s="201">
        <v>0.14000000000000001</v>
      </c>
      <c r="F38" s="201">
        <v>0.11</v>
      </c>
      <c r="G38" s="201">
        <v>0.13</v>
      </c>
      <c r="H38" s="201">
        <v>0.08</v>
      </c>
      <c r="I38" s="201">
        <v>0.05</v>
      </c>
      <c r="J38" s="201">
        <v>0.18</v>
      </c>
      <c r="K38" s="201">
        <v>0.22</v>
      </c>
      <c r="L38" s="201">
        <v>0.16</v>
      </c>
      <c r="M38" s="201">
        <v>0.05</v>
      </c>
      <c r="N38" s="202" t="s">
        <v>501</v>
      </c>
      <c r="O38" s="44"/>
    </row>
    <row r="39" spans="1:28" x14ac:dyDescent="0.25">
      <c r="A39" s="194" t="s">
        <v>55</v>
      </c>
      <c r="B39" s="194"/>
      <c r="C39" s="198">
        <v>0.1</v>
      </c>
      <c r="D39" s="198">
        <v>0.26</v>
      </c>
      <c r="E39" s="198">
        <v>0.14000000000000001</v>
      </c>
      <c r="F39" s="198">
        <v>0.11</v>
      </c>
      <c r="G39" s="198">
        <v>0.13</v>
      </c>
      <c r="H39" s="198">
        <v>0.08</v>
      </c>
      <c r="I39" s="198">
        <v>0.05</v>
      </c>
      <c r="J39" s="198">
        <v>0.18</v>
      </c>
      <c r="K39" s="198">
        <v>0.22</v>
      </c>
      <c r="L39" s="198">
        <v>0.16</v>
      </c>
      <c r="M39" s="198">
        <v>0.05</v>
      </c>
      <c r="N39" s="196" t="s">
        <v>501</v>
      </c>
      <c r="O39" s="44"/>
    </row>
    <row r="40" spans="1:28" x14ac:dyDescent="0.25">
      <c r="A40" s="194" t="s">
        <v>55</v>
      </c>
      <c r="B40" s="194"/>
      <c r="C40" s="198">
        <v>0.13</v>
      </c>
      <c r="D40" s="198">
        <v>0.31</v>
      </c>
      <c r="E40" s="198">
        <v>0.17</v>
      </c>
      <c r="F40" s="198">
        <v>0.15</v>
      </c>
      <c r="G40" s="198">
        <v>0.16</v>
      </c>
      <c r="H40" s="198">
        <v>0.11</v>
      </c>
      <c r="I40" s="198">
        <v>0.08</v>
      </c>
      <c r="J40" s="198">
        <v>0.22</v>
      </c>
      <c r="K40" s="198">
        <v>0.27</v>
      </c>
      <c r="L40" s="198">
        <v>0.2</v>
      </c>
      <c r="M40" s="198">
        <v>7.0000000000000007E-2</v>
      </c>
      <c r="N40" s="196" t="s">
        <v>508</v>
      </c>
      <c r="O40" s="44"/>
    </row>
    <row r="41" spans="1:28" x14ac:dyDescent="0.25">
      <c r="A41" s="194" t="s">
        <v>55</v>
      </c>
      <c r="B41" s="194"/>
      <c r="C41" s="198">
        <v>0.12</v>
      </c>
      <c r="D41" s="198">
        <v>0.3</v>
      </c>
      <c r="E41" s="198">
        <v>0.17</v>
      </c>
      <c r="F41" s="198">
        <v>0.13</v>
      </c>
      <c r="G41" s="198">
        <v>0.16</v>
      </c>
      <c r="H41" s="198">
        <v>0.1</v>
      </c>
      <c r="I41" s="198">
        <v>7.0000000000000007E-2</v>
      </c>
      <c r="J41" s="198">
        <v>0.22</v>
      </c>
      <c r="K41" s="198">
        <v>0.27</v>
      </c>
      <c r="L41" s="198">
        <v>0.19</v>
      </c>
      <c r="M41" s="198">
        <v>7.0000000000000007E-2</v>
      </c>
      <c r="N41" s="196" t="s">
        <v>508</v>
      </c>
      <c r="O41" s="44"/>
    </row>
    <row r="42" spans="1:28" x14ac:dyDescent="0.25">
      <c r="A42" s="194" t="s">
        <v>55</v>
      </c>
      <c r="B42" s="194"/>
      <c r="C42" s="198">
        <v>0.1</v>
      </c>
      <c r="D42" s="198">
        <v>0.28999999999999998</v>
      </c>
      <c r="E42" s="198">
        <v>0.15</v>
      </c>
      <c r="F42" s="198">
        <v>0.12</v>
      </c>
      <c r="G42" s="198">
        <v>0.19</v>
      </c>
      <c r="H42" s="198">
        <v>0.12</v>
      </c>
      <c r="I42" s="198">
        <v>0.08</v>
      </c>
      <c r="J42" s="198">
        <v>0.2</v>
      </c>
      <c r="K42" s="198">
        <v>0.32</v>
      </c>
      <c r="L42" s="198">
        <v>0.18</v>
      </c>
      <c r="M42" s="198">
        <v>0.05</v>
      </c>
      <c r="N42" s="196" t="s">
        <v>505</v>
      </c>
      <c r="O42" s="44" t="s">
        <v>516</v>
      </c>
    </row>
    <row r="43" spans="1:28" x14ac:dyDescent="0.25">
      <c r="A43" s="194" t="s">
        <v>55</v>
      </c>
      <c r="B43" s="194"/>
      <c r="C43" s="198">
        <v>0.16</v>
      </c>
      <c r="D43" s="198">
        <v>0.4</v>
      </c>
      <c r="E43" s="198">
        <v>0.22</v>
      </c>
      <c r="F43" s="198">
        <v>0.18</v>
      </c>
      <c r="G43" s="198">
        <v>0.14000000000000001</v>
      </c>
      <c r="H43" s="198">
        <v>0.14000000000000001</v>
      </c>
      <c r="I43" s="198">
        <v>0.1</v>
      </c>
      <c r="J43" s="198">
        <v>0.2</v>
      </c>
      <c r="K43" s="198">
        <v>0.34</v>
      </c>
      <c r="L43" s="198">
        <v>0.18</v>
      </c>
      <c r="M43" s="198">
        <v>0.05</v>
      </c>
      <c r="N43" s="196" t="s">
        <v>505</v>
      </c>
      <c r="O43" s="44" t="s">
        <v>502</v>
      </c>
    </row>
    <row r="44" spans="1:28" x14ac:dyDescent="0.25">
      <c r="A44" s="194" t="s">
        <v>55</v>
      </c>
      <c r="B44" s="194"/>
      <c r="C44" s="198">
        <v>0.14000000000000001</v>
      </c>
      <c r="D44" s="198">
        <v>0.35</v>
      </c>
      <c r="E44" s="198">
        <v>0.19</v>
      </c>
      <c r="F44" s="198">
        <v>0.16</v>
      </c>
      <c r="G44" s="198">
        <v>0.38</v>
      </c>
      <c r="H44" s="198">
        <v>0.12</v>
      </c>
      <c r="I44" s="198">
        <v>0.09</v>
      </c>
      <c r="J44" s="198">
        <v>0.25</v>
      </c>
      <c r="K44" s="198">
        <v>0.28999999999999998</v>
      </c>
      <c r="L44" s="198">
        <v>0.31</v>
      </c>
      <c r="M44" s="198">
        <v>7.0000000000000007E-2</v>
      </c>
      <c r="N44" s="196" t="s">
        <v>506</v>
      </c>
      <c r="O44" s="44" t="s">
        <v>516</v>
      </c>
    </row>
    <row r="45" spans="1:28" x14ac:dyDescent="0.25">
      <c r="A45" s="194" t="s">
        <v>55</v>
      </c>
      <c r="B45" s="194"/>
      <c r="C45" s="198">
        <v>0.13</v>
      </c>
      <c r="D45" s="198">
        <v>0.31</v>
      </c>
      <c r="E45" s="198">
        <v>0.18</v>
      </c>
      <c r="F45" s="198">
        <v>0.15</v>
      </c>
      <c r="G45" s="198">
        <v>0.18</v>
      </c>
      <c r="H45" s="198">
        <v>0.13</v>
      </c>
      <c r="I45" s="198">
        <v>0.1</v>
      </c>
      <c r="J45" s="198">
        <v>0.23</v>
      </c>
      <c r="K45" s="198">
        <v>0.27</v>
      </c>
      <c r="L45" s="198">
        <v>0.21</v>
      </c>
      <c r="M45" s="198">
        <v>0.08</v>
      </c>
      <c r="N45" s="196"/>
      <c r="O45" s="44" t="s">
        <v>509</v>
      </c>
      <c r="AB45" s="207"/>
    </row>
    <row r="46" spans="1:28" x14ac:dyDescent="0.25">
      <c r="A46" s="194" t="s">
        <v>57</v>
      </c>
      <c r="B46" s="194"/>
      <c r="C46" s="198">
        <v>0.23</v>
      </c>
      <c r="D46" s="198">
        <v>0.26</v>
      </c>
      <c r="E46" s="198">
        <v>0.14000000000000001</v>
      </c>
      <c r="F46" s="198">
        <v>0.17</v>
      </c>
      <c r="G46" s="198">
        <v>0.19</v>
      </c>
      <c r="H46" s="198">
        <v>0.19</v>
      </c>
      <c r="I46" s="198">
        <v>0.25</v>
      </c>
      <c r="J46" s="198">
        <v>0.2</v>
      </c>
      <c r="K46" s="198">
        <v>0.39</v>
      </c>
      <c r="L46" s="198">
        <v>0.16</v>
      </c>
      <c r="M46" s="198">
        <v>0.16</v>
      </c>
      <c r="N46" s="196"/>
      <c r="O46" s="44" t="s">
        <v>509</v>
      </c>
    </row>
    <row r="47" spans="1:28" x14ac:dyDescent="0.25">
      <c r="A47" s="199" t="s">
        <v>58</v>
      </c>
      <c r="B47" s="200"/>
      <c r="C47" s="201">
        <v>0.14000000000000001</v>
      </c>
      <c r="D47" s="201">
        <v>0.25</v>
      </c>
      <c r="E47" s="201">
        <v>0.09</v>
      </c>
      <c r="F47" s="201">
        <v>0.1</v>
      </c>
      <c r="G47" s="201">
        <v>0.11</v>
      </c>
      <c r="H47" s="201">
        <v>0.08</v>
      </c>
      <c r="I47" s="201">
        <v>0.09</v>
      </c>
      <c r="J47" s="201">
        <v>0.18</v>
      </c>
      <c r="K47" s="201">
        <v>0.25</v>
      </c>
      <c r="L47" s="201">
        <v>0.12</v>
      </c>
      <c r="M47" s="201">
        <v>7.0000000000000007E-2</v>
      </c>
      <c r="N47" s="202" t="s">
        <v>501</v>
      </c>
      <c r="O47" s="44"/>
    </row>
    <row r="48" spans="1:28" x14ac:dyDescent="0.25">
      <c r="A48" s="194" t="s">
        <v>58</v>
      </c>
      <c r="B48" s="194"/>
      <c r="C48" s="198">
        <v>0.15</v>
      </c>
      <c r="D48" s="198">
        <v>0.34</v>
      </c>
      <c r="E48" s="198">
        <v>0.09</v>
      </c>
      <c r="F48" s="198">
        <v>0.1</v>
      </c>
      <c r="G48" s="198">
        <v>0.11</v>
      </c>
      <c r="H48" s="198">
        <v>0.08</v>
      </c>
      <c r="I48" s="198">
        <v>0.09</v>
      </c>
      <c r="J48" s="198">
        <v>0.19</v>
      </c>
      <c r="K48" s="198">
        <v>0.26</v>
      </c>
      <c r="L48" s="198">
        <v>0.12</v>
      </c>
      <c r="M48" s="198">
        <v>7.0000000000000007E-2</v>
      </c>
      <c r="N48" s="196" t="s">
        <v>503</v>
      </c>
      <c r="O48" s="44"/>
    </row>
    <row r="49" spans="1:15" x14ac:dyDescent="0.25">
      <c r="A49" s="194" t="s">
        <v>59</v>
      </c>
      <c r="B49" s="194"/>
      <c r="C49" s="198">
        <v>0.15</v>
      </c>
      <c r="D49" s="198">
        <v>0.21</v>
      </c>
      <c r="E49" s="198">
        <v>0.44</v>
      </c>
      <c r="F49" s="198">
        <v>0.4</v>
      </c>
      <c r="G49" s="198">
        <v>0.21</v>
      </c>
      <c r="H49" s="198">
        <v>0.11</v>
      </c>
      <c r="I49" s="198">
        <v>0.09</v>
      </c>
      <c r="J49" s="198">
        <v>0.28000000000000003</v>
      </c>
      <c r="K49" s="198">
        <v>0.19</v>
      </c>
      <c r="L49" s="198">
        <v>0.3</v>
      </c>
      <c r="M49" s="198">
        <v>7.0000000000000007E-2</v>
      </c>
      <c r="N49" s="196" t="s">
        <v>501</v>
      </c>
      <c r="O49" s="44"/>
    </row>
    <row r="50" spans="1:15" x14ac:dyDescent="0.25">
      <c r="A50" s="194" t="s">
        <v>59</v>
      </c>
      <c r="B50" s="194"/>
      <c r="C50" s="198">
        <v>0.13</v>
      </c>
      <c r="D50" s="198">
        <v>0.19</v>
      </c>
      <c r="E50" s="198">
        <v>0.44</v>
      </c>
      <c r="F50" s="198">
        <v>0.4</v>
      </c>
      <c r="G50" s="198">
        <v>0.19</v>
      </c>
      <c r="H50" s="198">
        <v>0.09</v>
      </c>
      <c r="I50" s="198">
        <v>7.0000000000000007E-2</v>
      </c>
      <c r="J50" s="198">
        <v>0.27</v>
      </c>
      <c r="K50" s="198">
        <v>0.16</v>
      </c>
      <c r="L50" s="198">
        <v>0.3</v>
      </c>
      <c r="M50" s="198">
        <v>0.05</v>
      </c>
      <c r="N50" s="196" t="s">
        <v>507</v>
      </c>
      <c r="O50" s="44"/>
    </row>
    <row r="51" spans="1:15" x14ac:dyDescent="0.25">
      <c r="A51" s="194" t="s">
        <v>59</v>
      </c>
      <c r="B51" s="194"/>
      <c r="C51" s="198">
        <v>0.17</v>
      </c>
      <c r="D51" s="198">
        <v>0.23</v>
      </c>
      <c r="E51" s="198">
        <v>0.49</v>
      </c>
      <c r="F51" s="198">
        <v>0.44</v>
      </c>
      <c r="G51" s="198">
        <v>0.23</v>
      </c>
      <c r="H51" s="198">
        <v>0.12</v>
      </c>
      <c r="I51" s="198">
        <v>0.1</v>
      </c>
      <c r="J51" s="198">
        <v>0.31</v>
      </c>
      <c r="K51" s="198">
        <v>0.21</v>
      </c>
      <c r="L51" s="198">
        <v>0.33</v>
      </c>
      <c r="M51" s="198">
        <v>0.08</v>
      </c>
      <c r="N51" s="196" t="s">
        <v>504</v>
      </c>
      <c r="O51" s="44"/>
    </row>
    <row r="52" spans="1:15" x14ac:dyDescent="0.25">
      <c r="A52" s="194" t="s">
        <v>59</v>
      </c>
      <c r="B52" s="194"/>
      <c r="C52" s="198">
        <v>0.15</v>
      </c>
      <c r="D52" s="198">
        <v>0.21</v>
      </c>
      <c r="E52" s="198">
        <v>0.47</v>
      </c>
      <c r="F52" s="198">
        <v>0.43</v>
      </c>
      <c r="G52" s="198">
        <v>0.21</v>
      </c>
      <c r="H52" s="198">
        <v>0.1</v>
      </c>
      <c r="I52" s="198">
        <v>0.08</v>
      </c>
      <c r="J52" s="198">
        <v>0.3</v>
      </c>
      <c r="K52" s="198">
        <v>0.19</v>
      </c>
      <c r="L52" s="198">
        <v>0.32</v>
      </c>
      <c r="M52" s="198">
        <v>0.06</v>
      </c>
      <c r="N52" s="196" t="s">
        <v>508</v>
      </c>
      <c r="O52" s="44"/>
    </row>
    <row r="53" spans="1:15" x14ac:dyDescent="0.25">
      <c r="A53" s="194" t="s">
        <v>59</v>
      </c>
      <c r="B53" s="194"/>
      <c r="C53" s="198">
        <v>0.16</v>
      </c>
      <c r="D53" s="198">
        <v>0.23</v>
      </c>
      <c r="E53" s="198">
        <v>0.49</v>
      </c>
      <c r="F53" s="198">
        <v>0.45</v>
      </c>
      <c r="G53" s="198">
        <v>0.23</v>
      </c>
      <c r="H53" s="198">
        <v>0.13</v>
      </c>
      <c r="I53" s="198">
        <v>0.1</v>
      </c>
      <c r="J53" s="198">
        <v>0.31</v>
      </c>
      <c r="K53" s="198">
        <v>0.22</v>
      </c>
      <c r="L53" s="198">
        <v>0.35</v>
      </c>
      <c r="M53" s="198">
        <v>0.09</v>
      </c>
      <c r="N53" s="196"/>
      <c r="O53" s="44" t="s">
        <v>509</v>
      </c>
    </row>
    <row r="54" spans="1:15" x14ac:dyDescent="0.25">
      <c r="A54" s="194" t="s">
        <v>60</v>
      </c>
      <c r="B54" s="194"/>
      <c r="C54" s="198">
        <v>0.1</v>
      </c>
      <c r="D54" s="198">
        <v>0.2</v>
      </c>
      <c r="E54" s="198">
        <v>0.19</v>
      </c>
      <c r="F54" s="198">
        <v>0.21</v>
      </c>
      <c r="G54" s="198">
        <v>0.15</v>
      </c>
      <c r="H54" s="198">
        <v>7.0000000000000007E-2</v>
      </c>
      <c r="I54" s="198">
        <v>0.08</v>
      </c>
      <c r="J54" s="198">
        <v>0.19</v>
      </c>
      <c r="K54" s="198">
        <v>0.24</v>
      </c>
      <c r="L54" s="198">
        <v>0.19</v>
      </c>
      <c r="M54" s="198">
        <v>0.08</v>
      </c>
      <c r="N54" s="196" t="s">
        <v>501</v>
      </c>
      <c r="O54" s="44"/>
    </row>
    <row r="55" spans="1:15" x14ac:dyDescent="0.25">
      <c r="A55" s="194" t="s">
        <v>60</v>
      </c>
      <c r="B55" s="194"/>
      <c r="C55" s="198">
        <v>0.14000000000000001</v>
      </c>
      <c r="D55" s="198">
        <v>0.26</v>
      </c>
      <c r="E55" s="198">
        <v>0.25</v>
      </c>
      <c r="F55" s="198">
        <v>0.27</v>
      </c>
      <c r="G55" s="198">
        <v>0.2</v>
      </c>
      <c r="H55" s="198">
        <v>0.1</v>
      </c>
      <c r="I55" s="198">
        <v>0.12</v>
      </c>
      <c r="J55" s="198">
        <v>0.24</v>
      </c>
      <c r="K55" s="198">
        <v>0.32</v>
      </c>
      <c r="L55" s="198">
        <v>0.24</v>
      </c>
      <c r="M55" s="198">
        <v>0.12</v>
      </c>
      <c r="N55" s="196" t="s">
        <v>504</v>
      </c>
      <c r="O55" s="44"/>
    </row>
    <row r="56" spans="1:15" x14ac:dyDescent="0.25">
      <c r="A56" s="194" t="s">
        <v>60</v>
      </c>
      <c r="B56" s="194"/>
      <c r="C56" s="198">
        <v>0.13</v>
      </c>
      <c r="D56" s="198">
        <v>0.26</v>
      </c>
      <c r="E56" s="198">
        <v>0.24</v>
      </c>
      <c r="F56" s="198">
        <v>0.27</v>
      </c>
      <c r="G56" s="198">
        <v>0.2</v>
      </c>
      <c r="H56" s="198">
        <v>0.1</v>
      </c>
      <c r="I56" s="198">
        <v>0.12</v>
      </c>
      <c r="J56" s="198">
        <v>0.24</v>
      </c>
      <c r="K56" s="198">
        <v>0.3</v>
      </c>
      <c r="L56" s="198">
        <v>0.24</v>
      </c>
      <c r="M56" s="198">
        <v>0.11</v>
      </c>
      <c r="N56" s="196" t="s">
        <v>514</v>
      </c>
      <c r="O56" s="44"/>
    </row>
    <row r="57" spans="1:15" x14ac:dyDescent="0.25">
      <c r="A57" s="194" t="s">
        <v>62</v>
      </c>
      <c r="B57" s="194"/>
      <c r="C57" s="198">
        <v>0.23</v>
      </c>
      <c r="D57" s="198">
        <v>0.31</v>
      </c>
      <c r="E57" s="198">
        <v>0.18</v>
      </c>
      <c r="F57" s="198">
        <v>0.13</v>
      </c>
      <c r="G57" s="198">
        <v>0.27</v>
      </c>
      <c r="H57" s="198">
        <v>0.13</v>
      </c>
      <c r="I57" s="198">
        <v>0.11</v>
      </c>
      <c r="J57" s="198">
        <v>0.18</v>
      </c>
      <c r="K57" s="198">
        <v>0.33</v>
      </c>
      <c r="L57" s="198">
        <v>0.24</v>
      </c>
      <c r="M57" s="198">
        <v>0.1</v>
      </c>
      <c r="N57" s="196" t="s">
        <v>503</v>
      </c>
      <c r="O57" s="44"/>
    </row>
    <row r="58" spans="1:15" x14ac:dyDescent="0.25">
      <c r="A58" s="194" t="s">
        <v>62</v>
      </c>
      <c r="B58" s="194"/>
      <c r="C58" s="198">
        <v>0.28999999999999998</v>
      </c>
      <c r="D58" s="198">
        <v>0.36</v>
      </c>
      <c r="E58" s="198">
        <v>0.21</v>
      </c>
      <c r="F58" s="198">
        <v>0.16</v>
      </c>
      <c r="G58" s="198">
        <v>0.34</v>
      </c>
      <c r="H58" s="198">
        <v>0.17</v>
      </c>
      <c r="I58" s="198">
        <v>0.16</v>
      </c>
      <c r="J58" s="198">
        <v>0.21</v>
      </c>
      <c r="K58" s="198">
        <v>0.4</v>
      </c>
      <c r="L58" s="198">
        <v>0.28999999999999998</v>
      </c>
      <c r="M58" s="198">
        <v>0.14000000000000001</v>
      </c>
      <c r="N58" s="196"/>
      <c r="O58" s="44" t="s">
        <v>509</v>
      </c>
    </row>
    <row r="59" spans="1:15" x14ac:dyDescent="0.25">
      <c r="A59" s="199" t="s">
        <v>62</v>
      </c>
      <c r="B59" s="200"/>
      <c r="C59" s="201">
        <v>0.27</v>
      </c>
      <c r="D59" s="201">
        <v>0.36</v>
      </c>
      <c r="E59" s="201">
        <v>0.2</v>
      </c>
      <c r="F59" s="201">
        <v>0.14000000000000001</v>
      </c>
      <c r="G59" s="201">
        <v>0.31</v>
      </c>
      <c r="H59" s="201">
        <v>0.14000000000000001</v>
      </c>
      <c r="I59" s="201">
        <v>0.13</v>
      </c>
      <c r="J59" s="201">
        <v>0.21</v>
      </c>
      <c r="K59" s="201">
        <v>0.39</v>
      </c>
      <c r="L59" s="201">
        <v>0.27</v>
      </c>
      <c r="M59" s="201">
        <v>0.11</v>
      </c>
      <c r="N59" s="202" t="s">
        <v>403</v>
      </c>
      <c r="O59" s="44"/>
    </row>
    <row r="60" spans="1:15" x14ac:dyDescent="0.25">
      <c r="A60" s="194" t="s">
        <v>125</v>
      </c>
      <c r="B60" s="194"/>
      <c r="C60" s="198">
        <v>0.13</v>
      </c>
      <c r="D60" s="198">
        <v>0.26</v>
      </c>
      <c r="E60" s="198">
        <v>0.2</v>
      </c>
      <c r="F60" s="198">
        <v>0.23</v>
      </c>
      <c r="G60" s="198">
        <v>0.18</v>
      </c>
      <c r="H60" s="198">
        <v>0.15</v>
      </c>
      <c r="I60" s="198">
        <v>0.17</v>
      </c>
      <c r="J60" s="198">
        <v>0.23</v>
      </c>
      <c r="K60" s="198">
        <v>0.26</v>
      </c>
      <c r="L60" s="198">
        <v>0.17</v>
      </c>
      <c r="M60" s="198">
        <v>0.08</v>
      </c>
      <c r="N60" s="196" t="s">
        <v>501</v>
      </c>
      <c r="O60" s="44"/>
    </row>
    <row r="61" spans="1:15" x14ac:dyDescent="0.25">
      <c r="A61" s="194" t="s">
        <v>125</v>
      </c>
      <c r="B61" s="194"/>
      <c r="C61" s="198">
        <v>0.19</v>
      </c>
      <c r="D61" s="198">
        <v>0.38</v>
      </c>
      <c r="E61" s="198">
        <v>0.33</v>
      </c>
      <c r="F61" s="198">
        <v>0.31</v>
      </c>
      <c r="G61" s="198">
        <v>0.27</v>
      </c>
      <c r="H61" s="198">
        <v>0.24</v>
      </c>
      <c r="I61" s="198">
        <v>0.26</v>
      </c>
      <c r="J61" s="198">
        <v>0.34</v>
      </c>
      <c r="K61" s="198">
        <v>0.39</v>
      </c>
      <c r="L61" s="198">
        <v>0.26</v>
      </c>
      <c r="M61" s="198">
        <v>0.14000000000000001</v>
      </c>
      <c r="N61" s="196" t="s">
        <v>517</v>
      </c>
      <c r="O61" s="44"/>
    </row>
    <row r="62" spans="1:15" x14ac:dyDescent="0.25">
      <c r="A62" s="194" t="s">
        <v>125</v>
      </c>
      <c r="B62" s="194"/>
      <c r="C62" s="198">
        <v>7.0000000000000007E-2</v>
      </c>
      <c r="D62" s="198">
        <v>0.21</v>
      </c>
      <c r="E62" s="198">
        <v>0.13</v>
      </c>
      <c r="F62" s="198">
        <v>0.16</v>
      </c>
      <c r="G62" s="198">
        <v>0.21</v>
      </c>
      <c r="H62" s="198">
        <v>0.11</v>
      </c>
      <c r="I62" s="198">
        <v>0.09</v>
      </c>
      <c r="J62" s="198">
        <v>0.14000000000000001</v>
      </c>
      <c r="K62" s="198">
        <v>0.27</v>
      </c>
      <c r="L62" s="198">
        <v>0.28000000000000003</v>
      </c>
      <c r="M62" s="198">
        <v>0.13</v>
      </c>
      <c r="N62" s="196"/>
      <c r="O62" s="44" t="s">
        <v>509</v>
      </c>
    </row>
    <row r="63" spans="1:15" x14ac:dyDescent="0.25">
      <c r="A63" s="194" t="s">
        <v>63</v>
      </c>
      <c r="B63" s="194"/>
      <c r="C63" s="198">
        <v>0.15</v>
      </c>
      <c r="D63" s="198">
        <v>0.15</v>
      </c>
      <c r="E63" s="198">
        <v>0.08</v>
      </c>
      <c r="F63" s="198">
        <v>0.09</v>
      </c>
      <c r="G63" s="198">
        <v>0.1</v>
      </c>
      <c r="H63" s="198">
        <v>0.1</v>
      </c>
      <c r="I63" s="198">
        <v>0.14000000000000001</v>
      </c>
      <c r="J63" s="198">
        <v>0.11</v>
      </c>
      <c r="K63" s="198">
        <v>0.24</v>
      </c>
      <c r="L63" s="198">
        <v>0.09</v>
      </c>
      <c r="M63" s="198">
        <v>0.08</v>
      </c>
      <c r="N63" s="196" t="s">
        <v>501</v>
      </c>
      <c r="O63" s="44"/>
    </row>
    <row r="64" spans="1:15" x14ac:dyDescent="0.25">
      <c r="A64" s="194" t="s">
        <v>63</v>
      </c>
      <c r="B64" s="194"/>
      <c r="C64" s="198">
        <v>0.17</v>
      </c>
      <c r="D64" s="198">
        <v>0.19</v>
      </c>
      <c r="E64" s="198">
        <v>0.1</v>
      </c>
      <c r="F64" s="198">
        <v>0.12</v>
      </c>
      <c r="G64" s="198">
        <v>0.12</v>
      </c>
      <c r="H64" s="198">
        <v>0.13</v>
      </c>
      <c r="I64" s="198">
        <v>0.17</v>
      </c>
      <c r="J64" s="198">
        <v>0.13</v>
      </c>
      <c r="K64" s="198">
        <v>0.28000000000000003</v>
      </c>
      <c r="L64" s="198">
        <v>0.14000000000000001</v>
      </c>
      <c r="M64" s="198">
        <v>0.13</v>
      </c>
      <c r="N64" s="196" t="s">
        <v>514</v>
      </c>
      <c r="O64" s="44"/>
    </row>
    <row r="65" spans="1:15" x14ac:dyDescent="0.25">
      <c r="A65" s="199" t="s">
        <v>63</v>
      </c>
      <c r="B65" s="200"/>
      <c r="C65" s="201">
        <v>0.18</v>
      </c>
      <c r="D65" s="201">
        <v>0.21</v>
      </c>
      <c r="E65" s="201">
        <v>0.12</v>
      </c>
      <c r="F65" s="201">
        <v>0.14000000000000001</v>
      </c>
      <c r="G65" s="201">
        <v>0.13</v>
      </c>
      <c r="H65" s="201">
        <v>0.14000000000000001</v>
      </c>
      <c r="I65" s="201">
        <v>0.18</v>
      </c>
      <c r="J65" s="201">
        <v>0.14000000000000001</v>
      </c>
      <c r="K65" s="201">
        <v>0.32</v>
      </c>
      <c r="L65" s="201">
        <v>0.13</v>
      </c>
      <c r="M65" s="201">
        <v>0.11</v>
      </c>
      <c r="N65" s="202" t="s">
        <v>518</v>
      </c>
      <c r="O65" s="44"/>
    </row>
    <row r="66" spans="1:15" x14ac:dyDescent="0.25">
      <c r="A66" s="199" t="s">
        <v>63</v>
      </c>
      <c r="B66" s="200"/>
      <c r="C66" s="201">
        <v>0.19</v>
      </c>
      <c r="D66" s="201">
        <v>0.22</v>
      </c>
      <c r="E66" s="201">
        <v>0.12</v>
      </c>
      <c r="F66" s="201">
        <v>0.14000000000000001</v>
      </c>
      <c r="G66" s="201">
        <v>0.13</v>
      </c>
      <c r="H66" s="201">
        <v>0.14000000000000001</v>
      </c>
      <c r="I66" s="201">
        <v>0.2</v>
      </c>
      <c r="J66" s="201">
        <v>0.15</v>
      </c>
      <c r="K66" s="201">
        <v>0.32</v>
      </c>
      <c r="L66" s="201">
        <v>0.14000000000000001</v>
      </c>
      <c r="M66" s="201">
        <v>0.11</v>
      </c>
      <c r="N66" s="202" t="s">
        <v>403</v>
      </c>
      <c r="O66" s="44"/>
    </row>
    <row r="67" spans="1:15" x14ac:dyDescent="0.25">
      <c r="A67" s="194" t="s">
        <v>63</v>
      </c>
      <c r="B67" s="194"/>
      <c r="C67" s="198">
        <v>0.2</v>
      </c>
      <c r="D67" s="198">
        <v>0.22</v>
      </c>
      <c r="E67" s="198">
        <v>0.13</v>
      </c>
      <c r="F67" s="198">
        <v>0.14000000000000001</v>
      </c>
      <c r="G67" s="198">
        <v>0.14000000000000001</v>
      </c>
      <c r="H67" s="198">
        <v>0.15</v>
      </c>
      <c r="I67" s="198">
        <v>0.19</v>
      </c>
      <c r="J67" s="198">
        <v>0.14000000000000001</v>
      </c>
      <c r="K67" s="198">
        <v>0.32</v>
      </c>
      <c r="L67" s="198">
        <v>0.14000000000000001</v>
      </c>
      <c r="M67" s="198">
        <v>0.13</v>
      </c>
      <c r="N67" s="196" t="s">
        <v>403</v>
      </c>
      <c r="O67" s="44"/>
    </row>
    <row r="68" spans="1:15" x14ac:dyDescent="0.25">
      <c r="A68" s="194" t="s">
        <v>63</v>
      </c>
      <c r="B68" s="194"/>
      <c r="C68" s="198">
        <v>0.17</v>
      </c>
      <c r="D68" s="198">
        <v>0.19</v>
      </c>
      <c r="E68" s="198">
        <v>0.1</v>
      </c>
      <c r="F68" s="198">
        <v>0.12</v>
      </c>
      <c r="G68" s="198">
        <v>0.13</v>
      </c>
      <c r="H68" s="198">
        <v>0.13</v>
      </c>
      <c r="I68" s="198">
        <v>0.17</v>
      </c>
      <c r="J68" s="198">
        <v>0.13</v>
      </c>
      <c r="K68" s="198">
        <v>0.28999999999999998</v>
      </c>
      <c r="L68" s="198">
        <v>0.12</v>
      </c>
      <c r="M68" s="198">
        <v>0.11</v>
      </c>
      <c r="N68" s="196"/>
      <c r="O68" s="44" t="s">
        <v>509</v>
      </c>
    </row>
    <row r="69" spans="1:15" x14ac:dyDescent="0.25">
      <c r="A69" s="194" t="s">
        <v>65</v>
      </c>
      <c r="B69" s="194"/>
      <c r="C69" s="198">
        <v>0.12</v>
      </c>
      <c r="D69" s="198">
        <v>0.18</v>
      </c>
      <c r="E69" s="198">
        <v>0.2</v>
      </c>
      <c r="F69" s="198">
        <v>0.22</v>
      </c>
      <c r="G69" s="198">
        <v>0.12</v>
      </c>
      <c r="H69" s="198">
        <v>0.09</v>
      </c>
      <c r="I69" s="198">
        <v>0.17</v>
      </c>
      <c r="J69" s="198">
        <v>0.26</v>
      </c>
      <c r="K69" s="198">
        <v>0.15</v>
      </c>
      <c r="L69" s="198">
        <v>0.12</v>
      </c>
      <c r="M69" s="198">
        <v>0.11</v>
      </c>
      <c r="N69" s="196" t="s">
        <v>503</v>
      </c>
      <c r="O69" s="44"/>
    </row>
    <row r="70" spans="1:15" x14ac:dyDescent="0.25">
      <c r="A70" s="194" t="s">
        <v>65</v>
      </c>
      <c r="B70" s="194"/>
      <c r="C70" s="198">
        <v>0.14000000000000001</v>
      </c>
      <c r="D70" s="198">
        <v>0.21</v>
      </c>
      <c r="E70" s="198">
        <v>0.24</v>
      </c>
      <c r="F70" s="198">
        <v>0.26</v>
      </c>
      <c r="G70" s="198">
        <v>0.14000000000000001</v>
      </c>
      <c r="H70" s="198">
        <v>0.13</v>
      </c>
      <c r="I70" s="198">
        <v>0.22</v>
      </c>
      <c r="J70" s="198">
        <v>0.31</v>
      </c>
      <c r="K70" s="198">
        <v>0.18</v>
      </c>
      <c r="L70" s="198">
        <v>0.15</v>
      </c>
      <c r="M70" s="198">
        <v>0.14000000000000001</v>
      </c>
      <c r="N70" s="196"/>
      <c r="O70" s="44" t="s">
        <v>509</v>
      </c>
    </row>
    <row r="71" spans="1:15" x14ac:dyDescent="0.25">
      <c r="A71" s="194" t="s">
        <v>66</v>
      </c>
      <c r="B71" s="194"/>
      <c r="C71" s="198">
        <v>0.16</v>
      </c>
      <c r="D71" s="198">
        <v>0.21</v>
      </c>
      <c r="E71" s="198">
        <v>0.14000000000000001</v>
      </c>
      <c r="F71" s="198">
        <v>0.08</v>
      </c>
      <c r="G71" s="198">
        <v>0.1</v>
      </c>
      <c r="H71" s="198">
        <v>7.0000000000000007E-2</v>
      </c>
      <c r="I71" s="198">
        <v>0.12</v>
      </c>
      <c r="J71" s="198">
        <v>0.23</v>
      </c>
      <c r="K71" s="198">
        <v>0.28999999999999998</v>
      </c>
      <c r="L71" s="198">
        <v>0.19</v>
      </c>
      <c r="M71" s="198">
        <v>0.02</v>
      </c>
      <c r="N71" s="196" t="s">
        <v>513</v>
      </c>
      <c r="O71" s="44"/>
    </row>
    <row r="72" spans="1:15" x14ac:dyDescent="0.25">
      <c r="A72" s="194" t="s">
        <v>66</v>
      </c>
      <c r="B72" s="194"/>
      <c r="C72" s="198">
        <v>0.19</v>
      </c>
      <c r="D72" s="198">
        <v>0.23</v>
      </c>
      <c r="E72" s="198">
        <v>0.16</v>
      </c>
      <c r="F72" s="198">
        <v>0.1</v>
      </c>
      <c r="G72" s="198">
        <v>0.1</v>
      </c>
      <c r="H72" s="198">
        <v>0.09</v>
      </c>
      <c r="I72" s="198">
        <v>0.16</v>
      </c>
      <c r="J72" s="198">
        <v>0.25</v>
      </c>
      <c r="K72" s="198">
        <v>0.3</v>
      </c>
      <c r="L72" s="198">
        <v>0.23</v>
      </c>
      <c r="M72" s="198">
        <v>0.05</v>
      </c>
      <c r="N72" s="196"/>
      <c r="O72" s="44" t="s">
        <v>509</v>
      </c>
    </row>
    <row r="73" spans="1:15" x14ac:dyDescent="0.25">
      <c r="A73" s="194" t="s">
        <v>68</v>
      </c>
      <c r="B73" s="194"/>
      <c r="C73" s="198">
        <v>0.13</v>
      </c>
      <c r="D73" s="198">
        <v>0.31</v>
      </c>
      <c r="E73" s="198">
        <v>0.17</v>
      </c>
      <c r="F73" s="198">
        <v>0.19</v>
      </c>
      <c r="G73" s="198">
        <v>0.13</v>
      </c>
      <c r="H73" s="198">
        <v>0.13</v>
      </c>
      <c r="I73" s="198">
        <v>0.12</v>
      </c>
      <c r="J73" s="198">
        <v>0.21</v>
      </c>
      <c r="K73" s="198">
        <v>0.24</v>
      </c>
      <c r="L73" s="198">
        <v>0.13</v>
      </c>
      <c r="M73" s="198">
        <v>0.11</v>
      </c>
      <c r="N73" s="196" t="s">
        <v>505</v>
      </c>
      <c r="O73" s="44"/>
    </row>
    <row r="74" spans="1:15" x14ac:dyDescent="0.25">
      <c r="A74" s="199" t="s">
        <v>68</v>
      </c>
      <c r="B74" s="200"/>
      <c r="C74" s="201">
        <v>0.13</v>
      </c>
      <c r="D74" s="201">
        <v>0.31</v>
      </c>
      <c r="E74" s="201">
        <v>0.17</v>
      </c>
      <c r="F74" s="201">
        <v>0.18</v>
      </c>
      <c r="G74" s="201">
        <v>0.14000000000000001</v>
      </c>
      <c r="H74" s="201">
        <v>0.13</v>
      </c>
      <c r="I74" s="201">
        <v>0.12</v>
      </c>
      <c r="J74" s="201">
        <v>0.2</v>
      </c>
      <c r="K74" s="201">
        <v>0.24</v>
      </c>
      <c r="L74" s="201">
        <v>0.13</v>
      </c>
      <c r="M74" s="201">
        <v>0.1</v>
      </c>
      <c r="N74" s="202" t="s">
        <v>506</v>
      </c>
      <c r="O74" s="44"/>
    </row>
    <row r="75" spans="1:15" x14ac:dyDescent="0.25">
      <c r="A75" s="194" t="s">
        <v>68</v>
      </c>
      <c r="B75" s="194"/>
      <c r="C75" s="198">
        <v>0.15</v>
      </c>
      <c r="D75" s="198">
        <v>0.34</v>
      </c>
      <c r="E75" s="198">
        <v>0.19</v>
      </c>
      <c r="F75" s="198">
        <v>0.21</v>
      </c>
      <c r="G75" s="198">
        <v>0.16</v>
      </c>
      <c r="H75" s="198">
        <v>0.15</v>
      </c>
      <c r="I75" s="198">
        <v>0.14000000000000001</v>
      </c>
      <c r="J75" s="198">
        <v>0.23</v>
      </c>
      <c r="K75" s="198">
        <v>0.28000000000000003</v>
      </c>
      <c r="L75" s="198">
        <v>0.16</v>
      </c>
      <c r="M75" s="198">
        <v>0.12</v>
      </c>
      <c r="N75" s="196" t="s">
        <v>518</v>
      </c>
      <c r="O75" s="44"/>
    </row>
    <row r="76" spans="1:15" x14ac:dyDescent="0.25">
      <c r="A76" s="194" t="s">
        <v>68</v>
      </c>
      <c r="B76" s="194"/>
      <c r="C76" s="198">
        <v>0.17</v>
      </c>
      <c r="D76" s="198">
        <v>0.37</v>
      </c>
      <c r="E76" s="198">
        <v>0.19</v>
      </c>
      <c r="F76" s="198">
        <v>0.22</v>
      </c>
      <c r="G76" s="198">
        <v>0.2</v>
      </c>
      <c r="H76" s="198">
        <v>0.15</v>
      </c>
      <c r="I76" s="198">
        <v>0.14000000000000001</v>
      </c>
      <c r="J76" s="198">
        <v>0.23</v>
      </c>
      <c r="K76" s="198">
        <v>0.27</v>
      </c>
      <c r="L76" s="198">
        <v>0.16</v>
      </c>
      <c r="M76" s="198">
        <v>0.13</v>
      </c>
      <c r="N76" s="196" t="s">
        <v>403</v>
      </c>
      <c r="O76" s="44"/>
    </row>
    <row r="77" spans="1:15" x14ac:dyDescent="0.25">
      <c r="A77" s="194" t="s">
        <v>68</v>
      </c>
      <c r="B77" s="194"/>
      <c r="C77" s="198">
        <v>0.14000000000000001</v>
      </c>
      <c r="D77" s="198">
        <v>0.31</v>
      </c>
      <c r="E77" s="198">
        <v>0.18</v>
      </c>
      <c r="F77" s="198">
        <v>0.2</v>
      </c>
      <c r="G77" s="198">
        <v>0.14000000000000001</v>
      </c>
      <c r="H77" s="198">
        <v>0.14000000000000001</v>
      </c>
      <c r="I77" s="198">
        <v>0.13</v>
      </c>
      <c r="J77" s="198">
        <v>0.21</v>
      </c>
      <c r="K77" s="198">
        <v>0.26</v>
      </c>
      <c r="L77" s="198">
        <v>0.14000000000000001</v>
      </c>
      <c r="M77" s="198">
        <v>0.11</v>
      </c>
      <c r="N77" s="196"/>
      <c r="O77" s="44" t="s">
        <v>509</v>
      </c>
    </row>
    <row r="78" spans="1:15" x14ac:dyDescent="0.25">
      <c r="A78" s="199" t="s">
        <v>70</v>
      </c>
      <c r="B78" s="200"/>
      <c r="C78" s="201">
        <v>0.13</v>
      </c>
      <c r="D78" s="201">
        <v>0.17</v>
      </c>
      <c r="E78" s="201">
        <v>0.3</v>
      </c>
      <c r="F78" s="201">
        <v>0.3</v>
      </c>
      <c r="G78" s="201">
        <v>7.0000000000000007E-2</v>
      </c>
      <c r="H78" s="201">
        <v>0.09</v>
      </c>
      <c r="I78" s="201">
        <v>0.05</v>
      </c>
      <c r="J78" s="201">
        <v>0.28999999999999998</v>
      </c>
      <c r="K78" s="201">
        <v>0.34</v>
      </c>
      <c r="L78" s="201">
        <v>0.28000000000000003</v>
      </c>
      <c r="M78" s="201">
        <v>0.11</v>
      </c>
      <c r="N78" s="202" t="s">
        <v>501</v>
      </c>
      <c r="O78" s="44"/>
    </row>
    <row r="79" spans="1:15" x14ac:dyDescent="0.25">
      <c r="A79" s="199" t="s">
        <v>70</v>
      </c>
      <c r="B79" s="200"/>
      <c r="C79" s="201">
        <v>0.09</v>
      </c>
      <c r="D79" s="201">
        <v>0.12</v>
      </c>
      <c r="E79" s="201">
        <v>0.44</v>
      </c>
      <c r="F79" s="201">
        <v>0.44</v>
      </c>
      <c r="G79" s="201">
        <v>0.21</v>
      </c>
      <c r="H79" s="201">
        <v>0.06</v>
      </c>
      <c r="I79" s="201">
        <v>0.1</v>
      </c>
      <c r="J79" s="201">
        <v>0.21</v>
      </c>
      <c r="K79" s="201">
        <v>0.36</v>
      </c>
      <c r="L79" s="201">
        <v>0.3</v>
      </c>
      <c r="M79" s="201">
        <v>0.08</v>
      </c>
      <c r="N79" s="202" t="s">
        <v>403</v>
      </c>
      <c r="O79" s="44"/>
    </row>
    <row r="80" spans="1:15" x14ac:dyDescent="0.25">
      <c r="A80" s="194" t="s">
        <v>70</v>
      </c>
      <c r="B80" s="194"/>
      <c r="C80" s="198">
        <v>0.09</v>
      </c>
      <c r="D80" s="198">
        <v>0.11</v>
      </c>
      <c r="E80" s="198">
        <v>0.38</v>
      </c>
      <c r="F80" s="198">
        <v>0.38</v>
      </c>
      <c r="G80" s="198">
        <v>0.2</v>
      </c>
      <c r="H80" s="198">
        <v>7.0000000000000007E-2</v>
      </c>
      <c r="I80" s="198">
        <v>0.1</v>
      </c>
      <c r="J80" s="198">
        <v>0.2</v>
      </c>
      <c r="K80" s="198">
        <v>0.35</v>
      </c>
      <c r="L80" s="198">
        <v>0.27</v>
      </c>
      <c r="M80" s="198">
        <v>0.08</v>
      </c>
      <c r="N80" s="196"/>
      <c r="O80" s="44" t="s">
        <v>509</v>
      </c>
    </row>
    <row r="81" spans="1:15" x14ac:dyDescent="0.25">
      <c r="A81" s="194" t="s">
        <v>71</v>
      </c>
      <c r="B81" s="194"/>
      <c r="C81" s="198">
        <v>0.14000000000000001</v>
      </c>
      <c r="D81" s="198">
        <v>0.28000000000000003</v>
      </c>
      <c r="E81" s="198">
        <v>0.15</v>
      </c>
      <c r="F81" s="198">
        <v>0.09</v>
      </c>
      <c r="G81" s="198">
        <v>0.23</v>
      </c>
      <c r="H81" s="198">
        <v>0.1</v>
      </c>
      <c r="I81" s="198">
        <v>0.06</v>
      </c>
      <c r="J81" s="198">
        <v>0.22</v>
      </c>
      <c r="K81" s="198">
        <v>0.47</v>
      </c>
      <c r="L81" s="198">
        <v>0.26</v>
      </c>
      <c r="M81" s="198">
        <v>0.06</v>
      </c>
      <c r="N81" s="196" t="s">
        <v>503</v>
      </c>
      <c r="O81" s="44"/>
    </row>
    <row r="82" spans="1:15" x14ac:dyDescent="0.25">
      <c r="A82" s="194" t="s">
        <v>71</v>
      </c>
      <c r="B82" s="194"/>
      <c r="C82" s="198">
        <v>0.17</v>
      </c>
      <c r="D82" s="198">
        <v>0.28999999999999998</v>
      </c>
      <c r="E82" s="198">
        <v>0.17</v>
      </c>
      <c r="F82" s="198">
        <v>0.1</v>
      </c>
      <c r="G82" s="198">
        <v>0.17</v>
      </c>
      <c r="H82" s="198">
        <v>0.12</v>
      </c>
      <c r="I82" s="198">
        <v>0.08</v>
      </c>
      <c r="J82" s="198">
        <v>0.23</v>
      </c>
      <c r="K82" s="198">
        <v>0.33</v>
      </c>
      <c r="L82" s="198">
        <v>0.28000000000000003</v>
      </c>
      <c r="M82" s="198">
        <v>0.08</v>
      </c>
      <c r="N82" s="195"/>
      <c r="O82" s="44" t="s">
        <v>509</v>
      </c>
    </row>
    <row r="83" spans="1:15" x14ac:dyDescent="0.25">
      <c r="A83" s="199" t="s">
        <v>71</v>
      </c>
      <c r="B83" s="200"/>
      <c r="C83" s="201">
        <v>0.15</v>
      </c>
      <c r="D83" s="201">
        <v>0.31</v>
      </c>
      <c r="E83" s="201">
        <v>0.17</v>
      </c>
      <c r="F83" s="201">
        <v>0.09</v>
      </c>
      <c r="G83" s="201">
        <v>0.14000000000000001</v>
      </c>
      <c r="H83" s="201">
        <v>0.1</v>
      </c>
      <c r="I83" s="201">
        <v>0.06</v>
      </c>
      <c r="J83" s="201">
        <v>0.23</v>
      </c>
      <c r="K83" s="201">
        <v>0.32</v>
      </c>
      <c r="L83" s="201">
        <v>0.28000000000000003</v>
      </c>
      <c r="M83" s="201">
        <v>0.06</v>
      </c>
      <c r="N83" s="208" t="s">
        <v>506</v>
      </c>
      <c r="O83" s="44"/>
    </row>
    <row r="84" spans="1:15" x14ac:dyDescent="0.25">
      <c r="A84" s="199" t="s">
        <v>72</v>
      </c>
      <c r="B84" s="200"/>
      <c r="C84" s="201">
        <v>0.19</v>
      </c>
      <c r="D84" s="201">
        <v>0.39</v>
      </c>
      <c r="E84" s="201">
        <v>0.13</v>
      </c>
      <c r="F84" s="201">
        <v>0.09</v>
      </c>
      <c r="G84" s="201">
        <v>0.18</v>
      </c>
      <c r="H84" s="201">
        <v>0.16</v>
      </c>
      <c r="I84" s="201">
        <v>0.12</v>
      </c>
      <c r="J84" s="201">
        <v>0.3</v>
      </c>
      <c r="K84" s="201">
        <v>0.35</v>
      </c>
      <c r="L84" s="201">
        <v>0.19</v>
      </c>
      <c r="M84" s="201">
        <v>0.13</v>
      </c>
      <c r="N84" s="208" t="s">
        <v>510</v>
      </c>
      <c r="O84" s="44"/>
    </row>
    <row r="85" spans="1:15" x14ac:dyDescent="0.25">
      <c r="A85" s="194" t="s">
        <v>72</v>
      </c>
      <c r="B85" s="194"/>
      <c r="C85" s="198">
        <v>0.17</v>
      </c>
      <c r="D85" s="198">
        <v>0.34</v>
      </c>
      <c r="E85" s="198">
        <v>0.11</v>
      </c>
      <c r="F85" s="198">
        <v>0.08</v>
      </c>
      <c r="G85" s="198">
        <v>0.16</v>
      </c>
      <c r="H85" s="198">
        <v>0.14000000000000001</v>
      </c>
      <c r="I85" s="198">
        <v>0.11</v>
      </c>
      <c r="J85" s="198">
        <v>0.26</v>
      </c>
      <c r="K85" s="198">
        <v>0.32</v>
      </c>
      <c r="L85" s="198">
        <v>0.17</v>
      </c>
      <c r="M85" s="198">
        <v>0.12</v>
      </c>
      <c r="N85" s="195"/>
      <c r="O85" s="44" t="s">
        <v>509</v>
      </c>
    </row>
    <row r="86" spans="1:15" x14ac:dyDescent="0.25">
      <c r="A86" s="194" t="s">
        <v>73</v>
      </c>
      <c r="B86" s="194"/>
      <c r="C86" s="198">
        <v>0.13</v>
      </c>
      <c r="D86" s="198">
        <v>0.13</v>
      </c>
      <c r="E86" s="198">
        <v>0.16</v>
      </c>
      <c r="F86" s="198">
        <v>0.11</v>
      </c>
      <c r="G86" s="198">
        <v>0.18</v>
      </c>
      <c r="H86" s="198">
        <v>0.2</v>
      </c>
      <c r="I86" s="198">
        <v>0.21</v>
      </c>
      <c r="J86" s="198">
        <v>0.24</v>
      </c>
      <c r="K86" s="198">
        <v>0.21</v>
      </c>
      <c r="L86" s="198">
        <v>0.17</v>
      </c>
      <c r="M86" s="198">
        <v>0.1</v>
      </c>
      <c r="N86" s="195"/>
      <c r="O86" s="44" t="s">
        <v>509</v>
      </c>
    </row>
    <row r="87" spans="1:15" x14ac:dyDescent="0.25">
      <c r="A87" s="194" t="s">
        <v>74</v>
      </c>
      <c r="B87" s="194"/>
      <c r="C87" s="198">
        <v>0.19</v>
      </c>
      <c r="D87" s="198">
        <v>0.3</v>
      </c>
      <c r="E87" s="198">
        <v>0.16</v>
      </c>
      <c r="F87" s="198">
        <v>0.23</v>
      </c>
      <c r="G87" s="198">
        <v>0.19</v>
      </c>
      <c r="H87" s="198">
        <v>0.1</v>
      </c>
      <c r="I87" s="198">
        <v>0.11</v>
      </c>
      <c r="J87" s="198">
        <v>0.2</v>
      </c>
      <c r="K87" s="198">
        <v>0.33</v>
      </c>
      <c r="L87" s="198">
        <v>0.3</v>
      </c>
      <c r="M87" s="198">
        <v>0.06</v>
      </c>
      <c r="N87" s="195"/>
      <c r="O87" s="44" t="s">
        <v>509</v>
      </c>
    </row>
    <row r="88" spans="1:15" x14ac:dyDescent="0.25">
      <c r="A88" s="199" t="s">
        <v>75</v>
      </c>
      <c r="B88" s="200"/>
      <c r="C88" s="201">
        <v>0.11</v>
      </c>
      <c r="D88" s="201">
        <v>0.26</v>
      </c>
      <c r="E88" s="201">
        <v>0.24</v>
      </c>
      <c r="F88" s="201">
        <v>0.17</v>
      </c>
      <c r="G88" s="201">
        <v>0.12</v>
      </c>
      <c r="H88" s="201">
        <v>0.1</v>
      </c>
      <c r="I88" s="201">
        <v>0.11</v>
      </c>
      <c r="J88" s="201">
        <v>0.14000000000000001</v>
      </c>
      <c r="K88" s="201">
        <v>0.21</v>
      </c>
      <c r="L88" s="201">
        <v>0.11</v>
      </c>
      <c r="M88" s="201">
        <v>0.06</v>
      </c>
      <c r="N88" s="208" t="s">
        <v>501</v>
      </c>
      <c r="O88" s="44"/>
    </row>
    <row r="89" spans="1:15" x14ac:dyDescent="0.25">
      <c r="A89" s="194" t="s">
        <v>75</v>
      </c>
      <c r="B89" s="194"/>
      <c r="C89" s="198">
        <v>0.14000000000000001</v>
      </c>
      <c r="D89" s="198">
        <v>0.32</v>
      </c>
      <c r="E89" s="198">
        <v>0.18</v>
      </c>
      <c r="F89" s="198">
        <v>0.21</v>
      </c>
      <c r="G89" s="198">
        <v>0.15</v>
      </c>
      <c r="H89" s="198">
        <v>0.13</v>
      </c>
      <c r="I89" s="198">
        <v>0.14000000000000001</v>
      </c>
      <c r="J89" s="198">
        <v>0.17</v>
      </c>
      <c r="K89" s="198">
        <v>0.27</v>
      </c>
      <c r="L89" s="198">
        <v>0.14000000000000001</v>
      </c>
      <c r="M89" s="198">
        <v>0.09</v>
      </c>
      <c r="N89" s="195"/>
      <c r="O89" s="44" t="s">
        <v>509</v>
      </c>
    </row>
    <row r="90" spans="1:15" x14ac:dyDescent="0.25">
      <c r="A90" s="194" t="s">
        <v>76</v>
      </c>
      <c r="B90" s="194"/>
      <c r="C90" s="198">
        <v>0.19</v>
      </c>
      <c r="D90" s="198">
        <v>0.4</v>
      </c>
      <c r="E90" s="198">
        <v>0.18</v>
      </c>
      <c r="F90" s="198">
        <v>0.23</v>
      </c>
      <c r="G90" s="198">
        <v>0.22</v>
      </c>
      <c r="H90" s="198">
        <v>0.11</v>
      </c>
      <c r="I90" s="198">
        <v>0.14000000000000001</v>
      </c>
      <c r="J90" s="198">
        <v>0.19</v>
      </c>
      <c r="K90" s="198">
        <v>0.35</v>
      </c>
      <c r="L90" s="198">
        <v>0.17</v>
      </c>
      <c r="M90" s="198">
        <v>7.0000000000000007E-2</v>
      </c>
      <c r="N90" s="195"/>
      <c r="O90" s="44" t="s">
        <v>509</v>
      </c>
    </row>
    <row r="91" spans="1:15" x14ac:dyDescent="0.25">
      <c r="A91" s="199" t="s">
        <v>89</v>
      </c>
      <c r="B91" s="200"/>
      <c r="C91" s="201">
        <v>0.19</v>
      </c>
      <c r="D91" s="201">
        <v>0.3</v>
      </c>
      <c r="E91" s="201">
        <v>0.24</v>
      </c>
      <c r="F91" s="201">
        <v>0.28999999999999998</v>
      </c>
      <c r="G91" s="201">
        <v>0.25</v>
      </c>
      <c r="H91" s="201">
        <v>0.18</v>
      </c>
      <c r="I91" s="201">
        <v>0.17</v>
      </c>
      <c r="J91" s="201">
        <v>0.2</v>
      </c>
      <c r="K91" s="201">
        <v>0.21</v>
      </c>
      <c r="L91" s="201">
        <v>0.17</v>
      </c>
      <c r="M91" s="201">
        <v>0.13</v>
      </c>
      <c r="N91" s="208" t="s">
        <v>518</v>
      </c>
      <c r="O91" s="44"/>
    </row>
    <row r="92" spans="1:15" x14ac:dyDescent="0.25">
      <c r="A92" s="194" t="s">
        <v>89</v>
      </c>
      <c r="B92" s="194"/>
      <c r="C92" s="198">
        <v>0.26</v>
      </c>
      <c r="D92" s="198">
        <v>0.36</v>
      </c>
      <c r="E92" s="198">
        <v>0.3</v>
      </c>
      <c r="F92" s="198">
        <v>0.35</v>
      </c>
      <c r="G92" s="198">
        <v>0.31</v>
      </c>
      <c r="H92" s="198">
        <v>0.25</v>
      </c>
      <c r="I92" s="198">
        <v>0.22</v>
      </c>
      <c r="J92" s="198">
        <v>0.27</v>
      </c>
      <c r="K92" s="198">
        <v>0.28000000000000003</v>
      </c>
      <c r="L92" s="198">
        <v>0.23</v>
      </c>
      <c r="M92" s="198">
        <v>0.2</v>
      </c>
      <c r="N92" s="195"/>
      <c r="O92" s="44" t="s">
        <v>509</v>
      </c>
    </row>
    <row r="93" spans="1:15" x14ac:dyDescent="0.25">
      <c r="A93" s="199" t="s">
        <v>77</v>
      </c>
      <c r="B93" s="200"/>
      <c r="C93" s="201">
        <v>0.15</v>
      </c>
      <c r="D93" s="201">
        <v>0.35</v>
      </c>
      <c r="E93" s="201">
        <v>0.18</v>
      </c>
      <c r="F93" s="201">
        <v>0.14000000000000001</v>
      </c>
      <c r="G93" s="201">
        <v>0.14000000000000001</v>
      </c>
      <c r="H93" s="201">
        <v>0.17</v>
      </c>
      <c r="I93" s="201">
        <v>0.2</v>
      </c>
      <c r="J93" s="201">
        <v>0.17</v>
      </c>
      <c r="K93" s="201">
        <v>0.2</v>
      </c>
      <c r="L93" s="201">
        <v>0.2</v>
      </c>
      <c r="M93" s="201">
        <v>0.09</v>
      </c>
      <c r="N93" s="208" t="s">
        <v>507</v>
      </c>
      <c r="O93" s="44"/>
    </row>
    <row r="94" spans="1:15" x14ac:dyDescent="0.25">
      <c r="A94" s="194" t="s">
        <v>77</v>
      </c>
      <c r="B94" s="194"/>
      <c r="C94" s="198">
        <v>0.18</v>
      </c>
      <c r="D94" s="198">
        <v>0.4</v>
      </c>
      <c r="E94" s="198">
        <v>0.22</v>
      </c>
      <c r="F94" s="198">
        <v>0.17</v>
      </c>
      <c r="G94" s="198">
        <v>0.17</v>
      </c>
      <c r="H94" s="198">
        <v>0.21</v>
      </c>
      <c r="I94" s="198">
        <v>0.24</v>
      </c>
      <c r="J94" s="198">
        <v>0.2</v>
      </c>
      <c r="K94" s="198">
        <v>0.24</v>
      </c>
      <c r="L94" s="198">
        <v>0.24</v>
      </c>
      <c r="M94" s="198">
        <v>0.11</v>
      </c>
      <c r="N94" s="195"/>
      <c r="O94" s="44" t="s">
        <v>509</v>
      </c>
    </row>
    <row r="95" spans="1:15" x14ac:dyDescent="0.25">
      <c r="A95" s="203" t="s">
        <v>78</v>
      </c>
      <c r="B95" s="204"/>
      <c r="C95" s="205">
        <v>0.12</v>
      </c>
      <c r="D95" s="205">
        <v>0.24</v>
      </c>
      <c r="E95" s="205">
        <v>0.17</v>
      </c>
      <c r="F95" s="205">
        <v>0.13</v>
      </c>
      <c r="G95" s="205">
        <v>0.16</v>
      </c>
      <c r="H95" s="205">
        <v>0.08</v>
      </c>
      <c r="I95" s="205">
        <v>0.16</v>
      </c>
      <c r="J95" s="205">
        <v>0.19</v>
      </c>
      <c r="K95" s="205">
        <v>0.22</v>
      </c>
      <c r="L95" s="205">
        <v>0.13</v>
      </c>
      <c r="M95" s="205">
        <v>0.08</v>
      </c>
      <c r="N95" s="209" t="s">
        <v>501</v>
      </c>
      <c r="O95" s="44"/>
    </row>
    <row r="96" spans="1:15" x14ac:dyDescent="0.25">
      <c r="A96" s="194" t="s">
        <v>78</v>
      </c>
      <c r="B96" s="194"/>
      <c r="C96" s="198">
        <v>0.16</v>
      </c>
      <c r="D96" s="198">
        <v>0.28000000000000003</v>
      </c>
      <c r="E96" s="198">
        <v>0.21</v>
      </c>
      <c r="F96" s="198">
        <v>0.16</v>
      </c>
      <c r="G96" s="198">
        <v>0.21</v>
      </c>
      <c r="H96" s="198">
        <v>0.11</v>
      </c>
      <c r="I96" s="198">
        <v>0.2</v>
      </c>
      <c r="J96" s="198">
        <v>0.23</v>
      </c>
      <c r="K96" s="198">
        <v>0.28000000000000003</v>
      </c>
      <c r="L96" s="198">
        <v>0.16</v>
      </c>
      <c r="M96" s="198">
        <v>0.11</v>
      </c>
      <c r="N96" s="195"/>
      <c r="O96" s="44" t="s">
        <v>509</v>
      </c>
    </row>
    <row r="97" spans="1:15" x14ac:dyDescent="0.25">
      <c r="A97" s="194" t="s">
        <v>79</v>
      </c>
      <c r="B97" s="194"/>
      <c r="C97" s="198">
        <v>0.14000000000000001</v>
      </c>
      <c r="D97" s="198">
        <v>0.39</v>
      </c>
      <c r="E97" s="198">
        <v>0.23</v>
      </c>
      <c r="F97" s="198">
        <v>0.26</v>
      </c>
      <c r="G97" s="198">
        <v>0.25</v>
      </c>
      <c r="H97" s="198">
        <v>0.19</v>
      </c>
      <c r="I97" s="198">
        <v>0.18</v>
      </c>
      <c r="J97" s="198">
        <v>0.25</v>
      </c>
      <c r="K97" s="198">
        <v>0.3</v>
      </c>
      <c r="L97" s="198">
        <v>0.34</v>
      </c>
      <c r="M97" s="198">
        <v>0.13</v>
      </c>
      <c r="N97" s="195"/>
      <c r="O97" s="44" t="s">
        <v>509</v>
      </c>
    </row>
    <row r="98" spans="1:15" x14ac:dyDescent="0.25">
      <c r="A98" s="194" t="s">
        <v>80</v>
      </c>
      <c r="B98" s="194"/>
      <c r="C98" s="198">
        <v>0.16</v>
      </c>
      <c r="D98" s="198">
        <v>0.35</v>
      </c>
      <c r="E98" s="198">
        <v>0.14000000000000001</v>
      </c>
      <c r="F98" s="198">
        <v>0.18</v>
      </c>
      <c r="G98" s="198">
        <v>0.19</v>
      </c>
      <c r="H98" s="198">
        <v>0.12</v>
      </c>
      <c r="I98" s="198">
        <v>0.11</v>
      </c>
      <c r="J98" s="198">
        <v>0.25</v>
      </c>
      <c r="K98" s="198">
        <v>0.19</v>
      </c>
      <c r="L98" s="198">
        <v>0.14000000000000001</v>
      </c>
      <c r="M98" s="198">
        <v>0.08</v>
      </c>
      <c r="N98" s="195"/>
      <c r="O98" s="44" t="s">
        <v>509</v>
      </c>
    </row>
    <row r="99" spans="1:15" x14ac:dyDescent="0.25">
      <c r="A99" s="199" t="s">
        <v>81</v>
      </c>
      <c r="B99" s="200"/>
      <c r="C99" s="201">
        <v>0.19</v>
      </c>
      <c r="D99" s="201">
        <v>0.14000000000000001</v>
      </c>
      <c r="E99" s="201">
        <v>0.24</v>
      </c>
      <c r="F99" s="201">
        <v>0.21</v>
      </c>
      <c r="G99" s="201">
        <v>0.23</v>
      </c>
      <c r="H99" s="201">
        <v>0.15</v>
      </c>
      <c r="I99" s="201">
        <v>0.19</v>
      </c>
      <c r="J99" s="201">
        <v>0.18</v>
      </c>
      <c r="K99" s="201">
        <v>0.31</v>
      </c>
      <c r="L99" s="201">
        <v>0.17</v>
      </c>
      <c r="M99" s="201">
        <v>0.17</v>
      </c>
      <c r="N99" s="208" t="s">
        <v>518</v>
      </c>
      <c r="O99" s="44"/>
    </row>
    <row r="100" spans="1:15" x14ac:dyDescent="0.25">
      <c r="A100" s="194" t="s">
        <v>81</v>
      </c>
      <c r="B100" s="194"/>
      <c r="C100" s="198">
        <v>0.19</v>
      </c>
      <c r="D100" s="198">
        <v>0.14000000000000001</v>
      </c>
      <c r="E100" s="198">
        <v>0.23</v>
      </c>
      <c r="F100" s="198">
        <v>0.2</v>
      </c>
      <c r="G100" s="198">
        <v>0.22</v>
      </c>
      <c r="H100" s="198">
        <v>0.15</v>
      </c>
      <c r="I100" s="198">
        <v>0.19</v>
      </c>
      <c r="J100" s="198">
        <v>0.19</v>
      </c>
      <c r="K100" s="198">
        <v>0.3</v>
      </c>
      <c r="L100" s="198">
        <v>0.17</v>
      </c>
      <c r="M100" s="198">
        <v>0.17</v>
      </c>
      <c r="N100" s="195"/>
      <c r="O100" s="44" t="s">
        <v>509</v>
      </c>
    </row>
    <row r="101" spans="1:15" x14ac:dyDescent="0.25">
      <c r="A101" s="194" t="s">
        <v>82</v>
      </c>
      <c r="B101" s="194"/>
      <c r="C101" s="198">
        <v>0.17</v>
      </c>
      <c r="D101" s="198">
        <v>0.32</v>
      </c>
      <c r="E101" s="198">
        <v>0.17</v>
      </c>
      <c r="F101" s="198">
        <v>0.2</v>
      </c>
      <c r="G101" s="198">
        <v>0.2</v>
      </c>
      <c r="H101" s="198">
        <v>0.12</v>
      </c>
      <c r="I101" s="198">
        <v>0.1</v>
      </c>
      <c r="J101" s="198">
        <v>0.25</v>
      </c>
      <c r="K101" s="198">
        <v>0.27</v>
      </c>
      <c r="L101" s="198">
        <v>0.31</v>
      </c>
      <c r="M101" s="198">
        <v>0.09</v>
      </c>
      <c r="N101" s="195"/>
      <c r="O101" s="44" t="s">
        <v>509</v>
      </c>
    </row>
    <row r="102" spans="1:15" x14ac:dyDescent="0.25">
      <c r="A102" s="203" t="s">
        <v>82</v>
      </c>
      <c r="B102" s="210"/>
      <c r="C102" s="205">
        <v>0.19</v>
      </c>
      <c r="D102" s="205">
        <v>0.35</v>
      </c>
      <c r="E102" s="205">
        <v>0.22</v>
      </c>
      <c r="F102" s="205">
        <v>0.24</v>
      </c>
      <c r="G102" s="205">
        <v>0.23</v>
      </c>
      <c r="H102" s="205">
        <v>0.13</v>
      </c>
      <c r="I102" s="205">
        <v>0.11</v>
      </c>
      <c r="J102" s="205">
        <v>0.28000000000000003</v>
      </c>
      <c r="K102" s="205">
        <v>0.3</v>
      </c>
      <c r="L102" s="205">
        <v>0.35</v>
      </c>
      <c r="M102" s="205">
        <v>0.1</v>
      </c>
      <c r="N102" s="206" t="s">
        <v>403</v>
      </c>
      <c r="O102" s="44"/>
    </row>
    <row r="103" spans="1:15" x14ac:dyDescent="0.25">
      <c r="A103" s="194" t="s">
        <v>83</v>
      </c>
      <c r="B103" s="211"/>
      <c r="C103" s="198">
        <v>7.0000000000000007E-2</v>
      </c>
      <c r="D103" s="198">
        <v>0.19</v>
      </c>
      <c r="E103" s="198">
        <v>0.08</v>
      </c>
      <c r="F103" s="198">
        <v>0.16</v>
      </c>
      <c r="G103" s="198">
        <v>0.11</v>
      </c>
      <c r="H103" s="198">
        <v>7.0000000000000007E-2</v>
      </c>
      <c r="I103" s="198">
        <v>0.05</v>
      </c>
      <c r="J103" s="198">
        <v>0.18</v>
      </c>
      <c r="K103" s="198">
        <v>0.14000000000000001</v>
      </c>
      <c r="L103" s="198">
        <v>0.15</v>
      </c>
      <c r="M103" s="198">
        <v>0.06</v>
      </c>
      <c r="N103" s="196" t="s">
        <v>501</v>
      </c>
      <c r="O103" s="44"/>
    </row>
    <row r="104" spans="1:15" x14ac:dyDescent="0.25">
      <c r="A104" s="194" t="s">
        <v>83</v>
      </c>
      <c r="B104" s="211"/>
      <c r="C104" s="198">
        <v>0.09</v>
      </c>
      <c r="D104" s="198">
        <v>0.18</v>
      </c>
      <c r="E104" s="198">
        <v>0.11</v>
      </c>
      <c r="F104" s="198">
        <v>0.15</v>
      </c>
      <c r="G104" s="198">
        <v>0.15</v>
      </c>
      <c r="H104" s="198">
        <v>7.0000000000000007E-2</v>
      </c>
      <c r="I104" s="198">
        <v>0.06</v>
      </c>
      <c r="J104" s="198">
        <v>0.21</v>
      </c>
      <c r="K104" s="198">
        <v>0.15</v>
      </c>
      <c r="L104" s="198">
        <v>0.16</v>
      </c>
      <c r="M104" s="198">
        <v>7.0000000000000007E-2</v>
      </c>
      <c r="N104" s="196" t="s">
        <v>507</v>
      </c>
      <c r="O104" s="44"/>
    </row>
    <row r="105" spans="1:15" x14ac:dyDescent="0.25">
      <c r="A105" s="194" t="s">
        <v>83</v>
      </c>
      <c r="B105" s="211"/>
      <c r="C105" s="198">
        <v>0.08</v>
      </c>
      <c r="D105" s="198">
        <v>0.19</v>
      </c>
      <c r="E105" s="198">
        <v>0.12</v>
      </c>
      <c r="F105" s="198">
        <v>0.16</v>
      </c>
      <c r="G105" s="198">
        <v>0.17</v>
      </c>
      <c r="H105" s="198">
        <v>7.0000000000000007E-2</v>
      </c>
      <c r="I105" s="198">
        <v>0.06</v>
      </c>
      <c r="J105" s="198">
        <v>0.21</v>
      </c>
      <c r="K105" s="198">
        <v>0.16</v>
      </c>
      <c r="L105" s="198">
        <v>0.17</v>
      </c>
      <c r="M105" s="198">
        <v>7.0000000000000007E-2</v>
      </c>
      <c r="N105" s="196" t="s">
        <v>504</v>
      </c>
      <c r="O105" s="44"/>
    </row>
    <row r="106" spans="1:15" x14ac:dyDescent="0.25">
      <c r="A106" s="194" t="s">
        <v>83</v>
      </c>
      <c r="B106" s="211"/>
      <c r="C106" s="198">
        <v>0.1</v>
      </c>
      <c r="D106" s="198">
        <v>0.23</v>
      </c>
      <c r="E106" s="198">
        <v>0.13</v>
      </c>
      <c r="F106" s="198">
        <v>0.2</v>
      </c>
      <c r="G106" s="198">
        <v>0.14000000000000001</v>
      </c>
      <c r="H106" s="198">
        <v>0.1</v>
      </c>
      <c r="I106" s="198">
        <v>0.08</v>
      </c>
      <c r="J106" s="198">
        <v>0.25</v>
      </c>
      <c r="K106" s="198">
        <v>0.19</v>
      </c>
      <c r="L106" s="198">
        <v>0.19</v>
      </c>
      <c r="M106" s="198">
        <v>0.1</v>
      </c>
      <c r="N106" s="196" t="s">
        <v>514</v>
      </c>
      <c r="O106" s="44"/>
    </row>
    <row r="107" spans="1:15" x14ac:dyDescent="0.25">
      <c r="A107" s="194" t="s">
        <v>83</v>
      </c>
      <c r="B107" s="194"/>
      <c r="C107" s="198">
        <v>0.13</v>
      </c>
      <c r="D107" s="198">
        <v>0.27</v>
      </c>
      <c r="E107" s="198">
        <v>0.18</v>
      </c>
      <c r="F107" s="198">
        <v>0.23</v>
      </c>
      <c r="G107" s="198">
        <v>0.17</v>
      </c>
      <c r="H107" s="198">
        <v>0.12</v>
      </c>
      <c r="I107" s="198">
        <v>0.11</v>
      </c>
      <c r="J107" s="198">
        <v>0.32</v>
      </c>
      <c r="K107" s="198">
        <v>0.24</v>
      </c>
      <c r="L107" s="198">
        <v>0.23</v>
      </c>
      <c r="M107" s="198">
        <v>0.13</v>
      </c>
      <c r="N107" s="195" t="s">
        <v>403</v>
      </c>
      <c r="O107" s="44"/>
    </row>
    <row r="108" spans="1:15" x14ac:dyDescent="0.25">
      <c r="A108" s="199" t="s">
        <v>83</v>
      </c>
      <c r="B108" s="200"/>
      <c r="C108" s="201">
        <v>0.11</v>
      </c>
      <c r="D108" s="201">
        <v>0.23</v>
      </c>
      <c r="E108" s="201">
        <v>0.15</v>
      </c>
      <c r="F108" s="201">
        <v>0.2</v>
      </c>
      <c r="G108" s="201">
        <v>0.15</v>
      </c>
      <c r="H108" s="201">
        <v>0.09</v>
      </c>
      <c r="I108" s="201">
        <v>0.08</v>
      </c>
      <c r="J108" s="201">
        <v>0.26</v>
      </c>
      <c r="K108" s="201">
        <v>0.19</v>
      </c>
      <c r="L108" s="201">
        <v>0.21</v>
      </c>
      <c r="M108" s="201">
        <v>0.1</v>
      </c>
      <c r="N108" s="208" t="s">
        <v>403</v>
      </c>
      <c r="O108" s="44"/>
    </row>
    <row r="109" spans="1:15" x14ac:dyDescent="0.25">
      <c r="A109" s="194" t="s">
        <v>84</v>
      </c>
      <c r="B109" s="194"/>
      <c r="C109" s="198">
        <v>0.17</v>
      </c>
      <c r="D109" s="198">
        <v>0.18</v>
      </c>
      <c r="E109" s="198">
        <v>0.32</v>
      </c>
      <c r="F109" s="198">
        <v>0.32</v>
      </c>
      <c r="G109" s="198">
        <v>0.15</v>
      </c>
      <c r="H109" s="198">
        <v>0.21</v>
      </c>
      <c r="I109" s="198">
        <v>0.11</v>
      </c>
      <c r="J109" s="198">
        <v>0.17</v>
      </c>
      <c r="K109" s="198">
        <v>0.21</v>
      </c>
      <c r="L109" s="198">
        <v>0.24</v>
      </c>
      <c r="M109" s="198">
        <v>0.14000000000000001</v>
      </c>
      <c r="N109" s="195"/>
      <c r="O109" s="44" t="s">
        <v>509</v>
      </c>
    </row>
    <row r="110" spans="1:15" x14ac:dyDescent="0.25">
      <c r="A110" s="194" t="s">
        <v>88</v>
      </c>
      <c r="B110" s="194"/>
      <c r="C110" s="198">
        <v>0.11</v>
      </c>
      <c r="D110" s="198">
        <v>0.06</v>
      </c>
      <c r="E110" s="198">
        <v>0.19</v>
      </c>
      <c r="F110" s="198">
        <v>0.23</v>
      </c>
      <c r="G110" s="198">
        <v>0.15</v>
      </c>
      <c r="H110" s="198">
        <v>0.1</v>
      </c>
      <c r="I110" s="198">
        <v>0.16</v>
      </c>
      <c r="J110" s="198">
        <v>0.2</v>
      </c>
      <c r="K110" s="198">
        <v>0.23</v>
      </c>
      <c r="L110" s="198">
        <v>0.16</v>
      </c>
      <c r="M110" s="198">
        <v>0.11</v>
      </c>
      <c r="N110" s="195" t="s">
        <v>501</v>
      </c>
      <c r="O110" s="44"/>
    </row>
    <row r="111" spans="1:15" x14ac:dyDescent="0.25">
      <c r="A111" s="194" t="s">
        <v>88</v>
      </c>
      <c r="B111" s="194"/>
      <c r="C111" s="198">
        <v>0.14000000000000001</v>
      </c>
      <c r="D111" s="198">
        <v>0.08</v>
      </c>
      <c r="E111" s="198">
        <v>0.23</v>
      </c>
      <c r="F111" s="198">
        <v>0.27</v>
      </c>
      <c r="G111" s="198">
        <v>0.18</v>
      </c>
      <c r="H111" s="198">
        <v>0.13</v>
      </c>
      <c r="I111" s="198">
        <v>0.19</v>
      </c>
      <c r="J111" s="198">
        <v>0.24</v>
      </c>
      <c r="K111" s="198">
        <v>0.28000000000000003</v>
      </c>
      <c r="L111" s="198">
        <v>0.2</v>
      </c>
      <c r="M111" s="198">
        <v>0.14000000000000001</v>
      </c>
      <c r="N111" s="195" t="s">
        <v>514</v>
      </c>
      <c r="O111" s="44"/>
    </row>
    <row r="112" spans="1:15" x14ac:dyDescent="0.25">
      <c r="A112" s="194" t="s">
        <v>88</v>
      </c>
      <c r="B112" s="194"/>
      <c r="C112" s="198">
        <v>0.17</v>
      </c>
      <c r="D112" s="198">
        <v>0.1</v>
      </c>
      <c r="E112" s="198">
        <v>0.27</v>
      </c>
      <c r="F112" s="198">
        <v>0.31</v>
      </c>
      <c r="G112" s="198">
        <v>0.21</v>
      </c>
      <c r="H112" s="198">
        <v>0.16</v>
      </c>
      <c r="I112" s="198">
        <v>0.22</v>
      </c>
      <c r="J112" s="198">
        <v>0.27</v>
      </c>
      <c r="K112" s="198">
        <v>0.32</v>
      </c>
      <c r="L112" s="198">
        <v>0.23</v>
      </c>
      <c r="M112" s="198">
        <v>0.16</v>
      </c>
      <c r="N112" s="195" t="s">
        <v>403</v>
      </c>
      <c r="O112" s="44"/>
    </row>
    <row r="113" spans="1:15" x14ac:dyDescent="0.25">
      <c r="A113" s="194" t="s">
        <v>88</v>
      </c>
      <c r="B113" s="194"/>
      <c r="C113" s="198">
        <v>0.16</v>
      </c>
      <c r="D113" s="198">
        <v>0.1</v>
      </c>
      <c r="E113" s="198">
        <v>0.24</v>
      </c>
      <c r="F113" s="198">
        <v>0.28000000000000003</v>
      </c>
      <c r="G113" s="198">
        <v>0.19</v>
      </c>
      <c r="H113" s="198">
        <v>0.15</v>
      </c>
      <c r="I113" s="198">
        <v>0.22</v>
      </c>
      <c r="J113" s="198">
        <v>0.26</v>
      </c>
      <c r="K113" s="198">
        <v>0.31</v>
      </c>
      <c r="L113" s="198">
        <v>0.23</v>
      </c>
      <c r="M113" s="198">
        <v>0.16</v>
      </c>
      <c r="N113" s="195"/>
      <c r="O113" s="44" t="s">
        <v>509</v>
      </c>
    </row>
    <row r="114" spans="1:15" x14ac:dyDescent="0.25">
      <c r="A114" s="199" t="s">
        <v>88</v>
      </c>
      <c r="B114" s="200"/>
      <c r="C114" s="201">
        <v>0.16</v>
      </c>
      <c r="D114" s="201">
        <v>0.09</v>
      </c>
      <c r="E114" s="201">
        <v>0.27</v>
      </c>
      <c r="F114" s="201">
        <v>0.31</v>
      </c>
      <c r="G114" s="201">
        <v>0.2</v>
      </c>
      <c r="H114" s="201">
        <v>0.14000000000000001</v>
      </c>
      <c r="I114" s="201">
        <v>0.2</v>
      </c>
      <c r="J114" s="201">
        <v>0.26</v>
      </c>
      <c r="K114" s="201">
        <v>0.3</v>
      </c>
      <c r="L114" s="201">
        <v>0.22</v>
      </c>
      <c r="M114" s="201">
        <v>0.14000000000000001</v>
      </c>
      <c r="N114" s="208" t="s">
        <v>403</v>
      </c>
      <c r="O114" s="44"/>
    </row>
    <row r="115" spans="1:15" x14ac:dyDescent="0.25">
      <c r="A115" s="194" t="s">
        <v>87</v>
      </c>
      <c r="B115" s="194"/>
      <c r="C115" s="198">
        <v>0.14000000000000001</v>
      </c>
      <c r="D115" s="198">
        <v>0.31</v>
      </c>
      <c r="E115" s="198">
        <v>0.18</v>
      </c>
      <c r="F115" s="198">
        <v>0.2</v>
      </c>
      <c r="G115" s="198">
        <v>0.14000000000000001</v>
      </c>
      <c r="H115" s="198">
        <v>0.14000000000000001</v>
      </c>
      <c r="I115" s="198">
        <v>0.13</v>
      </c>
      <c r="J115" s="198">
        <v>0.21</v>
      </c>
      <c r="K115" s="198">
        <v>0.26</v>
      </c>
      <c r="L115" s="198">
        <v>0.14000000000000001</v>
      </c>
      <c r="M115" s="198">
        <v>0.11</v>
      </c>
      <c r="N115" s="196"/>
      <c r="O115" s="44" t="s">
        <v>509</v>
      </c>
    </row>
    <row r="124" spans="1:15" x14ac:dyDescent="0.25">
      <c r="G124">
        <v>10</v>
      </c>
      <c r="H124">
        <v>-10</v>
      </c>
    </row>
  </sheetData>
  <sheetProtection selectLockedCells="1"/>
  <customSheetViews>
    <customSheetView guid="{58F65609-3622-42C4-9926-1A56B88F9C36}" state="hidden" topLeftCell="A100">
      <selection activeCell="G126" sqref="G126"/>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L41"/>
  <sheetViews>
    <sheetView workbookViewId="0">
      <selection activeCell="E17" sqref="E17"/>
    </sheetView>
  </sheetViews>
  <sheetFormatPr defaultRowHeight="15" x14ac:dyDescent="0.25"/>
  <cols>
    <col min="1" max="1" width="3" customWidth="1"/>
    <col min="2" max="2" width="10.140625" customWidth="1"/>
    <col min="3" max="3" width="11.140625" customWidth="1"/>
    <col min="4" max="5" width="11.7109375" customWidth="1"/>
    <col min="6" max="6" width="10.140625" customWidth="1"/>
    <col min="7" max="7" width="11.140625" customWidth="1"/>
    <col min="8" max="9" width="13.42578125" customWidth="1"/>
    <col min="10" max="11" width="11.7109375" customWidth="1"/>
    <col min="12" max="12" width="60.28515625" customWidth="1"/>
    <col min="257" max="257" width="3" customWidth="1"/>
    <col min="258" max="258" width="10.140625" customWidth="1"/>
    <col min="259" max="259" width="11.140625" customWidth="1"/>
    <col min="260" max="261" width="11.7109375" customWidth="1"/>
    <col min="262" max="262" width="10.140625" customWidth="1"/>
    <col min="263" max="263" width="11.140625" customWidth="1"/>
    <col min="264" max="265" width="13.42578125" customWidth="1"/>
    <col min="266" max="267" width="11.7109375" customWidth="1"/>
    <col min="268" max="268" width="60.28515625" customWidth="1"/>
    <col min="513" max="513" width="3" customWidth="1"/>
    <col min="514" max="514" width="10.140625" customWidth="1"/>
    <col min="515" max="515" width="11.140625" customWidth="1"/>
    <col min="516" max="517" width="11.7109375" customWidth="1"/>
    <col min="518" max="518" width="10.140625" customWidth="1"/>
    <col min="519" max="519" width="11.140625" customWidth="1"/>
    <col min="520" max="521" width="13.42578125" customWidth="1"/>
    <col min="522" max="523" width="11.7109375" customWidth="1"/>
    <col min="524" max="524" width="60.28515625" customWidth="1"/>
    <col min="769" max="769" width="3" customWidth="1"/>
    <col min="770" max="770" width="10.140625" customWidth="1"/>
    <col min="771" max="771" width="11.140625" customWidth="1"/>
    <col min="772" max="773" width="11.7109375" customWidth="1"/>
    <col min="774" max="774" width="10.140625" customWidth="1"/>
    <col min="775" max="775" width="11.140625" customWidth="1"/>
    <col min="776" max="777" width="13.42578125" customWidth="1"/>
    <col min="778" max="779" width="11.7109375" customWidth="1"/>
    <col min="780" max="780" width="60.28515625" customWidth="1"/>
    <col min="1025" max="1025" width="3" customWidth="1"/>
    <col min="1026" max="1026" width="10.140625" customWidth="1"/>
    <col min="1027" max="1027" width="11.140625" customWidth="1"/>
    <col min="1028" max="1029" width="11.7109375" customWidth="1"/>
    <col min="1030" max="1030" width="10.140625" customWidth="1"/>
    <col min="1031" max="1031" width="11.140625" customWidth="1"/>
    <col min="1032" max="1033" width="13.42578125" customWidth="1"/>
    <col min="1034" max="1035" width="11.7109375" customWidth="1"/>
    <col min="1036" max="1036" width="60.28515625" customWidth="1"/>
    <col min="1281" max="1281" width="3" customWidth="1"/>
    <col min="1282" max="1282" width="10.140625" customWidth="1"/>
    <col min="1283" max="1283" width="11.140625" customWidth="1"/>
    <col min="1284" max="1285" width="11.7109375" customWidth="1"/>
    <col min="1286" max="1286" width="10.140625" customWidth="1"/>
    <col min="1287" max="1287" width="11.140625" customWidth="1"/>
    <col min="1288" max="1289" width="13.42578125" customWidth="1"/>
    <col min="1290" max="1291" width="11.7109375" customWidth="1"/>
    <col min="1292" max="1292" width="60.28515625" customWidth="1"/>
    <col min="1537" max="1537" width="3" customWidth="1"/>
    <col min="1538" max="1538" width="10.140625" customWidth="1"/>
    <col min="1539" max="1539" width="11.140625" customWidth="1"/>
    <col min="1540" max="1541" width="11.7109375" customWidth="1"/>
    <col min="1542" max="1542" width="10.140625" customWidth="1"/>
    <col min="1543" max="1543" width="11.140625" customWidth="1"/>
    <col min="1544" max="1545" width="13.42578125" customWidth="1"/>
    <col min="1546" max="1547" width="11.7109375" customWidth="1"/>
    <col min="1548" max="1548" width="60.28515625" customWidth="1"/>
    <col min="1793" max="1793" width="3" customWidth="1"/>
    <col min="1794" max="1794" width="10.140625" customWidth="1"/>
    <col min="1795" max="1795" width="11.140625" customWidth="1"/>
    <col min="1796" max="1797" width="11.7109375" customWidth="1"/>
    <col min="1798" max="1798" width="10.140625" customWidth="1"/>
    <col min="1799" max="1799" width="11.140625" customWidth="1"/>
    <col min="1800" max="1801" width="13.42578125" customWidth="1"/>
    <col min="1802" max="1803" width="11.7109375" customWidth="1"/>
    <col min="1804" max="1804" width="60.28515625" customWidth="1"/>
    <col min="2049" max="2049" width="3" customWidth="1"/>
    <col min="2050" max="2050" width="10.140625" customWidth="1"/>
    <col min="2051" max="2051" width="11.140625" customWidth="1"/>
    <col min="2052" max="2053" width="11.7109375" customWidth="1"/>
    <col min="2054" max="2054" width="10.140625" customWidth="1"/>
    <col min="2055" max="2055" width="11.140625" customWidth="1"/>
    <col min="2056" max="2057" width="13.42578125" customWidth="1"/>
    <col min="2058" max="2059" width="11.7109375" customWidth="1"/>
    <col min="2060" max="2060" width="60.28515625" customWidth="1"/>
    <col min="2305" max="2305" width="3" customWidth="1"/>
    <col min="2306" max="2306" width="10.140625" customWidth="1"/>
    <col min="2307" max="2307" width="11.140625" customWidth="1"/>
    <col min="2308" max="2309" width="11.7109375" customWidth="1"/>
    <col min="2310" max="2310" width="10.140625" customWidth="1"/>
    <col min="2311" max="2311" width="11.140625" customWidth="1"/>
    <col min="2312" max="2313" width="13.42578125" customWidth="1"/>
    <col min="2314" max="2315" width="11.7109375" customWidth="1"/>
    <col min="2316" max="2316" width="60.28515625" customWidth="1"/>
    <col min="2561" max="2561" width="3" customWidth="1"/>
    <col min="2562" max="2562" width="10.140625" customWidth="1"/>
    <col min="2563" max="2563" width="11.140625" customWidth="1"/>
    <col min="2564" max="2565" width="11.7109375" customWidth="1"/>
    <col min="2566" max="2566" width="10.140625" customWidth="1"/>
    <col min="2567" max="2567" width="11.140625" customWidth="1"/>
    <col min="2568" max="2569" width="13.42578125" customWidth="1"/>
    <col min="2570" max="2571" width="11.7109375" customWidth="1"/>
    <col min="2572" max="2572" width="60.28515625" customWidth="1"/>
    <col min="2817" max="2817" width="3" customWidth="1"/>
    <col min="2818" max="2818" width="10.140625" customWidth="1"/>
    <col min="2819" max="2819" width="11.140625" customWidth="1"/>
    <col min="2820" max="2821" width="11.7109375" customWidth="1"/>
    <col min="2822" max="2822" width="10.140625" customWidth="1"/>
    <col min="2823" max="2823" width="11.140625" customWidth="1"/>
    <col min="2824" max="2825" width="13.42578125" customWidth="1"/>
    <col min="2826" max="2827" width="11.7109375" customWidth="1"/>
    <col min="2828" max="2828" width="60.28515625" customWidth="1"/>
    <col min="3073" max="3073" width="3" customWidth="1"/>
    <col min="3074" max="3074" width="10.140625" customWidth="1"/>
    <col min="3075" max="3075" width="11.140625" customWidth="1"/>
    <col min="3076" max="3077" width="11.7109375" customWidth="1"/>
    <col min="3078" max="3078" width="10.140625" customWidth="1"/>
    <col min="3079" max="3079" width="11.140625" customWidth="1"/>
    <col min="3080" max="3081" width="13.42578125" customWidth="1"/>
    <col min="3082" max="3083" width="11.7109375" customWidth="1"/>
    <col min="3084" max="3084" width="60.28515625" customWidth="1"/>
    <col min="3329" max="3329" width="3" customWidth="1"/>
    <col min="3330" max="3330" width="10.140625" customWidth="1"/>
    <col min="3331" max="3331" width="11.140625" customWidth="1"/>
    <col min="3332" max="3333" width="11.7109375" customWidth="1"/>
    <col min="3334" max="3334" width="10.140625" customWidth="1"/>
    <col min="3335" max="3335" width="11.140625" customWidth="1"/>
    <col min="3336" max="3337" width="13.42578125" customWidth="1"/>
    <col min="3338" max="3339" width="11.7109375" customWidth="1"/>
    <col min="3340" max="3340" width="60.28515625" customWidth="1"/>
    <col min="3585" max="3585" width="3" customWidth="1"/>
    <col min="3586" max="3586" width="10.140625" customWidth="1"/>
    <col min="3587" max="3587" width="11.140625" customWidth="1"/>
    <col min="3588" max="3589" width="11.7109375" customWidth="1"/>
    <col min="3590" max="3590" width="10.140625" customWidth="1"/>
    <col min="3591" max="3591" width="11.140625" customWidth="1"/>
    <col min="3592" max="3593" width="13.42578125" customWidth="1"/>
    <col min="3594" max="3595" width="11.7109375" customWidth="1"/>
    <col min="3596" max="3596" width="60.28515625" customWidth="1"/>
    <col min="3841" max="3841" width="3" customWidth="1"/>
    <col min="3842" max="3842" width="10.140625" customWidth="1"/>
    <col min="3843" max="3843" width="11.140625" customWidth="1"/>
    <col min="3844" max="3845" width="11.7109375" customWidth="1"/>
    <col min="3846" max="3846" width="10.140625" customWidth="1"/>
    <col min="3847" max="3847" width="11.140625" customWidth="1"/>
    <col min="3848" max="3849" width="13.42578125" customWidth="1"/>
    <col min="3850" max="3851" width="11.7109375" customWidth="1"/>
    <col min="3852" max="3852" width="60.28515625" customWidth="1"/>
    <col min="4097" max="4097" width="3" customWidth="1"/>
    <col min="4098" max="4098" width="10.140625" customWidth="1"/>
    <col min="4099" max="4099" width="11.140625" customWidth="1"/>
    <col min="4100" max="4101" width="11.7109375" customWidth="1"/>
    <col min="4102" max="4102" width="10.140625" customWidth="1"/>
    <col min="4103" max="4103" width="11.140625" customWidth="1"/>
    <col min="4104" max="4105" width="13.42578125" customWidth="1"/>
    <col min="4106" max="4107" width="11.7109375" customWidth="1"/>
    <col min="4108" max="4108" width="60.28515625" customWidth="1"/>
    <col min="4353" max="4353" width="3" customWidth="1"/>
    <col min="4354" max="4354" width="10.140625" customWidth="1"/>
    <col min="4355" max="4355" width="11.140625" customWidth="1"/>
    <col min="4356" max="4357" width="11.7109375" customWidth="1"/>
    <col min="4358" max="4358" width="10.140625" customWidth="1"/>
    <col min="4359" max="4359" width="11.140625" customWidth="1"/>
    <col min="4360" max="4361" width="13.42578125" customWidth="1"/>
    <col min="4362" max="4363" width="11.7109375" customWidth="1"/>
    <col min="4364" max="4364" width="60.28515625" customWidth="1"/>
    <col min="4609" max="4609" width="3" customWidth="1"/>
    <col min="4610" max="4610" width="10.140625" customWidth="1"/>
    <col min="4611" max="4611" width="11.140625" customWidth="1"/>
    <col min="4612" max="4613" width="11.7109375" customWidth="1"/>
    <col min="4614" max="4614" width="10.140625" customWidth="1"/>
    <col min="4615" max="4615" width="11.140625" customWidth="1"/>
    <col min="4616" max="4617" width="13.42578125" customWidth="1"/>
    <col min="4618" max="4619" width="11.7109375" customWidth="1"/>
    <col min="4620" max="4620" width="60.28515625" customWidth="1"/>
    <col min="4865" max="4865" width="3" customWidth="1"/>
    <col min="4866" max="4866" width="10.140625" customWidth="1"/>
    <col min="4867" max="4867" width="11.140625" customWidth="1"/>
    <col min="4868" max="4869" width="11.7109375" customWidth="1"/>
    <col min="4870" max="4870" width="10.140625" customWidth="1"/>
    <col min="4871" max="4871" width="11.140625" customWidth="1"/>
    <col min="4872" max="4873" width="13.42578125" customWidth="1"/>
    <col min="4874" max="4875" width="11.7109375" customWidth="1"/>
    <col min="4876" max="4876" width="60.28515625" customWidth="1"/>
    <col min="5121" max="5121" width="3" customWidth="1"/>
    <col min="5122" max="5122" width="10.140625" customWidth="1"/>
    <col min="5123" max="5123" width="11.140625" customWidth="1"/>
    <col min="5124" max="5125" width="11.7109375" customWidth="1"/>
    <col min="5126" max="5126" width="10.140625" customWidth="1"/>
    <col min="5127" max="5127" width="11.140625" customWidth="1"/>
    <col min="5128" max="5129" width="13.42578125" customWidth="1"/>
    <col min="5130" max="5131" width="11.7109375" customWidth="1"/>
    <col min="5132" max="5132" width="60.28515625" customWidth="1"/>
    <col min="5377" max="5377" width="3" customWidth="1"/>
    <col min="5378" max="5378" width="10.140625" customWidth="1"/>
    <col min="5379" max="5379" width="11.140625" customWidth="1"/>
    <col min="5380" max="5381" width="11.7109375" customWidth="1"/>
    <col min="5382" max="5382" width="10.140625" customWidth="1"/>
    <col min="5383" max="5383" width="11.140625" customWidth="1"/>
    <col min="5384" max="5385" width="13.42578125" customWidth="1"/>
    <col min="5386" max="5387" width="11.7109375" customWidth="1"/>
    <col min="5388" max="5388" width="60.28515625" customWidth="1"/>
    <col min="5633" max="5633" width="3" customWidth="1"/>
    <col min="5634" max="5634" width="10.140625" customWidth="1"/>
    <col min="5635" max="5635" width="11.140625" customWidth="1"/>
    <col min="5636" max="5637" width="11.7109375" customWidth="1"/>
    <col min="5638" max="5638" width="10.140625" customWidth="1"/>
    <col min="5639" max="5639" width="11.140625" customWidth="1"/>
    <col min="5640" max="5641" width="13.42578125" customWidth="1"/>
    <col min="5642" max="5643" width="11.7109375" customWidth="1"/>
    <col min="5644" max="5644" width="60.28515625" customWidth="1"/>
    <col min="5889" max="5889" width="3" customWidth="1"/>
    <col min="5890" max="5890" width="10.140625" customWidth="1"/>
    <col min="5891" max="5891" width="11.140625" customWidth="1"/>
    <col min="5892" max="5893" width="11.7109375" customWidth="1"/>
    <col min="5894" max="5894" width="10.140625" customWidth="1"/>
    <col min="5895" max="5895" width="11.140625" customWidth="1"/>
    <col min="5896" max="5897" width="13.42578125" customWidth="1"/>
    <col min="5898" max="5899" width="11.7109375" customWidth="1"/>
    <col min="5900" max="5900" width="60.28515625" customWidth="1"/>
    <col min="6145" max="6145" width="3" customWidth="1"/>
    <col min="6146" max="6146" width="10.140625" customWidth="1"/>
    <col min="6147" max="6147" width="11.140625" customWidth="1"/>
    <col min="6148" max="6149" width="11.7109375" customWidth="1"/>
    <col min="6150" max="6150" width="10.140625" customWidth="1"/>
    <col min="6151" max="6151" width="11.140625" customWidth="1"/>
    <col min="6152" max="6153" width="13.42578125" customWidth="1"/>
    <col min="6154" max="6155" width="11.7109375" customWidth="1"/>
    <col min="6156" max="6156" width="60.28515625" customWidth="1"/>
    <col min="6401" max="6401" width="3" customWidth="1"/>
    <col min="6402" max="6402" width="10.140625" customWidth="1"/>
    <col min="6403" max="6403" width="11.140625" customWidth="1"/>
    <col min="6404" max="6405" width="11.7109375" customWidth="1"/>
    <col min="6406" max="6406" width="10.140625" customWidth="1"/>
    <col min="6407" max="6407" width="11.140625" customWidth="1"/>
    <col min="6408" max="6409" width="13.42578125" customWidth="1"/>
    <col min="6410" max="6411" width="11.7109375" customWidth="1"/>
    <col min="6412" max="6412" width="60.28515625" customWidth="1"/>
    <col min="6657" max="6657" width="3" customWidth="1"/>
    <col min="6658" max="6658" width="10.140625" customWidth="1"/>
    <col min="6659" max="6659" width="11.140625" customWidth="1"/>
    <col min="6660" max="6661" width="11.7109375" customWidth="1"/>
    <col min="6662" max="6662" width="10.140625" customWidth="1"/>
    <col min="6663" max="6663" width="11.140625" customWidth="1"/>
    <col min="6664" max="6665" width="13.42578125" customWidth="1"/>
    <col min="6666" max="6667" width="11.7109375" customWidth="1"/>
    <col min="6668" max="6668" width="60.28515625" customWidth="1"/>
    <col min="6913" max="6913" width="3" customWidth="1"/>
    <col min="6914" max="6914" width="10.140625" customWidth="1"/>
    <col min="6915" max="6915" width="11.140625" customWidth="1"/>
    <col min="6916" max="6917" width="11.7109375" customWidth="1"/>
    <col min="6918" max="6918" width="10.140625" customWidth="1"/>
    <col min="6919" max="6919" width="11.140625" customWidth="1"/>
    <col min="6920" max="6921" width="13.42578125" customWidth="1"/>
    <col min="6922" max="6923" width="11.7109375" customWidth="1"/>
    <col min="6924" max="6924" width="60.28515625" customWidth="1"/>
    <col min="7169" max="7169" width="3" customWidth="1"/>
    <col min="7170" max="7170" width="10.140625" customWidth="1"/>
    <col min="7171" max="7171" width="11.140625" customWidth="1"/>
    <col min="7172" max="7173" width="11.7109375" customWidth="1"/>
    <col min="7174" max="7174" width="10.140625" customWidth="1"/>
    <col min="7175" max="7175" width="11.140625" customWidth="1"/>
    <col min="7176" max="7177" width="13.42578125" customWidth="1"/>
    <col min="7178" max="7179" width="11.7109375" customWidth="1"/>
    <col min="7180" max="7180" width="60.28515625" customWidth="1"/>
    <col min="7425" max="7425" width="3" customWidth="1"/>
    <col min="7426" max="7426" width="10.140625" customWidth="1"/>
    <col min="7427" max="7427" width="11.140625" customWidth="1"/>
    <col min="7428" max="7429" width="11.7109375" customWidth="1"/>
    <col min="7430" max="7430" width="10.140625" customWidth="1"/>
    <col min="7431" max="7431" width="11.140625" customWidth="1"/>
    <col min="7432" max="7433" width="13.42578125" customWidth="1"/>
    <col min="7434" max="7435" width="11.7109375" customWidth="1"/>
    <col min="7436" max="7436" width="60.28515625" customWidth="1"/>
    <col min="7681" max="7681" width="3" customWidth="1"/>
    <col min="7682" max="7682" width="10.140625" customWidth="1"/>
    <col min="7683" max="7683" width="11.140625" customWidth="1"/>
    <col min="7684" max="7685" width="11.7109375" customWidth="1"/>
    <col min="7686" max="7686" width="10.140625" customWidth="1"/>
    <col min="7687" max="7687" width="11.140625" customWidth="1"/>
    <col min="7688" max="7689" width="13.42578125" customWidth="1"/>
    <col min="7690" max="7691" width="11.7109375" customWidth="1"/>
    <col min="7692" max="7692" width="60.28515625" customWidth="1"/>
    <col min="7937" max="7937" width="3" customWidth="1"/>
    <col min="7938" max="7938" width="10.140625" customWidth="1"/>
    <col min="7939" max="7939" width="11.140625" customWidth="1"/>
    <col min="7940" max="7941" width="11.7109375" customWidth="1"/>
    <col min="7942" max="7942" width="10.140625" customWidth="1"/>
    <col min="7943" max="7943" width="11.140625" customWidth="1"/>
    <col min="7944" max="7945" width="13.42578125" customWidth="1"/>
    <col min="7946" max="7947" width="11.7109375" customWidth="1"/>
    <col min="7948" max="7948" width="60.28515625" customWidth="1"/>
    <col min="8193" max="8193" width="3" customWidth="1"/>
    <col min="8194" max="8194" width="10.140625" customWidth="1"/>
    <col min="8195" max="8195" width="11.140625" customWidth="1"/>
    <col min="8196" max="8197" width="11.7109375" customWidth="1"/>
    <col min="8198" max="8198" width="10.140625" customWidth="1"/>
    <col min="8199" max="8199" width="11.140625" customWidth="1"/>
    <col min="8200" max="8201" width="13.42578125" customWidth="1"/>
    <col min="8202" max="8203" width="11.7109375" customWidth="1"/>
    <col min="8204" max="8204" width="60.28515625" customWidth="1"/>
    <col min="8449" max="8449" width="3" customWidth="1"/>
    <col min="8450" max="8450" width="10.140625" customWidth="1"/>
    <col min="8451" max="8451" width="11.140625" customWidth="1"/>
    <col min="8452" max="8453" width="11.7109375" customWidth="1"/>
    <col min="8454" max="8454" width="10.140625" customWidth="1"/>
    <col min="8455" max="8455" width="11.140625" customWidth="1"/>
    <col min="8456" max="8457" width="13.42578125" customWidth="1"/>
    <col min="8458" max="8459" width="11.7109375" customWidth="1"/>
    <col min="8460" max="8460" width="60.28515625" customWidth="1"/>
    <col min="8705" max="8705" width="3" customWidth="1"/>
    <col min="8706" max="8706" width="10.140625" customWidth="1"/>
    <col min="8707" max="8707" width="11.140625" customWidth="1"/>
    <col min="8708" max="8709" width="11.7109375" customWidth="1"/>
    <col min="8710" max="8710" width="10.140625" customWidth="1"/>
    <col min="8711" max="8711" width="11.140625" customWidth="1"/>
    <col min="8712" max="8713" width="13.42578125" customWidth="1"/>
    <col min="8714" max="8715" width="11.7109375" customWidth="1"/>
    <col min="8716" max="8716" width="60.28515625" customWidth="1"/>
    <col min="8961" max="8961" width="3" customWidth="1"/>
    <col min="8962" max="8962" width="10.140625" customWidth="1"/>
    <col min="8963" max="8963" width="11.140625" customWidth="1"/>
    <col min="8964" max="8965" width="11.7109375" customWidth="1"/>
    <col min="8966" max="8966" width="10.140625" customWidth="1"/>
    <col min="8967" max="8967" width="11.140625" customWidth="1"/>
    <col min="8968" max="8969" width="13.42578125" customWidth="1"/>
    <col min="8970" max="8971" width="11.7109375" customWidth="1"/>
    <col min="8972" max="8972" width="60.28515625" customWidth="1"/>
    <col min="9217" max="9217" width="3" customWidth="1"/>
    <col min="9218" max="9218" width="10.140625" customWidth="1"/>
    <col min="9219" max="9219" width="11.140625" customWidth="1"/>
    <col min="9220" max="9221" width="11.7109375" customWidth="1"/>
    <col min="9222" max="9222" width="10.140625" customWidth="1"/>
    <col min="9223" max="9223" width="11.140625" customWidth="1"/>
    <col min="9224" max="9225" width="13.42578125" customWidth="1"/>
    <col min="9226" max="9227" width="11.7109375" customWidth="1"/>
    <col min="9228" max="9228" width="60.28515625" customWidth="1"/>
    <col min="9473" max="9473" width="3" customWidth="1"/>
    <col min="9474" max="9474" width="10.140625" customWidth="1"/>
    <col min="9475" max="9475" width="11.140625" customWidth="1"/>
    <col min="9476" max="9477" width="11.7109375" customWidth="1"/>
    <col min="9478" max="9478" width="10.140625" customWidth="1"/>
    <col min="9479" max="9479" width="11.140625" customWidth="1"/>
    <col min="9480" max="9481" width="13.42578125" customWidth="1"/>
    <col min="9482" max="9483" width="11.7109375" customWidth="1"/>
    <col min="9484" max="9484" width="60.28515625" customWidth="1"/>
    <col min="9729" max="9729" width="3" customWidth="1"/>
    <col min="9730" max="9730" width="10.140625" customWidth="1"/>
    <col min="9731" max="9731" width="11.140625" customWidth="1"/>
    <col min="9732" max="9733" width="11.7109375" customWidth="1"/>
    <col min="9734" max="9734" width="10.140625" customWidth="1"/>
    <col min="9735" max="9735" width="11.140625" customWidth="1"/>
    <col min="9736" max="9737" width="13.42578125" customWidth="1"/>
    <col min="9738" max="9739" width="11.7109375" customWidth="1"/>
    <col min="9740" max="9740" width="60.28515625" customWidth="1"/>
    <col min="9985" max="9985" width="3" customWidth="1"/>
    <col min="9986" max="9986" width="10.140625" customWidth="1"/>
    <col min="9987" max="9987" width="11.140625" customWidth="1"/>
    <col min="9988" max="9989" width="11.7109375" customWidth="1"/>
    <col min="9990" max="9990" width="10.140625" customWidth="1"/>
    <col min="9991" max="9991" width="11.140625" customWidth="1"/>
    <col min="9992" max="9993" width="13.42578125" customWidth="1"/>
    <col min="9994" max="9995" width="11.7109375" customWidth="1"/>
    <col min="9996" max="9996" width="60.28515625" customWidth="1"/>
    <col min="10241" max="10241" width="3" customWidth="1"/>
    <col min="10242" max="10242" width="10.140625" customWidth="1"/>
    <col min="10243" max="10243" width="11.140625" customWidth="1"/>
    <col min="10244" max="10245" width="11.7109375" customWidth="1"/>
    <col min="10246" max="10246" width="10.140625" customWidth="1"/>
    <col min="10247" max="10247" width="11.140625" customWidth="1"/>
    <col min="10248" max="10249" width="13.42578125" customWidth="1"/>
    <col min="10250" max="10251" width="11.7109375" customWidth="1"/>
    <col min="10252" max="10252" width="60.28515625" customWidth="1"/>
    <col min="10497" max="10497" width="3" customWidth="1"/>
    <col min="10498" max="10498" width="10.140625" customWidth="1"/>
    <col min="10499" max="10499" width="11.140625" customWidth="1"/>
    <col min="10500" max="10501" width="11.7109375" customWidth="1"/>
    <col min="10502" max="10502" width="10.140625" customWidth="1"/>
    <col min="10503" max="10503" width="11.140625" customWidth="1"/>
    <col min="10504" max="10505" width="13.42578125" customWidth="1"/>
    <col min="10506" max="10507" width="11.7109375" customWidth="1"/>
    <col min="10508" max="10508" width="60.28515625" customWidth="1"/>
    <col min="10753" max="10753" width="3" customWidth="1"/>
    <col min="10754" max="10754" width="10.140625" customWidth="1"/>
    <col min="10755" max="10755" width="11.140625" customWidth="1"/>
    <col min="10756" max="10757" width="11.7109375" customWidth="1"/>
    <col min="10758" max="10758" width="10.140625" customWidth="1"/>
    <col min="10759" max="10759" width="11.140625" customWidth="1"/>
    <col min="10760" max="10761" width="13.42578125" customWidth="1"/>
    <col min="10762" max="10763" width="11.7109375" customWidth="1"/>
    <col min="10764" max="10764" width="60.28515625" customWidth="1"/>
    <col min="11009" max="11009" width="3" customWidth="1"/>
    <col min="11010" max="11010" width="10.140625" customWidth="1"/>
    <col min="11011" max="11011" width="11.140625" customWidth="1"/>
    <col min="11012" max="11013" width="11.7109375" customWidth="1"/>
    <col min="11014" max="11014" width="10.140625" customWidth="1"/>
    <col min="11015" max="11015" width="11.140625" customWidth="1"/>
    <col min="11016" max="11017" width="13.42578125" customWidth="1"/>
    <col min="11018" max="11019" width="11.7109375" customWidth="1"/>
    <col min="11020" max="11020" width="60.28515625" customWidth="1"/>
    <col min="11265" max="11265" width="3" customWidth="1"/>
    <col min="11266" max="11266" width="10.140625" customWidth="1"/>
    <col min="11267" max="11267" width="11.140625" customWidth="1"/>
    <col min="11268" max="11269" width="11.7109375" customWidth="1"/>
    <col min="11270" max="11270" width="10.140625" customWidth="1"/>
    <col min="11271" max="11271" width="11.140625" customWidth="1"/>
    <col min="11272" max="11273" width="13.42578125" customWidth="1"/>
    <col min="11274" max="11275" width="11.7109375" customWidth="1"/>
    <col min="11276" max="11276" width="60.28515625" customWidth="1"/>
    <col min="11521" max="11521" width="3" customWidth="1"/>
    <col min="11522" max="11522" width="10.140625" customWidth="1"/>
    <col min="11523" max="11523" width="11.140625" customWidth="1"/>
    <col min="11524" max="11525" width="11.7109375" customWidth="1"/>
    <col min="11526" max="11526" width="10.140625" customWidth="1"/>
    <col min="11527" max="11527" width="11.140625" customWidth="1"/>
    <col min="11528" max="11529" width="13.42578125" customWidth="1"/>
    <col min="11530" max="11531" width="11.7109375" customWidth="1"/>
    <col min="11532" max="11532" width="60.28515625" customWidth="1"/>
    <col min="11777" max="11777" width="3" customWidth="1"/>
    <col min="11778" max="11778" width="10.140625" customWidth="1"/>
    <col min="11779" max="11779" width="11.140625" customWidth="1"/>
    <col min="11780" max="11781" width="11.7109375" customWidth="1"/>
    <col min="11782" max="11782" width="10.140625" customWidth="1"/>
    <col min="11783" max="11783" width="11.140625" customWidth="1"/>
    <col min="11784" max="11785" width="13.42578125" customWidth="1"/>
    <col min="11786" max="11787" width="11.7109375" customWidth="1"/>
    <col min="11788" max="11788" width="60.28515625" customWidth="1"/>
    <col min="12033" max="12033" width="3" customWidth="1"/>
    <col min="12034" max="12034" width="10.140625" customWidth="1"/>
    <col min="12035" max="12035" width="11.140625" customWidth="1"/>
    <col min="12036" max="12037" width="11.7109375" customWidth="1"/>
    <col min="12038" max="12038" width="10.140625" customWidth="1"/>
    <col min="12039" max="12039" width="11.140625" customWidth="1"/>
    <col min="12040" max="12041" width="13.42578125" customWidth="1"/>
    <col min="12042" max="12043" width="11.7109375" customWidth="1"/>
    <col min="12044" max="12044" width="60.28515625" customWidth="1"/>
    <col min="12289" max="12289" width="3" customWidth="1"/>
    <col min="12290" max="12290" width="10.140625" customWidth="1"/>
    <col min="12291" max="12291" width="11.140625" customWidth="1"/>
    <col min="12292" max="12293" width="11.7109375" customWidth="1"/>
    <col min="12294" max="12294" width="10.140625" customWidth="1"/>
    <col min="12295" max="12295" width="11.140625" customWidth="1"/>
    <col min="12296" max="12297" width="13.42578125" customWidth="1"/>
    <col min="12298" max="12299" width="11.7109375" customWidth="1"/>
    <col min="12300" max="12300" width="60.28515625" customWidth="1"/>
    <col min="12545" max="12545" width="3" customWidth="1"/>
    <col min="12546" max="12546" width="10.140625" customWidth="1"/>
    <col min="12547" max="12547" width="11.140625" customWidth="1"/>
    <col min="12548" max="12549" width="11.7109375" customWidth="1"/>
    <col min="12550" max="12550" width="10.140625" customWidth="1"/>
    <col min="12551" max="12551" width="11.140625" customWidth="1"/>
    <col min="12552" max="12553" width="13.42578125" customWidth="1"/>
    <col min="12554" max="12555" width="11.7109375" customWidth="1"/>
    <col min="12556" max="12556" width="60.28515625" customWidth="1"/>
    <col min="12801" max="12801" width="3" customWidth="1"/>
    <col min="12802" max="12802" width="10.140625" customWidth="1"/>
    <col min="12803" max="12803" width="11.140625" customWidth="1"/>
    <col min="12804" max="12805" width="11.7109375" customWidth="1"/>
    <col min="12806" max="12806" width="10.140625" customWidth="1"/>
    <col min="12807" max="12807" width="11.140625" customWidth="1"/>
    <col min="12808" max="12809" width="13.42578125" customWidth="1"/>
    <col min="12810" max="12811" width="11.7109375" customWidth="1"/>
    <col min="12812" max="12812" width="60.28515625" customWidth="1"/>
    <col min="13057" max="13057" width="3" customWidth="1"/>
    <col min="13058" max="13058" width="10.140625" customWidth="1"/>
    <col min="13059" max="13059" width="11.140625" customWidth="1"/>
    <col min="13060" max="13061" width="11.7109375" customWidth="1"/>
    <col min="13062" max="13062" width="10.140625" customWidth="1"/>
    <col min="13063" max="13063" width="11.140625" customWidth="1"/>
    <col min="13064" max="13065" width="13.42578125" customWidth="1"/>
    <col min="13066" max="13067" width="11.7109375" customWidth="1"/>
    <col min="13068" max="13068" width="60.28515625" customWidth="1"/>
    <col min="13313" max="13313" width="3" customWidth="1"/>
    <col min="13314" max="13314" width="10.140625" customWidth="1"/>
    <col min="13315" max="13315" width="11.140625" customWidth="1"/>
    <col min="13316" max="13317" width="11.7109375" customWidth="1"/>
    <col min="13318" max="13318" width="10.140625" customWidth="1"/>
    <col min="13319" max="13319" width="11.140625" customWidth="1"/>
    <col min="13320" max="13321" width="13.42578125" customWidth="1"/>
    <col min="13322" max="13323" width="11.7109375" customWidth="1"/>
    <col min="13324" max="13324" width="60.28515625" customWidth="1"/>
    <col min="13569" max="13569" width="3" customWidth="1"/>
    <col min="13570" max="13570" width="10.140625" customWidth="1"/>
    <col min="13571" max="13571" width="11.140625" customWidth="1"/>
    <col min="13572" max="13573" width="11.7109375" customWidth="1"/>
    <col min="13574" max="13574" width="10.140625" customWidth="1"/>
    <col min="13575" max="13575" width="11.140625" customWidth="1"/>
    <col min="13576" max="13577" width="13.42578125" customWidth="1"/>
    <col min="13578" max="13579" width="11.7109375" customWidth="1"/>
    <col min="13580" max="13580" width="60.28515625" customWidth="1"/>
    <col min="13825" max="13825" width="3" customWidth="1"/>
    <col min="13826" max="13826" width="10.140625" customWidth="1"/>
    <col min="13827" max="13827" width="11.140625" customWidth="1"/>
    <col min="13828" max="13829" width="11.7109375" customWidth="1"/>
    <col min="13830" max="13830" width="10.140625" customWidth="1"/>
    <col min="13831" max="13831" width="11.140625" customWidth="1"/>
    <col min="13832" max="13833" width="13.42578125" customWidth="1"/>
    <col min="13834" max="13835" width="11.7109375" customWidth="1"/>
    <col min="13836" max="13836" width="60.28515625" customWidth="1"/>
    <col min="14081" max="14081" width="3" customWidth="1"/>
    <col min="14082" max="14082" width="10.140625" customWidth="1"/>
    <col min="14083" max="14083" width="11.140625" customWidth="1"/>
    <col min="14084" max="14085" width="11.7109375" customWidth="1"/>
    <col min="14086" max="14086" width="10.140625" customWidth="1"/>
    <col min="14087" max="14087" width="11.140625" customWidth="1"/>
    <col min="14088" max="14089" width="13.42578125" customWidth="1"/>
    <col min="14090" max="14091" width="11.7109375" customWidth="1"/>
    <col min="14092" max="14092" width="60.28515625" customWidth="1"/>
    <col min="14337" max="14337" width="3" customWidth="1"/>
    <col min="14338" max="14338" width="10.140625" customWidth="1"/>
    <col min="14339" max="14339" width="11.140625" customWidth="1"/>
    <col min="14340" max="14341" width="11.7109375" customWidth="1"/>
    <col min="14342" max="14342" width="10.140625" customWidth="1"/>
    <col min="14343" max="14343" width="11.140625" customWidth="1"/>
    <col min="14344" max="14345" width="13.42578125" customWidth="1"/>
    <col min="14346" max="14347" width="11.7109375" customWidth="1"/>
    <col min="14348" max="14348" width="60.28515625" customWidth="1"/>
    <col min="14593" max="14593" width="3" customWidth="1"/>
    <col min="14594" max="14594" width="10.140625" customWidth="1"/>
    <col min="14595" max="14595" width="11.140625" customWidth="1"/>
    <col min="14596" max="14597" width="11.7109375" customWidth="1"/>
    <col min="14598" max="14598" width="10.140625" customWidth="1"/>
    <col min="14599" max="14599" width="11.140625" customWidth="1"/>
    <col min="14600" max="14601" width="13.42578125" customWidth="1"/>
    <col min="14602" max="14603" width="11.7109375" customWidth="1"/>
    <col min="14604" max="14604" width="60.28515625" customWidth="1"/>
    <col min="14849" max="14849" width="3" customWidth="1"/>
    <col min="14850" max="14850" width="10.140625" customWidth="1"/>
    <col min="14851" max="14851" width="11.140625" customWidth="1"/>
    <col min="14852" max="14853" width="11.7109375" customWidth="1"/>
    <col min="14854" max="14854" width="10.140625" customWidth="1"/>
    <col min="14855" max="14855" width="11.140625" customWidth="1"/>
    <col min="14856" max="14857" width="13.42578125" customWidth="1"/>
    <col min="14858" max="14859" width="11.7109375" customWidth="1"/>
    <col min="14860" max="14860" width="60.28515625" customWidth="1"/>
    <col min="15105" max="15105" width="3" customWidth="1"/>
    <col min="15106" max="15106" width="10.140625" customWidth="1"/>
    <col min="15107" max="15107" width="11.140625" customWidth="1"/>
    <col min="15108" max="15109" width="11.7109375" customWidth="1"/>
    <col min="15110" max="15110" width="10.140625" customWidth="1"/>
    <col min="15111" max="15111" width="11.140625" customWidth="1"/>
    <col min="15112" max="15113" width="13.42578125" customWidth="1"/>
    <col min="15114" max="15115" width="11.7109375" customWidth="1"/>
    <col min="15116" max="15116" width="60.28515625" customWidth="1"/>
    <col min="15361" max="15361" width="3" customWidth="1"/>
    <col min="15362" max="15362" width="10.140625" customWidth="1"/>
    <col min="15363" max="15363" width="11.140625" customWidth="1"/>
    <col min="15364" max="15365" width="11.7109375" customWidth="1"/>
    <col min="15366" max="15366" width="10.140625" customWidth="1"/>
    <col min="15367" max="15367" width="11.140625" customWidth="1"/>
    <col min="15368" max="15369" width="13.42578125" customWidth="1"/>
    <col min="15370" max="15371" width="11.7109375" customWidth="1"/>
    <col min="15372" max="15372" width="60.28515625" customWidth="1"/>
    <col min="15617" max="15617" width="3" customWidth="1"/>
    <col min="15618" max="15618" width="10.140625" customWidth="1"/>
    <col min="15619" max="15619" width="11.140625" customWidth="1"/>
    <col min="15620" max="15621" width="11.7109375" customWidth="1"/>
    <col min="15622" max="15622" width="10.140625" customWidth="1"/>
    <col min="15623" max="15623" width="11.140625" customWidth="1"/>
    <col min="15624" max="15625" width="13.42578125" customWidth="1"/>
    <col min="15626" max="15627" width="11.7109375" customWidth="1"/>
    <col min="15628" max="15628" width="60.28515625" customWidth="1"/>
    <col min="15873" max="15873" width="3" customWidth="1"/>
    <col min="15874" max="15874" width="10.140625" customWidth="1"/>
    <col min="15875" max="15875" width="11.140625" customWidth="1"/>
    <col min="15876" max="15877" width="11.7109375" customWidth="1"/>
    <col min="15878" max="15878" width="10.140625" customWidth="1"/>
    <col min="15879" max="15879" width="11.140625" customWidth="1"/>
    <col min="15880" max="15881" width="13.42578125" customWidth="1"/>
    <col min="15882" max="15883" width="11.7109375" customWidth="1"/>
    <col min="15884" max="15884" width="60.28515625" customWidth="1"/>
    <col min="16129" max="16129" width="3" customWidth="1"/>
    <col min="16130" max="16130" width="10.140625" customWidth="1"/>
    <col min="16131" max="16131" width="11.140625" customWidth="1"/>
    <col min="16132" max="16133" width="11.7109375" customWidth="1"/>
    <col min="16134" max="16134" width="10.140625" customWidth="1"/>
    <col min="16135" max="16135" width="11.140625" customWidth="1"/>
    <col min="16136" max="16137" width="13.42578125" customWidth="1"/>
    <col min="16138" max="16139" width="11.7109375" customWidth="1"/>
    <col min="16140" max="16140" width="60.28515625" customWidth="1"/>
  </cols>
  <sheetData>
    <row r="1" spans="1:12" x14ac:dyDescent="0.25">
      <c r="B1" t="s">
        <v>528</v>
      </c>
      <c r="C1" t="s">
        <v>529</v>
      </c>
      <c r="D1" t="s">
        <v>530</v>
      </c>
      <c r="E1" t="s">
        <v>531</v>
      </c>
      <c r="F1" t="s">
        <v>532</v>
      </c>
      <c r="G1" t="s">
        <v>533</v>
      </c>
      <c r="H1" t="s">
        <v>534</v>
      </c>
      <c r="I1" t="s">
        <v>535</v>
      </c>
      <c r="J1" t="s">
        <v>536</v>
      </c>
      <c r="K1" t="s">
        <v>537</v>
      </c>
      <c r="L1" t="s">
        <v>538</v>
      </c>
    </row>
    <row r="2" spans="1:12" x14ac:dyDescent="0.25">
      <c r="A2">
        <v>1</v>
      </c>
      <c r="B2" s="214">
        <v>2500000</v>
      </c>
      <c r="C2" s="214">
        <v>22000000</v>
      </c>
      <c r="D2" s="214">
        <v>2000000</v>
      </c>
      <c r="E2" s="214">
        <v>18000000</v>
      </c>
      <c r="F2" s="214">
        <v>1500000</v>
      </c>
      <c r="G2" s="214">
        <v>15000000</v>
      </c>
      <c r="H2" s="214">
        <v>1000000</v>
      </c>
      <c r="I2" s="214">
        <v>12000000</v>
      </c>
      <c r="J2" s="214">
        <v>500000</v>
      </c>
      <c r="K2" s="214">
        <v>8000000</v>
      </c>
      <c r="L2" t="s">
        <v>538</v>
      </c>
    </row>
    <row r="3" spans="1:12" x14ac:dyDescent="0.25">
      <c r="A3">
        <v>2</v>
      </c>
      <c r="B3" s="214">
        <v>2250000</v>
      </c>
      <c r="C3" s="214">
        <v>21620513</v>
      </c>
      <c r="D3" s="214">
        <v>1800000</v>
      </c>
      <c r="E3" s="214">
        <v>17671795</v>
      </c>
      <c r="F3" s="214">
        <v>1350000</v>
      </c>
      <c r="G3" s="214">
        <v>14710256</v>
      </c>
      <c r="H3" s="214">
        <v>900000</v>
      </c>
      <c r="I3" s="214">
        <v>11748718</v>
      </c>
      <c r="J3" s="214">
        <v>450000</v>
      </c>
      <c r="K3" s="214">
        <v>7800000</v>
      </c>
      <c r="L3" t="s">
        <v>538</v>
      </c>
    </row>
    <row r="4" spans="1:12" x14ac:dyDescent="0.25">
      <c r="A4">
        <v>3</v>
      </c>
      <c r="B4" s="214">
        <v>2000000</v>
      </c>
      <c r="C4" s="214">
        <v>21341026</v>
      </c>
      <c r="D4" s="214">
        <v>1600000</v>
      </c>
      <c r="E4" s="214">
        <v>17443590</v>
      </c>
      <c r="F4" s="214">
        <v>1200000</v>
      </c>
      <c r="G4" s="214">
        <v>14520513</v>
      </c>
      <c r="H4" s="214">
        <v>800000</v>
      </c>
      <c r="I4" s="214">
        <v>11597435</v>
      </c>
      <c r="J4" s="214">
        <v>400000</v>
      </c>
      <c r="K4" s="214">
        <v>7700000</v>
      </c>
      <c r="L4" t="s">
        <v>538</v>
      </c>
    </row>
    <row r="5" spans="1:12" x14ac:dyDescent="0.25">
      <c r="A5">
        <v>4</v>
      </c>
      <c r="B5" s="214">
        <v>1850000</v>
      </c>
      <c r="C5" s="214">
        <v>21061542.600000001</v>
      </c>
      <c r="D5" s="214">
        <v>1480000</v>
      </c>
      <c r="E5" s="214">
        <v>17215387</v>
      </c>
      <c r="F5" s="214">
        <v>1110000</v>
      </c>
      <c r="G5" s="214">
        <v>14330766.199999999</v>
      </c>
      <c r="H5" s="214">
        <v>740000</v>
      </c>
      <c r="I5" s="214">
        <v>11446152</v>
      </c>
      <c r="J5" s="214">
        <v>370000</v>
      </c>
      <c r="K5" s="214">
        <v>7600000</v>
      </c>
      <c r="L5" t="s">
        <v>538</v>
      </c>
    </row>
    <row r="6" spans="1:12" x14ac:dyDescent="0.25">
      <c r="A6">
        <v>5</v>
      </c>
      <c r="B6" s="214">
        <v>1800000</v>
      </c>
      <c r="C6" s="214">
        <v>20782055.300000001</v>
      </c>
      <c r="D6" s="214">
        <v>1440000</v>
      </c>
      <c r="E6" s="214">
        <v>16987181.800000001</v>
      </c>
      <c r="F6" s="214">
        <v>1080000</v>
      </c>
      <c r="G6" s="214">
        <v>14141022.699999999</v>
      </c>
      <c r="H6" s="214">
        <v>720000</v>
      </c>
      <c r="I6" s="214">
        <v>11294870</v>
      </c>
      <c r="J6" s="214">
        <v>360000</v>
      </c>
      <c r="K6" s="214">
        <v>7500000</v>
      </c>
      <c r="L6" t="s">
        <v>538</v>
      </c>
    </row>
    <row r="7" spans="1:12" x14ac:dyDescent="0.25">
      <c r="A7">
        <v>6</v>
      </c>
      <c r="B7" s="214">
        <v>1750000</v>
      </c>
      <c r="C7" s="214">
        <v>20502568</v>
      </c>
      <c r="D7" s="214">
        <v>1400000</v>
      </c>
      <c r="E7" s="214">
        <v>16758976.6</v>
      </c>
      <c r="F7" s="214">
        <v>1050000</v>
      </c>
      <c r="G7" s="214">
        <v>13951279.199999999</v>
      </c>
      <c r="H7" s="214">
        <v>700000</v>
      </c>
      <c r="I7" s="214">
        <v>11143588</v>
      </c>
      <c r="J7" s="214">
        <v>350000</v>
      </c>
      <c r="K7" s="214">
        <v>7400000</v>
      </c>
      <c r="L7" t="s">
        <v>538</v>
      </c>
    </row>
    <row r="8" spans="1:12" x14ac:dyDescent="0.25">
      <c r="A8">
        <v>7</v>
      </c>
      <c r="B8" s="214">
        <v>1700000</v>
      </c>
      <c r="C8" s="214">
        <v>20223080.699999999</v>
      </c>
      <c r="D8" s="214">
        <v>1360000</v>
      </c>
      <c r="E8" s="214">
        <v>16530771.4</v>
      </c>
      <c r="F8" s="214">
        <v>1020000</v>
      </c>
      <c r="G8" s="214">
        <v>13761535.699999999</v>
      </c>
      <c r="H8" s="214">
        <v>680000</v>
      </c>
      <c r="I8" s="214">
        <v>10992306</v>
      </c>
      <c r="J8" s="214">
        <v>340000</v>
      </c>
      <c r="K8" s="214">
        <v>7300000</v>
      </c>
      <c r="L8" t="s">
        <v>538</v>
      </c>
    </row>
    <row r="9" spans="1:12" x14ac:dyDescent="0.25">
      <c r="A9">
        <v>8</v>
      </c>
      <c r="B9" s="214">
        <v>1650000</v>
      </c>
      <c r="C9" s="214">
        <v>19943593.399999999</v>
      </c>
      <c r="D9" s="214">
        <v>1320000</v>
      </c>
      <c r="E9" s="214">
        <v>16302566.199999999</v>
      </c>
      <c r="F9" s="214">
        <v>990000</v>
      </c>
      <c r="G9" s="214">
        <v>13571792.199999999</v>
      </c>
      <c r="H9" s="214">
        <v>660000</v>
      </c>
      <c r="I9" s="214">
        <v>10841024</v>
      </c>
      <c r="J9" s="214">
        <v>330000</v>
      </c>
      <c r="K9" s="214">
        <v>7200000</v>
      </c>
      <c r="L9" t="s">
        <v>538</v>
      </c>
    </row>
    <row r="10" spans="1:12" x14ac:dyDescent="0.25">
      <c r="A10">
        <v>9</v>
      </c>
      <c r="B10" s="214">
        <v>1600000</v>
      </c>
      <c r="C10" s="214">
        <v>19664106.100000001</v>
      </c>
      <c r="D10" s="214">
        <v>1280000</v>
      </c>
      <c r="E10" s="214">
        <v>16074361</v>
      </c>
      <c r="F10" s="214">
        <v>960000</v>
      </c>
      <c r="G10" s="214">
        <v>13382048.699999999</v>
      </c>
      <c r="H10" s="214">
        <v>640000</v>
      </c>
      <c r="I10" s="214">
        <v>10689742</v>
      </c>
      <c r="J10" s="214">
        <v>320000</v>
      </c>
      <c r="K10" s="214">
        <v>7100000</v>
      </c>
      <c r="L10" t="s">
        <v>538</v>
      </c>
    </row>
    <row r="11" spans="1:12" x14ac:dyDescent="0.25">
      <c r="A11">
        <v>10</v>
      </c>
      <c r="B11" s="214">
        <v>1550000</v>
      </c>
      <c r="C11" s="214">
        <v>19384618.800000001</v>
      </c>
      <c r="D11" s="214">
        <v>1240000</v>
      </c>
      <c r="E11" s="214">
        <v>15846155.800000001</v>
      </c>
      <c r="F11" s="214">
        <v>930000</v>
      </c>
      <c r="G11" s="214">
        <v>13192305.199999999</v>
      </c>
      <c r="H11" s="214">
        <v>620000</v>
      </c>
      <c r="I11" s="214">
        <v>10538460</v>
      </c>
      <c r="J11" s="214">
        <v>310000</v>
      </c>
      <c r="K11" s="214">
        <v>7000000</v>
      </c>
      <c r="L11" t="s">
        <v>538</v>
      </c>
    </row>
    <row r="12" spans="1:12" x14ac:dyDescent="0.25">
      <c r="A12">
        <v>11</v>
      </c>
      <c r="B12" s="214">
        <v>1500000</v>
      </c>
      <c r="C12" s="214">
        <v>19105131.5</v>
      </c>
      <c r="D12" s="214">
        <v>1200000</v>
      </c>
      <c r="E12" s="214">
        <v>15617950.6</v>
      </c>
      <c r="F12" s="214">
        <v>900000</v>
      </c>
      <c r="G12" s="214">
        <v>13002561.699999999</v>
      </c>
      <c r="H12" s="214">
        <v>600000</v>
      </c>
      <c r="I12" s="214">
        <v>10387178</v>
      </c>
      <c r="J12" s="214">
        <v>300000</v>
      </c>
      <c r="K12" s="214">
        <v>6900000</v>
      </c>
      <c r="L12" t="s">
        <v>538</v>
      </c>
    </row>
    <row r="13" spans="1:12" x14ac:dyDescent="0.25">
      <c r="A13">
        <v>12</v>
      </c>
      <c r="B13" s="214">
        <v>1450000</v>
      </c>
      <c r="C13" s="214">
        <v>18825644.199999999</v>
      </c>
      <c r="D13" s="214">
        <v>1160000</v>
      </c>
      <c r="E13" s="214">
        <v>15389745.4</v>
      </c>
      <c r="F13" s="214">
        <v>870000</v>
      </c>
      <c r="G13" s="214">
        <v>12812818.199999999</v>
      </c>
      <c r="H13" s="214">
        <v>580000</v>
      </c>
      <c r="I13" s="214">
        <v>10235896</v>
      </c>
      <c r="J13" s="214">
        <v>290000</v>
      </c>
      <c r="K13" s="214">
        <v>6800000</v>
      </c>
      <c r="L13" t="s">
        <v>538</v>
      </c>
    </row>
    <row r="14" spans="1:12" x14ac:dyDescent="0.25">
      <c r="A14">
        <v>13</v>
      </c>
      <c r="B14" s="214">
        <v>1400000</v>
      </c>
      <c r="C14" s="214">
        <v>18546156.899999999</v>
      </c>
      <c r="D14" s="214">
        <v>1120000</v>
      </c>
      <c r="E14" s="214">
        <v>15161540.199999999</v>
      </c>
      <c r="F14" s="214">
        <v>840000</v>
      </c>
      <c r="G14" s="214">
        <v>12623074.699999999</v>
      </c>
      <c r="H14" s="214">
        <v>560000</v>
      </c>
      <c r="I14" s="214">
        <v>10084614</v>
      </c>
      <c r="J14" s="214">
        <v>280000</v>
      </c>
      <c r="K14" s="214">
        <v>6700000</v>
      </c>
      <c r="L14" t="s">
        <v>538</v>
      </c>
    </row>
    <row r="15" spans="1:12" x14ac:dyDescent="0.25">
      <c r="A15">
        <v>14</v>
      </c>
      <c r="B15" s="214">
        <v>1350000</v>
      </c>
      <c r="C15" s="214">
        <v>18266669.600000001</v>
      </c>
      <c r="D15" s="214">
        <v>1080000</v>
      </c>
      <c r="E15" s="214">
        <v>14933335</v>
      </c>
      <c r="F15" s="214">
        <v>810000</v>
      </c>
      <c r="G15" s="214">
        <v>12433331.199999999</v>
      </c>
      <c r="H15" s="214">
        <v>540000</v>
      </c>
      <c r="I15" s="214">
        <v>9933332</v>
      </c>
      <c r="J15" s="214">
        <v>270000</v>
      </c>
      <c r="K15" s="214">
        <v>6600000</v>
      </c>
      <c r="L15" t="s">
        <v>538</v>
      </c>
    </row>
    <row r="16" spans="1:12" x14ac:dyDescent="0.25">
      <c r="A16">
        <v>15</v>
      </c>
      <c r="B16" s="214">
        <v>1300000</v>
      </c>
      <c r="C16" s="214">
        <v>17987182.300000001</v>
      </c>
      <c r="D16" s="214">
        <v>1040000</v>
      </c>
      <c r="E16" s="214">
        <v>14705129.800000001</v>
      </c>
      <c r="F16" s="214">
        <v>780000</v>
      </c>
      <c r="G16" s="214">
        <v>12243587.699999999</v>
      </c>
      <c r="H16" s="214">
        <v>520000</v>
      </c>
      <c r="I16" s="214">
        <v>9782050</v>
      </c>
      <c r="J16" s="214">
        <v>260000</v>
      </c>
      <c r="K16" s="214">
        <v>6500000</v>
      </c>
      <c r="L16" t="s">
        <v>538</v>
      </c>
    </row>
    <row r="17" spans="1:12" x14ac:dyDescent="0.25">
      <c r="A17">
        <v>16</v>
      </c>
      <c r="B17" s="214">
        <v>1250000</v>
      </c>
      <c r="C17" s="214">
        <v>17707695</v>
      </c>
      <c r="D17" s="214">
        <v>1000000</v>
      </c>
      <c r="E17" s="214">
        <v>14476924.6</v>
      </c>
      <c r="F17" s="214">
        <v>750000</v>
      </c>
      <c r="G17" s="214">
        <v>12053844.199999999</v>
      </c>
      <c r="H17" s="214">
        <v>500000</v>
      </c>
      <c r="I17" s="214">
        <v>9630768</v>
      </c>
      <c r="J17" s="214">
        <v>250000</v>
      </c>
      <c r="K17" s="214">
        <v>6400000</v>
      </c>
      <c r="L17" t="s">
        <v>538</v>
      </c>
    </row>
    <row r="18" spans="1:12" x14ac:dyDescent="0.25">
      <c r="A18">
        <v>17</v>
      </c>
      <c r="B18" s="214">
        <v>1200000</v>
      </c>
      <c r="C18" s="214">
        <v>17428207.699999999</v>
      </c>
      <c r="D18" s="214">
        <v>960000</v>
      </c>
      <c r="E18" s="214">
        <v>14248719.4</v>
      </c>
      <c r="F18" s="214">
        <v>720000</v>
      </c>
      <c r="G18" s="214">
        <v>11864100.699999999</v>
      </c>
      <c r="H18" s="214">
        <v>480000</v>
      </c>
      <c r="I18" s="214">
        <v>9479486</v>
      </c>
      <c r="J18" s="214">
        <v>240000</v>
      </c>
      <c r="K18" s="214">
        <v>6300000</v>
      </c>
      <c r="L18" t="s">
        <v>538</v>
      </c>
    </row>
    <row r="19" spans="1:12" x14ac:dyDescent="0.25">
      <c r="A19">
        <v>18</v>
      </c>
      <c r="B19" s="214">
        <v>1150000</v>
      </c>
      <c r="C19" s="214">
        <v>17148720.399999999</v>
      </c>
      <c r="D19" s="214">
        <v>920000</v>
      </c>
      <c r="E19" s="214">
        <v>14020514.199999999</v>
      </c>
      <c r="F19" s="214">
        <v>690000</v>
      </c>
      <c r="G19" s="214">
        <v>11674357.199999999</v>
      </c>
      <c r="H19" s="214">
        <v>460000</v>
      </c>
      <c r="I19" s="214">
        <v>9328204</v>
      </c>
      <c r="J19" s="214">
        <v>230000</v>
      </c>
      <c r="K19" s="214">
        <v>6200000</v>
      </c>
      <c r="L19" t="s">
        <v>538</v>
      </c>
    </row>
    <row r="20" spans="1:12" x14ac:dyDescent="0.25">
      <c r="A20">
        <v>19</v>
      </c>
      <c r="B20" s="214">
        <v>1100000</v>
      </c>
      <c r="C20" s="214">
        <v>16869233.100000001</v>
      </c>
      <c r="D20" s="214">
        <v>880000</v>
      </c>
      <c r="E20" s="214">
        <v>13792309</v>
      </c>
      <c r="F20" s="214">
        <v>660000</v>
      </c>
      <c r="G20" s="214">
        <v>11484613.699999999</v>
      </c>
      <c r="H20" s="214">
        <v>440000</v>
      </c>
      <c r="I20" s="214">
        <v>9176922</v>
      </c>
      <c r="J20" s="214">
        <v>220000</v>
      </c>
      <c r="K20" s="214">
        <v>6100000</v>
      </c>
      <c r="L20" t="s">
        <v>538</v>
      </c>
    </row>
    <row r="21" spans="1:12" x14ac:dyDescent="0.25">
      <c r="A21">
        <v>20</v>
      </c>
      <c r="B21" s="214">
        <v>1050000</v>
      </c>
      <c r="C21" s="214">
        <v>16589745.800000001</v>
      </c>
      <c r="D21" s="214">
        <v>840000</v>
      </c>
      <c r="E21" s="214">
        <v>13564103.800000001</v>
      </c>
      <c r="F21" s="214">
        <v>630000</v>
      </c>
      <c r="G21" s="214">
        <v>11294870.199999999</v>
      </c>
      <c r="H21" s="214">
        <v>420000</v>
      </c>
      <c r="I21" s="214">
        <v>9025640</v>
      </c>
      <c r="J21" s="214">
        <v>210000</v>
      </c>
      <c r="K21" s="214">
        <v>6000000</v>
      </c>
      <c r="L21" t="s">
        <v>538</v>
      </c>
    </row>
    <row r="22" spans="1:12" x14ac:dyDescent="0.25">
      <c r="A22">
        <v>21</v>
      </c>
      <c r="B22" s="214">
        <v>1000000</v>
      </c>
      <c r="C22" s="214">
        <v>16310258.5</v>
      </c>
      <c r="D22" s="214">
        <v>800000</v>
      </c>
      <c r="E22" s="214">
        <v>13335898.6</v>
      </c>
      <c r="F22" s="214">
        <v>600000</v>
      </c>
      <c r="G22" s="214">
        <v>11105126.699999999</v>
      </c>
      <c r="H22" s="214">
        <v>400000</v>
      </c>
      <c r="I22" s="214">
        <v>8874358</v>
      </c>
      <c r="J22" s="214">
        <v>200000</v>
      </c>
      <c r="K22" s="214">
        <v>5900000</v>
      </c>
      <c r="L22" t="s">
        <v>538</v>
      </c>
    </row>
    <row r="23" spans="1:12" x14ac:dyDescent="0.25">
      <c r="A23">
        <v>22</v>
      </c>
      <c r="B23" s="214">
        <v>950000</v>
      </c>
      <c r="C23" s="214">
        <v>16030771.199999999</v>
      </c>
      <c r="D23" s="214">
        <v>760000</v>
      </c>
      <c r="E23" s="214">
        <v>13107693.4</v>
      </c>
      <c r="F23" s="214">
        <v>570000</v>
      </c>
      <c r="G23" s="214">
        <v>10915383.199999999</v>
      </c>
      <c r="H23" s="214">
        <v>380000</v>
      </c>
      <c r="I23" s="214">
        <v>8723076</v>
      </c>
      <c r="J23" s="214">
        <v>190000</v>
      </c>
      <c r="K23" s="214">
        <v>5800000</v>
      </c>
      <c r="L23" t="s">
        <v>538</v>
      </c>
    </row>
    <row r="24" spans="1:12" x14ac:dyDescent="0.25">
      <c r="A24">
        <v>23</v>
      </c>
      <c r="B24" s="214">
        <v>900000</v>
      </c>
      <c r="C24" s="214">
        <v>15751283.9</v>
      </c>
      <c r="D24" s="214">
        <v>720000</v>
      </c>
      <c r="E24" s="214">
        <v>12879488.199999999</v>
      </c>
      <c r="F24" s="214">
        <v>540000</v>
      </c>
      <c r="G24" s="214">
        <v>10725639.699999999</v>
      </c>
      <c r="H24" s="214">
        <v>360000</v>
      </c>
      <c r="I24" s="214">
        <v>8571794</v>
      </c>
      <c r="J24" s="214">
        <v>180000</v>
      </c>
      <c r="K24" s="214">
        <v>5700000</v>
      </c>
      <c r="L24" t="s">
        <v>538</v>
      </c>
    </row>
    <row r="25" spans="1:12" x14ac:dyDescent="0.25">
      <c r="A25">
        <v>24</v>
      </c>
      <c r="B25" s="214">
        <v>850000</v>
      </c>
      <c r="C25" s="214">
        <v>15471796.6</v>
      </c>
      <c r="D25" s="214">
        <v>680000</v>
      </c>
      <c r="E25" s="214">
        <v>12651283</v>
      </c>
      <c r="F25" s="214">
        <v>510000</v>
      </c>
      <c r="G25" s="214">
        <v>10535896.199999999</v>
      </c>
      <c r="H25" s="214">
        <v>340000</v>
      </c>
      <c r="I25" s="214">
        <v>8420512</v>
      </c>
      <c r="J25" s="214">
        <v>170000</v>
      </c>
      <c r="K25" s="214">
        <v>5600000</v>
      </c>
      <c r="L25" t="s">
        <v>538</v>
      </c>
    </row>
    <row r="26" spans="1:12" x14ac:dyDescent="0.25">
      <c r="A26">
        <v>25</v>
      </c>
      <c r="B26" s="214">
        <v>800000</v>
      </c>
      <c r="C26" s="214">
        <v>15192309.300000001</v>
      </c>
      <c r="D26" s="214">
        <v>640000</v>
      </c>
      <c r="E26" s="214">
        <v>12423077.800000001</v>
      </c>
      <c r="F26" s="214">
        <v>480000</v>
      </c>
      <c r="G26" s="214">
        <v>10346152.699999999</v>
      </c>
      <c r="H26" s="214">
        <v>320000</v>
      </c>
      <c r="I26" s="214">
        <v>8269230</v>
      </c>
      <c r="J26" s="214">
        <v>160000</v>
      </c>
      <c r="K26" s="214">
        <v>5500000</v>
      </c>
      <c r="L26" t="s">
        <v>538</v>
      </c>
    </row>
    <row r="27" spans="1:12" x14ac:dyDescent="0.25">
      <c r="A27">
        <v>26</v>
      </c>
      <c r="B27" s="214">
        <v>750000</v>
      </c>
      <c r="C27" s="214">
        <v>14912822</v>
      </c>
      <c r="D27" s="214">
        <v>600000</v>
      </c>
      <c r="E27" s="214">
        <v>12194872.6</v>
      </c>
      <c r="F27" s="214">
        <v>450000</v>
      </c>
      <c r="G27" s="214">
        <v>10156409.199999999</v>
      </c>
      <c r="H27" s="214">
        <v>300000</v>
      </c>
      <c r="I27" s="214">
        <v>8117948</v>
      </c>
      <c r="J27" s="214">
        <v>150000</v>
      </c>
      <c r="K27" s="214">
        <v>5400000</v>
      </c>
      <c r="L27" t="s">
        <v>538</v>
      </c>
    </row>
    <row r="28" spans="1:12" x14ac:dyDescent="0.25">
      <c r="A28">
        <v>27</v>
      </c>
      <c r="B28" s="214">
        <v>700000</v>
      </c>
      <c r="C28" s="214">
        <v>14633334.699999999</v>
      </c>
      <c r="D28" s="214">
        <v>560000</v>
      </c>
      <c r="E28" s="214">
        <v>11966667.4</v>
      </c>
      <c r="F28" s="214">
        <v>420000</v>
      </c>
      <c r="G28" s="214">
        <v>9966665.6999999993</v>
      </c>
      <c r="H28" s="214">
        <v>280000</v>
      </c>
      <c r="I28" s="214">
        <v>7966666</v>
      </c>
      <c r="J28" s="214">
        <v>140000</v>
      </c>
      <c r="K28" s="214">
        <v>5300000</v>
      </c>
      <c r="L28" t="s">
        <v>538</v>
      </c>
    </row>
    <row r="29" spans="1:12" x14ac:dyDescent="0.25">
      <c r="A29">
        <v>28</v>
      </c>
      <c r="B29" s="214">
        <v>650000</v>
      </c>
      <c r="C29" s="214">
        <v>14353847.4</v>
      </c>
      <c r="D29" s="214">
        <v>520000</v>
      </c>
      <c r="E29" s="214">
        <v>11738462.199999999</v>
      </c>
      <c r="F29" s="214">
        <v>390000</v>
      </c>
      <c r="G29" s="214">
        <v>9776922.1999999993</v>
      </c>
      <c r="H29" s="214">
        <v>260000</v>
      </c>
      <c r="I29" s="214">
        <v>7815384</v>
      </c>
      <c r="J29" s="214">
        <v>130000</v>
      </c>
      <c r="K29" s="214">
        <v>5200000</v>
      </c>
      <c r="L29" t="s">
        <v>538</v>
      </c>
    </row>
    <row r="30" spans="1:12" x14ac:dyDescent="0.25">
      <c r="A30">
        <v>29</v>
      </c>
      <c r="B30" s="214">
        <v>600000</v>
      </c>
      <c r="C30" s="214">
        <v>14074360.1</v>
      </c>
      <c r="D30" s="214">
        <v>480000</v>
      </c>
      <c r="E30" s="214">
        <v>11510257</v>
      </c>
      <c r="F30" s="214">
        <v>360000</v>
      </c>
      <c r="G30" s="214">
        <v>9587178.6999999993</v>
      </c>
      <c r="H30" s="214">
        <v>240000</v>
      </c>
      <c r="I30" s="214">
        <v>7664102</v>
      </c>
      <c r="J30" s="214">
        <v>120000</v>
      </c>
      <c r="K30" s="214">
        <v>5100000</v>
      </c>
      <c r="L30" t="s">
        <v>538</v>
      </c>
    </row>
    <row r="31" spans="1:12" x14ac:dyDescent="0.25">
      <c r="A31">
        <v>30</v>
      </c>
      <c r="B31" s="214">
        <v>550000</v>
      </c>
      <c r="C31" s="214">
        <v>13794872.800000001</v>
      </c>
      <c r="D31" s="214">
        <v>440000</v>
      </c>
      <c r="E31" s="214">
        <v>11282051.800000001</v>
      </c>
      <c r="F31" s="214">
        <v>330000</v>
      </c>
      <c r="G31" s="214">
        <v>9397435.1999999993</v>
      </c>
      <c r="H31" s="214">
        <v>220000</v>
      </c>
      <c r="I31" s="214">
        <v>7512820</v>
      </c>
      <c r="J31" s="214">
        <v>110000</v>
      </c>
      <c r="K31" s="214">
        <v>5000000</v>
      </c>
      <c r="L31" t="s">
        <v>538</v>
      </c>
    </row>
    <row r="32" spans="1:12" x14ac:dyDescent="0.25">
      <c r="A32">
        <v>31</v>
      </c>
      <c r="B32" s="214">
        <v>500000</v>
      </c>
      <c r="C32" s="214">
        <v>13515385.5</v>
      </c>
      <c r="D32" s="214">
        <v>400000</v>
      </c>
      <c r="E32" s="214">
        <v>11053846.6</v>
      </c>
      <c r="F32" s="214">
        <v>300000</v>
      </c>
      <c r="G32" s="214">
        <v>9207691.6999999993</v>
      </c>
      <c r="H32" s="214">
        <v>200000</v>
      </c>
      <c r="I32" s="214">
        <v>7361538</v>
      </c>
      <c r="J32" s="214">
        <v>100000</v>
      </c>
      <c r="K32" s="214">
        <v>4900000</v>
      </c>
      <c r="L32" t="s">
        <v>538</v>
      </c>
    </row>
    <row r="33" spans="1:12" x14ac:dyDescent="0.25">
      <c r="A33">
        <v>32</v>
      </c>
      <c r="B33" s="214">
        <v>450000</v>
      </c>
      <c r="C33" s="214">
        <v>13235898.199999999</v>
      </c>
      <c r="D33" s="214">
        <v>360000</v>
      </c>
      <c r="E33" s="214">
        <v>10825641.4</v>
      </c>
      <c r="F33" s="214">
        <v>270000</v>
      </c>
      <c r="G33" s="214">
        <v>9017948.1999999993</v>
      </c>
      <c r="H33" s="214">
        <v>180000</v>
      </c>
      <c r="I33" s="214">
        <v>7210256</v>
      </c>
      <c r="J33" s="214">
        <v>90000</v>
      </c>
      <c r="K33" s="214">
        <v>4800000</v>
      </c>
      <c r="L33" t="s">
        <v>538</v>
      </c>
    </row>
    <row r="34" spans="1:12" x14ac:dyDescent="0.25">
      <c r="A34">
        <v>33</v>
      </c>
      <c r="B34" s="214">
        <v>400000</v>
      </c>
      <c r="C34" s="214">
        <v>12956410.9</v>
      </c>
      <c r="D34" s="214">
        <v>320000</v>
      </c>
      <c r="E34" s="214">
        <v>10597436.199999999</v>
      </c>
      <c r="F34" s="214">
        <v>240000</v>
      </c>
      <c r="G34" s="214">
        <v>8828204.6999999993</v>
      </c>
      <c r="H34" s="214">
        <v>160000</v>
      </c>
      <c r="I34" s="214">
        <v>7058974</v>
      </c>
      <c r="J34" s="214">
        <v>80000</v>
      </c>
      <c r="K34" s="214">
        <v>4700000</v>
      </c>
      <c r="L34" t="s">
        <v>538</v>
      </c>
    </row>
    <row r="35" spans="1:12" x14ac:dyDescent="0.25">
      <c r="A35">
        <v>34</v>
      </c>
      <c r="B35" s="214">
        <v>350000</v>
      </c>
      <c r="C35" s="214">
        <v>12676923.6</v>
      </c>
      <c r="D35" s="214">
        <v>280000</v>
      </c>
      <c r="E35" s="214">
        <v>10369231</v>
      </c>
      <c r="F35" s="214">
        <v>210000</v>
      </c>
      <c r="G35" s="214">
        <v>8638461.1999999993</v>
      </c>
      <c r="H35" s="214">
        <v>140000</v>
      </c>
      <c r="I35" s="214">
        <v>6907692</v>
      </c>
      <c r="J35" s="214">
        <v>70000</v>
      </c>
      <c r="K35" s="214">
        <v>4600000</v>
      </c>
      <c r="L35" t="s">
        <v>538</v>
      </c>
    </row>
    <row r="36" spans="1:12" x14ac:dyDescent="0.25">
      <c r="A36">
        <v>35</v>
      </c>
      <c r="B36" s="214">
        <v>300000</v>
      </c>
      <c r="C36" s="214">
        <v>12397436.300000001</v>
      </c>
      <c r="D36" s="214">
        <v>240000</v>
      </c>
      <c r="E36" s="214">
        <v>10141025.800000001</v>
      </c>
      <c r="F36" s="214">
        <v>180000</v>
      </c>
      <c r="G36" s="214">
        <v>8448717.6999999993</v>
      </c>
      <c r="H36" s="214">
        <v>120000</v>
      </c>
      <c r="I36" s="214">
        <v>6756410</v>
      </c>
      <c r="J36" s="214">
        <v>60000</v>
      </c>
      <c r="K36" s="214">
        <v>4500000</v>
      </c>
      <c r="L36" t="s">
        <v>538</v>
      </c>
    </row>
    <row r="37" spans="1:12" x14ac:dyDescent="0.25">
      <c r="A37">
        <v>36</v>
      </c>
      <c r="B37" s="214">
        <v>250000</v>
      </c>
      <c r="C37" s="214">
        <v>12117949</v>
      </c>
      <c r="D37" s="214">
        <v>200000</v>
      </c>
      <c r="E37" s="214">
        <v>9912821</v>
      </c>
      <c r="F37" s="214">
        <v>150000</v>
      </c>
      <c r="G37" s="214">
        <v>8258974</v>
      </c>
      <c r="H37" s="214">
        <v>100000</v>
      </c>
      <c r="I37" s="214">
        <v>6605128</v>
      </c>
      <c r="J37" s="214">
        <v>50000</v>
      </c>
      <c r="K37" s="214">
        <v>4400000</v>
      </c>
      <c r="L37" t="s">
        <v>538</v>
      </c>
    </row>
    <row r="38" spans="1:12" x14ac:dyDescent="0.25">
      <c r="A38">
        <v>37</v>
      </c>
      <c r="B38" s="214">
        <v>200000</v>
      </c>
      <c r="C38" s="214">
        <v>11838462</v>
      </c>
      <c r="D38" s="214">
        <v>160000</v>
      </c>
      <c r="E38" s="214">
        <v>9684615</v>
      </c>
      <c r="F38" s="214">
        <v>120000</v>
      </c>
      <c r="G38" s="214">
        <v>8069231</v>
      </c>
      <c r="H38" s="214">
        <v>80000</v>
      </c>
      <c r="I38" s="214">
        <v>6453846</v>
      </c>
      <c r="J38" s="214">
        <v>40000</v>
      </c>
      <c r="K38" s="214">
        <v>4300000</v>
      </c>
      <c r="L38" t="s">
        <v>538</v>
      </c>
    </row>
    <row r="39" spans="1:12" x14ac:dyDescent="0.25">
      <c r="A39">
        <v>38</v>
      </c>
      <c r="B39" s="214">
        <v>150000</v>
      </c>
      <c r="C39" s="214">
        <v>11558974</v>
      </c>
      <c r="D39" s="214">
        <v>120000</v>
      </c>
      <c r="E39" s="214">
        <v>9456410</v>
      </c>
      <c r="F39" s="214">
        <v>90000</v>
      </c>
      <c r="G39" s="214">
        <v>7879487</v>
      </c>
      <c r="H39" s="214">
        <v>60000</v>
      </c>
      <c r="I39" s="214">
        <v>6302564</v>
      </c>
      <c r="J39" s="214">
        <v>30000</v>
      </c>
      <c r="K39" s="214">
        <v>4200000</v>
      </c>
      <c r="L39" t="s">
        <v>538</v>
      </c>
    </row>
    <row r="40" spans="1:12" x14ac:dyDescent="0.25">
      <c r="A40">
        <v>39</v>
      </c>
      <c r="B40" s="214">
        <v>100000</v>
      </c>
      <c r="C40" s="214">
        <v>11279487</v>
      </c>
      <c r="D40" s="214">
        <v>80000</v>
      </c>
      <c r="E40" s="214">
        <v>9228205</v>
      </c>
      <c r="F40" s="214">
        <v>60000</v>
      </c>
      <c r="G40" s="214">
        <v>7689744</v>
      </c>
      <c r="H40" s="214">
        <v>40000</v>
      </c>
      <c r="I40" s="214">
        <v>6151282</v>
      </c>
      <c r="J40" s="214">
        <v>20000</v>
      </c>
      <c r="K40" s="214">
        <v>4100000</v>
      </c>
      <c r="L40" t="s">
        <v>538</v>
      </c>
    </row>
    <row r="41" spans="1:12" x14ac:dyDescent="0.25">
      <c r="A41">
        <v>40</v>
      </c>
      <c r="B41" s="214">
        <v>50000</v>
      </c>
      <c r="C41" s="214">
        <v>11000000</v>
      </c>
      <c r="D41" s="214">
        <v>40000</v>
      </c>
      <c r="E41" s="214">
        <v>9000000</v>
      </c>
      <c r="F41" s="214">
        <v>30000</v>
      </c>
      <c r="G41" s="214">
        <v>7500000</v>
      </c>
      <c r="H41" s="214">
        <v>20000</v>
      </c>
      <c r="I41" s="214">
        <v>6000000</v>
      </c>
      <c r="J41" s="214">
        <v>10000</v>
      </c>
      <c r="K41" s="214">
        <v>4000000</v>
      </c>
      <c r="L41" t="s">
        <v>538</v>
      </c>
    </row>
  </sheetData>
  <sheetProtection selectLockedCells="1"/>
  <customSheetViews>
    <customSheetView guid="{58F65609-3622-42C4-9926-1A56B88F9C36}" state="hidden" topLeftCell="A16">
      <selection activeCell="H44" sqref="H44"/>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R109"/>
  <sheetViews>
    <sheetView workbookViewId="0">
      <selection activeCell="B6" sqref="B6"/>
    </sheetView>
  </sheetViews>
  <sheetFormatPr defaultColWidth="11.140625" defaultRowHeight="15" x14ac:dyDescent="0.25"/>
  <cols>
    <col min="1" max="1" width="13.5703125" style="232" customWidth="1"/>
    <col min="2" max="2" width="20.28515625" style="232" customWidth="1"/>
    <col min="3" max="3" width="13" style="232" customWidth="1"/>
    <col min="4" max="4" width="16.140625" style="232" customWidth="1"/>
    <col min="5" max="5" width="18" style="232" customWidth="1"/>
    <col min="6" max="6" width="17.28515625" style="232" customWidth="1"/>
    <col min="7" max="7" width="15.85546875" style="232" customWidth="1"/>
    <col min="8" max="8" width="16.42578125" style="232" customWidth="1"/>
    <col min="9" max="9" width="19.85546875" style="232" customWidth="1"/>
    <col min="10" max="10" width="16.28515625" style="232" customWidth="1"/>
    <col min="11" max="11" width="12.85546875" style="232" customWidth="1"/>
    <col min="12" max="12" width="15.42578125" style="232" customWidth="1"/>
    <col min="13" max="13" width="12.5703125" style="232" customWidth="1"/>
    <col min="14" max="14" width="12.42578125" style="232" customWidth="1"/>
    <col min="15" max="15" width="11.42578125" style="232" customWidth="1"/>
    <col min="16" max="16" width="12.5703125" style="232" customWidth="1"/>
    <col min="17" max="17" width="13.85546875" style="232" customWidth="1"/>
    <col min="18" max="18" width="16.7109375" style="232" customWidth="1"/>
    <col min="19" max="16384" width="11.140625" style="232"/>
  </cols>
  <sheetData>
    <row r="1" spans="1:18" x14ac:dyDescent="0.25">
      <c r="A1" s="255" t="s">
        <v>133</v>
      </c>
      <c r="B1" s="254" t="s">
        <v>407</v>
      </c>
      <c r="C1" s="253" t="s">
        <v>605</v>
      </c>
      <c r="D1" s="252" t="s">
        <v>411</v>
      </c>
      <c r="E1" s="251" t="s">
        <v>405</v>
      </c>
      <c r="F1" s="250" t="s">
        <v>404</v>
      </c>
    </row>
    <row r="2" spans="1:18" x14ac:dyDescent="0.25">
      <c r="A2" s="249">
        <v>9</v>
      </c>
      <c r="B2" s="249">
        <v>9</v>
      </c>
      <c r="C2" s="249" t="s">
        <v>147</v>
      </c>
      <c r="D2" s="247" t="s">
        <v>381</v>
      </c>
      <c r="E2" s="248"/>
      <c r="F2" s="247">
        <v>100</v>
      </c>
    </row>
    <row r="3" spans="1:18" x14ac:dyDescent="0.25">
      <c r="A3" s="245">
        <f ca="1">OFFSET(A8,MATCH(A2,A9:A58,0),1)</f>
        <v>0.91</v>
      </c>
      <c r="B3" s="245">
        <f ca="1">OFFSET(E8,MATCH(B2,E9:E109,0),1)</f>
        <v>1.0181446740200375</v>
      </c>
      <c r="C3" s="245">
        <f ca="1">OFFSET(N13,MATCH(C2,N14:N18,0),1)</f>
        <v>0.91400000000000003</v>
      </c>
      <c r="D3" s="241">
        <f ca="1">OFFSET(H8,MATCH(D2,H9:H38,0),1)</f>
        <v>167.23500000000001</v>
      </c>
      <c r="E3" s="246">
        <f ca="1">SUM(A3*B3*C3*D3)</f>
        <v>141.61989118331897</v>
      </c>
      <c r="F3" s="245">
        <f ca="1">E3-(E3*D4*F2/100)</f>
        <v>124.6255042413207</v>
      </c>
    </row>
    <row r="4" spans="1:18" x14ac:dyDescent="0.25">
      <c r="D4" s="241">
        <f ca="1">OFFSET(H8,MATCH(D2,H9:H38,0),2)</f>
        <v>0.12</v>
      </c>
    </row>
    <row r="6" spans="1:18" x14ac:dyDescent="0.25">
      <c r="B6" s="331"/>
    </row>
    <row r="8" spans="1:18" x14ac:dyDescent="0.25">
      <c r="A8" s="244" t="s">
        <v>402</v>
      </c>
      <c r="B8" s="320" t="s">
        <v>400</v>
      </c>
      <c r="E8" s="244" t="s">
        <v>401</v>
      </c>
      <c r="F8" s="320" t="s">
        <v>400</v>
      </c>
    </row>
    <row r="9" spans="1:18" x14ac:dyDescent="0.25">
      <c r="A9" s="233">
        <v>0</v>
      </c>
      <c r="B9" s="323">
        <v>1</v>
      </c>
      <c r="C9" s="322">
        <v>1</v>
      </c>
      <c r="E9" s="233">
        <v>0</v>
      </c>
      <c r="F9" s="316">
        <v>1</v>
      </c>
      <c r="G9" s="321">
        <v>1</v>
      </c>
      <c r="H9" s="232" t="s">
        <v>399</v>
      </c>
      <c r="I9" s="232">
        <v>143.69999999999999</v>
      </c>
      <c r="J9" s="242">
        <v>0.12</v>
      </c>
      <c r="K9" s="232" t="s">
        <v>398</v>
      </c>
    </row>
    <row r="10" spans="1:18" x14ac:dyDescent="0.25">
      <c r="A10" s="233">
        <v>1</v>
      </c>
      <c r="B10" s="324">
        <v>0.99</v>
      </c>
      <c r="C10" s="316">
        <f t="shared" ref="C10:C41" si="0">C9*100/101.5</f>
        <v>0.98522167487684731</v>
      </c>
      <c r="E10" s="233">
        <v>1</v>
      </c>
      <c r="F10" s="316">
        <f t="shared" ref="F10:F41" si="1">F9*1.002</f>
        <v>1.002</v>
      </c>
      <c r="G10" s="321">
        <v>1.0004999999999999</v>
      </c>
      <c r="H10" s="232" t="s">
        <v>397</v>
      </c>
      <c r="I10" s="232">
        <v>191.1</v>
      </c>
      <c r="J10" s="242">
        <v>0.21</v>
      </c>
      <c r="N10" s="241" t="s">
        <v>604</v>
      </c>
      <c r="O10" s="243">
        <v>1.4999999999999999E-2</v>
      </c>
      <c r="Q10" s="232" t="s">
        <v>248</v>
      </c>
      <c r="R10" s="232">
        <v>1</v>
      </c>
    </row>
    <row r="11" spans="1:18" x14ac:dyDescent="0.25">
      <c r="A11" s="233">
        <v>2</v>
      </c>
      <c r="B11" s="324">
        <v>0.98</v>
      </c>
      <c r="C11" s="316">
        <f t="shared" si="0"/>
        <v>0.97066174864714017</v>
      </c>
      <c r="E11" s="233">
        <v>2</v>
      </c>
      <c r="F11" s="316">
        <f t="shared" si="1"/>
        <v>1.0040039999999999</v>
      </c>
      <c r="G11" s="321">
        <v>1.0009999999999999</v>
      </c>
      <c r="H11" s="232" t="s">
        <v>396</v>
      </c>
      <c r="I11" s="232">
        <v>254.2</v>
      </c>
      <c r="J11" s="242">
        <v>0.3</v>
      </c>
      <c r="N11" s="241" t="s">
        <v>603</v>
      </c>
      <c r="O11" s="243">
        <v>2E-3</v>
      </c>
      <c r="Q11" s="232" t="s">
        <v>143</v>
      </c>
      <c r="R11" s="232">
        <v>0.75219999999999998</v>
      </c>
    </row>
    <row r="12" spans="1:18" x14ac:dyDescent="0.25">
      <c r="A12" s="233">
        <v>3</v>
      </c>
      <c r="B12" s="324">
        <v>0.97</v>
      </c>
      <c r="C12" s="316">
        <f t="shared" si="0"/>
        <v>0.95631699374102475</v>
      </c>
      <c r="E12" s="233">
        <v>3</v>
      </c>
      <c r="F12" s="316">
        <f t="shared" si="1"/>
        <v>1.0060120079999999</v>
      </c>
      <c r="G12" s="321">
        <v>1.0015000000000001</v>
      </c>
      <c r="H12" s="232" t="s">
        <v>395</v>
      </c>
      <c r="I12" s="232">
        <v>338</v>
      </c>
      <c r="J12" s="242">
        <v>0.4</v>
      </c>
      <c r="N12" s="241" t="s">
        <v>602</v>
      </c>
      <c r="O12" s="241" t="s">
        <v>601</v>
      </c>
      <c r="Q12" s="232" t="s">
        <v>250</v>
      </c>
      <c r="R12" s="232">
        <v>0.5645</v>
      </c>
    </row>
    <row r="13" spans="1:18" x14ac:dyDescent="0.25">
      <c r="A13" s="233">
        <v>4</v>
      </c>
      <c r="B13" s="324">
        <v>0.96</v>
      </c>
      <c r="C13" s="316">
        <f t="shared" si="0"/>
        <v>0.94218423028672393</v>
      </c>
      <c r="E13" s="233">
        <v>4</v>
      </c>
      <c r="F13" s="316">
        <f t="shared" si="1"/>
        <v>1.0080240320159999</v>
      </c>
      <c r="G13" s="321">
        <v>1.002</v>
      </c>
      <c r="H13" s="232" t="s">
        <v>394</v>
      </c>
      <c r="I13" s="232">
        <v>388.7</v>
      </c>
      <c r="Q13" s="232" t="s">
        <v>600</v>
      </c>
      <c r="R13" s="232">
        <v>0.42509999999999998</v>
      </c>
    </row>
    <row r="14" spans="1:18" x14ac:dyDescent="0.25">
      <c r="A14" s="233">
        <v>5</v>
      </c>
      <c r="B14" s="324">
        <v>0.95</v>
      </c>
      <c r="C14" s="316">
        <f t="shared" si="0"/>
        <v>0.9282603254056393</v>
      </c>
      <c r="E14" s="236">
        <v>5</v>
      </c>
      <c r="F14" s="317">
        <f t="shared" si="1"/>
        <v>1.010040080080032</v>
      </c>
      <c r="G14" s="321">
        <v>1.0024999999999999</v>
      </c>
      <c r="H14" s="232" t="s">
        <v>393</v>
      </c>
      <c r="I14" s="232">
        <v>150.9</v>
      </c>
      <c r="J14" s="232">
        <v>0.12</v>
      </c>
      <c r="K14" s="232" t="s">
        <v>392</v>
      </c>
      <c r="N14" s="241" t="s">
        <v>136</v>
      </c>
      <c r="O14" s="241">
        <v>1.085</v>
      </c>
      <c r="P14" s="241">
        <v>1</v>
      </c>
    </row>
    <row r="15" spans="1:18" x14ac:dyDescent="0.25">
      <c r="A15" s="233">
        <v>6</v>
      </c>
      <c r="B15" s="324">
        <v>0.94</v>
      </c>
      <c r="C15" s="316">
        <f t="shared" si="0"/>
        <v>0.91454219251787128</v>
      </c>
      <c r="E15" s="233">
        <v>6</v>
      </c>
      <c r="F15" s="316">
        <f t="shared" si="1"/>
        <v>1.012060160240192</v>
      </c>
      <c r="G15" s="321">
        <v>1.0029999999999999</v>
      </c>
      <c r="H15" s="232" t="s">
        <v>391</v>
      </c>
      <c r="I15" s="232">
        <v>200.7</v>
      </c>
      <c r="J15" s="232">
        <v>0.21</v>
      </c>
      <c r="N15" s="238" t="s">
        <v>147</v>
      </c>
      <c r="O15" s="237">
        <v>0.91400000000000003</v>
      </c>
      <c r="P15" s="237">
        <f>P14*10/11</f>
        <v>0.90909090909090906</v>
      </c>
    </row>
    <row r="16" spans="1:18" x14ac:dyDescent="0.25">
      <c r="A16" s="233">
        <v>7</v>
      </c>
      <c r="B16" s="324">
        <v>0.93</v>
      </c>
      <c r="C16" s="316">
        <f t="shared" si="0"/>
        <v>0.90102679065800118</v>
      </c>
      <c r="E16" s="233">
        <v>7</v>
      </c>
      <c r="F16" s="316">
        <f t="shared" si="1"/>
        <v>1.0140842805606725</v>
      </c>
      <c r="G16" s="321">
        <v>1.0035000000000001</v>
      </c>
      <c r="H16" s="232" t="s">
        <v>390</v>
      </c>
      <c r="I16" s="232">
        <v>267</v>
      </c>
      <c r="J16" s="232">
        <v>0.3</v>
      </c>
      <c r="N16" s="240" t="s">
        <v>143</v>
      </c>
      <c r="O16" s="239">
        <v>0.81599999999999995</v>
      </c>
      <c r="P16" s="239">
        <f>P15*10/11</f>
        <v>0.82644628099173545</v>
      </c>
    </row>
    <row r="17" spans="1:16" x14ac:dyDescent="0.25">
      <c r="A17" s="233">
        <v>8</v>
      </c>
      <c r="B17" s="324">
        <v>0.92</v>
      </c>
      <c r="C17" s="316">
        <f t="shared" si="0"/>
        <v>0.88771112380098638</v>
      </c>
      <c r="E17" s="233">
        <v>8</v>
      </c>
      <c r="F17" s="316">
        <f t="shared" si="1"/>
        <v>1.0161124491217939</v>
      </c>
      <c r="G17" s="321">
        <v>1.004</v>
      </c>
      <c r="H17" s="232" t="s">
        <v>389</v>
      </c>
      <c r="I17" s="232">
        <v>354.9</v>
      </c>
      <c r="J17" s="232">
        <v>0.4</v>
      </c>
      <c r="N17" s="238" t="s">
        <v>151</v>
      </c>
      <c r="O17" s="237">
        <v>0.745</v>
      </c>
      <c r="P17" s="237">
        <f>P16*10/11</f>
        <v>0.75131480090157765</v>
      </c>
    </row>
    <row r="18" spans="1:16" x14ac:dyDescent="0.25">
      <c r="A18" s="233">
        <v>9</v>
      </c>
      <c r="B18" s="324">
        <v>0.91</v>
      </c>
      <c r="C18" s="316">
        <f t="shared" si="0"/>
        <v>0.87459224019801618</v>
      </c>
      <c r="E18" s="233">
        <v>9</v>
      </c>
      <c r="F18" s="316">
        <f t="shared" si="1"/>
        <v>1.0181446740200375</v>
      </c>
      <c r="G18" s="321">
        <v>1.0044999999999999</v>
      </c>
      <c r="H18" s="232" t="s">
        <v>388</v>
      </c>
      <c r="I18" s="232">
        <v>408.2</v>
      </c>
      <c r="N18" s="238" t="s">
        <v>139</v>
      </c>
      <c r="O18" s="237">
        <v>0.66500000000000004</v>
      </c>
      <c r="P18" s="237">
        <f>P17*10/11</f>
        <v>0.68301345536507063</v>
      </c>
    </row>
    <row r="19" spans="1:16" x14ac:dyDescent="0.25">
      <c r="A19" s="233">
        <v>10</v>
      </c>
      <c r="B19" s="324">
        <v>0.9</v>
      </c>
      <c r="C19" s="316">
        <f t="shared" si="0"/>
        <v>0.86166723172218351</v>
      </c>
      <c r="E19" s="233">
        <v>10</v>
      </c>
      <c r="F19" s="316">
        <f t="shared" si="1"/>
        <v>1.0201809633680776</v>
      </c>
      <c r="G19" s="321">
        <v>1.0049999999999999</v>
      </c>
      <c r="H19" s="232" t="s">
        <v>387</v>
      </c>
      <c r="I19" s="232">
        <v>158.96</v>
      </c>
      <c r="J19" s="232">
        <v>0.12</v>
      </c>
      <c r="K19" s="232" t="s">
        <v>386</v>
      </c>
    </row>
    <row r="20" spans="1:16" x14ac:dyDescent="0.25">
      <c r="A20" s="233">
        <v>11</v>
      </c>
      <c r="B20" s="324">
        <v>0.89</v>
      </c>
      <c r="C20" s="316">
        <f t="shared" si="0"/>
        <v>0.84893323322382619</v>
      </c>
      <c r="E20" s="233">
        <v>11</v>
      </c>
      <c r="F20" s="316">
        <f t="shared" si="1"/>
        <v>1.0222213252948138</v>
      </c>
      <c r="G20" s="321">
        <v>1.0055000000000001</v>
      </c>
      <c r="H20" s="232" t="s">
        <v>385</v>
      </c>
      <c r="I20" s="232">
        <v>211.42</v>
      </c>
      <c r="J20" s="232">
        <v>0.21</v>
      </c>
    </row>
    <row r="21" spans="1:16" x14ac:dyDescent="0.25">
      <c r="A21" s="233">
        <v>12</v>
      </c>
      <c r="B21" s="324">
        <v>0.88</v>
      </c>
      <c r="C21" s="316">
        <f t="shared" si="0"/>
        <v>0.83638742189539517</v>
      </c>
      <c r="E21" s="233">
        <v>12</v>
      </c>
      <c r="F21" s="316">
        <f t="shared" si="1"/>
        <v>1.0242657679454035</v>
      </c>
      <c r="G21" s="321">
        <v>1.006</v>
      </c>
      <c r="H21" s="232" t="s">
        <v>384</v>
      </c>
      <c r="I21" s="232">
        <v>281.26</v>
      </c>
      <c r="J21" s="232">
        <v>0.3</v>
      </c>
    </row>
    <row r="22" spans="1:16" x14ac:dyDescent="0.25">
      <c r="A22" s="233">
        <v>13</v>
      </c>
      <c r="B22" s="324">
        <v>0.87</v>
      </c>
      <c r="C22" s="316">
        <f t="shared" si="0"/>
        <v>0.82402701664570954</v>
      </c>
      <c r="E22" s="233">
        <v>13</v>
      </c>
      <c r="F22" s="316">
        <f t="shared" si="1"/>
        <v>1.0263142994812944</v>
      </c>
      <c r="G22" s="321">
        <v>1.0065</v>
      </c>
      <c r="H22" s="232" t="s">
        <v>383</v>
      </c>
      <c r="I22" s="232">
        <v>373.88</v>
      </c>
      <c r="J22" s="232">
        <v>0.4</v>
      </c>
    </row>
    <row r="23" spans="1:16" x14ac:dyDescent="0.25">
      <c r="A23" s="233">
        <v>14</v>
      </c>
      <c r="B23" s="324">
        <v>0.86</v>
      </c>
      <c r="C23" s="316">
        <f t="shared" si="0"/>
        <v>0.8118492774834577</v>
      </c>
      <c r="E23" s="233">
        <v>14</v>
      </c>
      <c r="F23" s="316">
        <f t="shared" si="1"/>
        <v>1.028366928080257</v>
      </c>
      <c r="G23" s="321">
        <v>1.0069999999999999</v>
      </c>
      <c r="H23" s="232" t="s">
        <v>382</v>
      </c>
      <c r="I23" s="232">
        <v>430.02</v>
      </c>
      <c r="N23" s="232" t="s">
        <v>599</v>
      </c>
    </row>
    <row r="24" spans="1:16" x14ac:dyDescent="0.25">
      <c r="A24" s="235">
        <v>15</v>
      </c>
      <c r="B24" s="324">
        <v>0.85</v>
      </c>
      <c r="C24" s="316">
        <f t="shared" si="0"/>
        <v>0.79985150490981061</v>
      </c>
      <c r="E24" s="233">
        <v>15</v>
      </c>
      <c r="F24" s="316">
        <f t="shared" si="1"/>
        <v>1.0304236619364175</v>
      </c>
      <c r="G24" s="321">
        <v>1.0075000000000001</v>
      </c>
      <c r="H24" s="232" t="s">
        <v>381</v>
      </c>
      <c r="I24" s="232">
        <v>167.23500000000001</v>
      </c>
      <c r="J24" s="232">
        <v>0.12</v>
      </c>
      <c r="K24" s="232" t="s">
        <v>380</v>
      </c>
    </row>
    <row r="25" spans="1:16" x14ac:dyDescent="0.25">
      <c r="A25" s="233">
        <v>16</v>
      </c>
      <c r="B25" s="324">
        <v>0.84</v>
      </c>
      <c r="C25" s="316">
        <f t="shared" si="0"/>
        <v>0.7880310393200104</v>
      </c>
      <c r="E25" s="233">
        <v>16</v>
      </c>
      <c r="F25" s="316">
        <f t="shared" si="1"/>
        <v>1.0324845092602903</v>
      </c>
      <c r="G25" s="321">
        <v>1.008</v>
      </c>
      <c r="H25" s="232" t="s">
        <v>379</v>
      </c>
      <c r="I25" s="232">
        <v>222.42</v>
      </c>
      <c r="J25" s="232">
        <v>0.21</v>
      </c>
      <c r="M25" s="232" t="s">
        <v>598</v>
      </c>
    </row>
    <row r="26" spans="1:16" x14ac:dyDescent="0.25">
      <c r="A26" s="233">
        <v>17</v>
      </c>
      <c r="B26" s="324">
        <v>0.83</v>
      </c>
      <c r="C26" s="316">
        <f t="shared" si="0"/>
        <v>0.77638526041380329</v>
      </c>
      <c r="E26" s="233">
        <v>17</v>
      </c>
      <c r="F26" s="316">
        <f t="shared" si="1"/>
        <v>1.0345494782788109</v>
      </c>
      <c r="G26" s="321">
        <v>1.0085</v>
      </c>
      <c r="H26" s="232" t="s">
        <v>378</v>
      </c>
      <c r="I26" s="232">
        <v>295.88499999999999</v>
      </c>
      <c r="J26" s="232">
        <v>0.3</v>
      </c>
      <c r="M26" s="232" t="s">
        <v>597</v>
      </c>
    </row>
    <row r="27" spans="1:16" x14ac:dyDescent="0.25">
      <c r="A27" s="233">
        <v>18</v>
      </c>
      <c r="B27" s="324">
        <v>0.82</v>
      </c>
      <c r="C27" s="316">
        <f t="shared" si="0"/>
        <v>0.76491158661458458</v>
      </c>
      <c r="E27" s="233">
        <v>18</v>
      </c>
      <c r="F27" s="316">
        <f t="shared" si="1"/>
        <v>1.0366185772353687</v>
      </c>
      <c r="G27" s="321">
        <v>1.0089999999999999</v>
      </c>
      <c r="H27" s="232" t="s">
        <v>377</v>
      </c>
      <c r="I27" s="232">
        <v>393.38</v>
      </c>
      <c r="J27" s="232">
        <v>0.4</v>
      </c>
      <c r="M27" s="232" t="s">
        <v>596</v>
      </c>
    </row>
    <row r="28" spans="1:16" x14ac:dyDescent="0.25">
      <c r="A28" s="233">
        <v>19</v>
      </c>
      <c r="B28" s="324">
        <v>0.81</v>
      </c>
      <c r="C28" s="316">
        <f t="shared" si="0"/>
        <v>0.75360747449712762</v>
      </c>
      <c r="E28" s="233">
        <v>19</v>
      </c>
      <c r="F28" s="316">
        <f t="shared" si="1"/>
        <v>1.0386918143898394</v>
      </c>
      <c r="G28" s="321">
        <v>1.0095000000000001</v>
      </c>
      <c r="H28" s="232" t="s">
        <v>376</v>
      </c>
      <c r="I28" s="232">
        <v>452.41999999999996</v>
      </c>
      <c r="M28" s="232" t="s">
        <v>595</v>
      </c>
    </row>
    <row r="29" spans="1:16" x14ac:dyDescent="0.25">
      <c r="A29" s="233">
        <v>20</v>
      </c>
      <c r="B29" s="324">
        <v>0.8</v>
      </c>
      <c r="C29" s="316">
        <f t="shared" si="0"/>
        <v>0.74247041822377102</v>
      </c>
      <c r="E29" s="233">
        <v>20</v>
      </c>
      <c r="F29" s="316">
        <f t="shared" si="1"/>
        <v>1.0407691980186191</v>
      </c>
      <c r="G29" s="321">
        <v>1.01</v>
      </c>
      <c r="H29" s="232" t="s">
        <v>375</v>
      </c>
      <c r="I29" s="232">
        <v>175.58166666666668</v>
      </c>
      <c r="J29" s="232">
        <v>0.12</v>
      </c>
      <c r="K29" s="232" t="s">
        <v>374</v>
      </c>
      <c r="M29" s="232" t="s">
        <v>594</v>
      </c>
    </row>
    <row r="30" spans="1:16" x14ac:dyDescent="0.25">
      <c r="A30" s="233">
        <v>21</v>
      </c>
      <c r="B30" s="324">
        <v>0.79</v>
      </c>
      <c r="C30" s="316">
        <f t="shared" si="0"/>
        <v>0.73149794898893694</v>
      </c>
      <c r="E30" s="233">
        <v>21</v>
      </c>
      <c r="F30" s="316">
        <f t="shared" si="1"/>
        <v>1.0428507364146564</v>
      </c>
      <c r="G30" s="321">
        <v>1.0105</v>
      </c>
      <c r="H30" s="232" t="s">
        <v>373</v>
      </c>
      <c r="I30" s="232">
        <v>233.42</v>
      </c>
      <c r="J30" s="232">
        <v>0.21</v>
      </c>
    </row>
    <row r="31" spans="1:16" x14ac:dyDescent="0.25">
      <c r="A31" s="233">
        <v>22</v>
      </c>
      <c r="B31" s="324">
        <v>0.78</v>
      </c>
      <c r="C31" s="316">
        <f t="shared" si="0"/>
        <v>0.72068763447185902</v>
      </c>
      <c r="E31" s="233">
        <v>22</v>
      </c>
      <c r="F31" s="316">
        <f t="shared" si="1"/>
        <v>1.0449364378874857</v>
      </c>
      <c r="G31" s="321">
        <v>1.0109999999999999</v>
      </c>
      <c r="H31" s="232" t="s">
        <v>372</v>
      </c>
      <c r="I31" s="232">
        <v>310.51</v>
      </c>
      <c r="J31" s="232">
        <v>0.3</v>
      </c>
      <c r="M31" s="232" t="s">
        <v>593</v>
      </c>
    </row>
    <row r="32" spans="1:16" x14ac:dyDescent="0.25">
      <c r="A32" s="233">
        <v>23</v>
      </c>
      <c r="B32" s="324">
        <v>0.77</v>
      </c>
      <c r="C32" s="316">
        <f t="shared" si="0"/>
        <v>0.71003707829739804</v>
      </c>
      <c r="E32" s="233">
        <v>23</v>
      </c>
      <c r="F32" s="316">
        <f t="shared" si="1"/>
        <v>1.0470263107632607</v>
      </c>
      <c r="G32" s="321">
        <v>1.0115000000000001</v>
      </c>
      <c r="H32" s="232" t="s">
        <v>371</v>
      </c>
      <c r="I32" s="232">
        <v>412.88</v>
      </c>
      <c r="J32" s="232">
        <v>0.4</v>
      </c>
    </row>
    <row r="33" spans="1:13" x14ac:dyDescent="0.25">
      <c r="A33" s="233">
        <v>24</v>
      </c>
      <c r="B33" s="324">
        <v>0.76</v>
      </c>
      <c r="C33" s="316">
        <f t="shared" si="0"/>
        <v>0.69954391950482575</v>
      </c>
      <c r="E33" s="233">
        <v>24</v>
      </c>
      <c r="F33" s="316">
        <f t="shared" si="1"/>
        <v>1.0491203633847872</v>
      </c>
      <c r="G33" s="321">
        <v>1.012</v>
      </c>
      <c r="H33" s="232" t="s">
        <v>370</v>
      </c>
      <c r="I33" s="232">
        <v>474.81999999999994</v>
      </c>
      <c r="M33" s="232" t="s">
        <v>592</v>
      </c>
    </row>
    <row r="34" spans="1:13" x14ac:dyDescent="0.25">
      <c r="A34" s="236">
        <v>25</v>
      </c>
      <c r="B34" s="324">
        <v>0.75</v>
      </c>
      <c r="C34" s="317">
        <f t="shared" si="0"/>
        <v>0.68920583202445884</v>
      </c>
      <c r="E34" s="233">
        <v>25</v>
      </c>
      <c r="F34" s="316">
        <f t="shared" si="1"/>
        <v>1.0512186041115568</v>
      </c>
      <c r="G34" s="321">
        <v>1.0125</v>
      </c>
      <c r="H34" s="232" t="s">
        <v>369</v>
      </c>
      <c r="I34" s="232">
        <v>184</v>
      </c>
      <c r="J34" s="232">
        <v>0.12</v>
      </c>
      <c r="K34" s="232" t="s">
        <v>368</v>
      </c>
    </row>
    <row r="35" spans="1:13" x14ac:dyDescent="0.25">
      <c r="A35" s="233">
        <v>26</v>
      </c>
      <c r="B35" s="324">
        <v>0.74</v>
      </c>
      <c r="C35" s="316">
        <f t="shared" si="0"/>
        <v>0.6790205241620284</v>
      </c>
      <c r="E35" s="233">
        <v>26</v>
      </c>
      <c r="F35" s="316">
        <f t="shared" si="1"/>
        <v>1.0533210413197798</v>
      </c>
      <c r="G35" s="321">
        <v>1.0129999999999999</v>
      </c>
      <c r="H35" s="232" t="s">
        <v>367</v>
      </c>
      <c r="I35" s="232">
        <v>244.7</v>
      </c>
      <c r="J35" s="232">
        <v>0.21</v>
      </c>
      <c r="M35" s="232" t="s">
        <v>591</v>
      </c>
    </row>
    <row r="36" spans="1:13" x14ac:dyDescent="0.25">
      <c r="A36" s="235">
        <v>27</v>
      </c>
      <c r="B36" s="324">
        <v>0.73</v>
      </c>
      <c r="C36" s="318">
        <f t="shared" si="0"/>
        <v>0.6689857380906683</v>
      </c>
      <c r="E36" s="233">
        <v>27</v>
      </c>
      <c r="F36" s="316">
        <f t="shared" si="1"/>
        <v>1.0554276834024194</v>
      </c>
      <c r="G36" s="321">
        <v>1.0135000000000001</v>
      </c>
      <c r="H36" s="232" t="s">
        <v>366</v>
      </c>
      <c r="I36" s="232">
        <v>325.5</v>
      </c>
      <c r="J36" s="232">
        <v>0.3</v>
      </c>
    </row>
    <row r="37" spans="1:13" x14ac:dyDescent="0.25">
      <c r="A37" s="233">
        <v>28</v>
      </c>
      <c r="B37" s="324">
        <v>0.72</v>
      </c>
      <c r="C37" s="316">
        <f t="shared" si="0"/>
        <v>0.65909924935041209</v>
      </c>
      <c r="E37" s="233">
        <v>28</v>
      </c>
      <c r="F37" s="316">
        <f t="shared" si="1"/>
        <v>1.0575385387692242</v>
      </c>
      <c r="G37" s="321">
        <v>1.014</v>
      </c>
      <c r="H37" s="232" t="s">
        <v>365</v>
      </c>
      <c r="I37" s="232">
        <v>432.9</v>
      </c>
      <c r="J37" s="232">
        <v>0.4</v>
      </c>
      <c r="M37" s="232" t="s">
        <v>590</v>
      </c>
    </row>
    <row r="38" spans="1:13" x14ac:dyDescent="0.25">
      <c r="A38" s="233">
        <v>29</v>
      </c>
      <c r="B38" s="324">
        <v>0.71</v>
      </c>
      <c r="C38" s="316">
        <f t="shared" si="0"/>
        <v>0.64935886635508577</v>
      </c>
      <c r="E38" s="233">
        <v>29</v>
      </c>
      <c r="F38" s="316">
        <f t="shared" si="1"/>
        <v>1.0596536158467627</v>
      </c>
      <c r="G38" s="321">
        <v>1.0145</v>
      </c>
      <c r="H38" s="232" t="s">
        <v>364</v>
      </c>
      <c r="I38" s="232">
        <v>497.8</v>
      </c>
      <c r="M38" s="232" t="s">
        <v>589</v>
      </c>
    </row>
    <row r="39" spans="1:13" x14ac:dyDescent="0.25">
      <c r="A39" s="233">
        <v>30</v>
      </c>
      <c r="B39" s="324">
        <v>0.7</v>
      </c>
      <c r="C39" s="316">
        <f t="shared" si="0"/>
        <v>0.63976242990648846</v>
      </c>
      <c r="E39" s="233">
        <v>30</v>
      </c>
      <c r="F39" s="316">
        <f t="shared" si="1"/>
        <v>1.0617729230784563</v>
      </c>
      <c r="G39" s="321">
        <v>1.0149999999999999</v>
      </c>
      <c r="M39" s="232" t="s">
        <v>588</v>
      </c>
    </row>
    <row r="40" spans="1:13" x14ac:dyDescent="0.25">
      <c r="A40" s="233">
        <v>31</v>
      </c>
      <c r="B40" s="324">
        <v>0.69</v>
      </c>
      <c r="C40" s="316">
        <f t="shared" si="0"/>
        <v>0.6303078127157522</v>
      </c>
      <c r="E40" s="233">
        <v>31</v>
      </c>
      <c r="F40" s="316">
        <f t="shared" si="1"/>
        <v>1.0638964689246131</v>
      </c>
      <c r="G40" s="321">
        <v>1.0155000000000001</v>
      </c>
    </row>
    <row r="41" spans="1:13" x14ac:dyDescent="0.25">
      <c r="A41" s="233">
        <v>32</v>
      </c>
      <c r="B41" s="324">
        <v>0.68</v>
      </c>
      <c r="C41" s="316">
        <f t="shared" si="0"/>
        <v>0.62099291893177555</v>
      </c>
      <c r="E41" s="233">
        <v>32</v>
      </c>
      <c r="F41" s="316">
        <f t="shared" si="1"/>
        <v>1.0660242618624622</v>
      </c>
      <c r="G41" s="321">
        <v>1.016</v>
      </c>
      <c r="M41" s="232" t="s">
        <v>587</v>
      </c>
    </row>
    <row r="42" spans="1:13" x14ac:dyDescent="0.25">
      <c r="A42" s="233">
        <v>33</v>
      </c>
      <c r="B42" s="324">
        <v>0.67</v>
      </c>
      <c r="C42" s="316">
        <f t="shared" ref="C42:C58" si="2">C41*100/101.5</f>
        <v>0.6118156836766262</v>
      </c>
      <c r="E42" s="233">
        <v>33</v>
      </c>
      <c r="F42" s="316">
        <f t="shared" ref="F42:F73" si="3">F41*1.002</f>
        <v>1.0681563103861871</v>
      </c>
      <c r="G42" s="321">
        <v>1.0165</v>
      </c>
    </row>
    <row r="43" spans="1:13" x14ac:dyDescent="0.25">
      <c r="A43" s="233">
        <v>34</v>
      </c>
      <c r="B43" s="324">
        <v>0.66</v>
      </c>
      <c r="C43" s="316">
        <f t="shared" si="2"/>
        <v>0.60277407258780902</v>
      </c>
      <c r="E43" s="233">
        <v>34</v>
      </c>
      <c r="F43" s="316">
        <f t="shared" si="3"/>
        <v>1.0702926230069594</v>
      </c>
      <c r="G43" s="321">
        <v>1.0169999999999999</v>
      </c>
    </row>
    <row r="44" spans="1:13" x14ac:dyDescent="0.25">
      <c r="A44" s="233">
        <v>35</v>
      </c>
      <c r="B44" s="324">
        <v>0.65</v>
      </c>
      <c r="C44" s="316">
        <f t="shared" si="2"/>
        <v>0.59386608136729957</v>
      </c>
      <c r="E44" s="233">
        <v>35</v>
      </c>
      <c r="F44" s="316">
        <f t="shared" si="3"/>
        <v>1.0724332082529733</v>
      </c>
      <c r="G44" s="321">
        <v>1.0175000000000001</v>
      </c>
    </row>
    <row r="45" spans="1:13" x14ac:dyDescent="0.25">
      <c r="A45" s="233">
        <v>36</v>
      </c>
      <c r="B45" s="324">
        <v>0.64</v>
      </c>
      <c r="C45" s="316">
        <f t="shared" si="2"/>
        <v>0.58508973533724096</v>
      </c>
      <c r="E45" s="235">
        <v>36</v>
      </c>
      <c r="F45" s="318">
        <f t="shared" si="3"/>
        <v>1.0745780746694793</v>
      </c>
      <c r="G45" s="321">
        <v>1.018</v>
      </c>
    </row>
    <row r="46" spans="1:13" x14ac:dyDescent="0.25">
      <c r="A46" s="233">
        <v>37</v>
      </c>
      <c r="B46" s="324">
        <v>0.63</v>
      </c>
      <c r="C46" s="316">
        <f t="shared" si="2"/>
        <v>0.57644308900220786</v>
      </c>
      <c r="E46" s="233">
        <v>37</v>
      </c>
      <c r="F46" s="316">
        <f t="shared" si="3"/>
        <v>1.0767272308188183</v>
      </c>
      <c r="G46" s="321">
        <v>1.0185</v>
      </c>
    </row>
    <row r="47" spans="1:13" x14ac:dyDescent="0.25">
      <c r="A47" s="233">
        <v>38</v>
      </c>
      <c r="B47" s="324">
        <v>0.62</v>
      </c>
      <c r="C47" s="316">
        <f t="shared" si="2"/>
        <v>0.56792422561793876</v>
      </c>
      <c r="E47" s="233">
        <v>38</v>
      </c>
      <c r="F47" s="316">
        <f t="shared" si="3"/>
        <v>1.078880685280456</v>
      </c>
      <c r="G47" s="321">
        <v>1.0189999999999999</v>
      </c>
    </row>
    <row r="48" spans="1:13" x14ac:dyDescent="0.25">
      <c r="A48" s="233">
        <v>39</v>
      </c>
      <c r="B48" s="324">
        <v>0.61</v>
      </c>
      <c r="C48" s="316">
        <f t="shared" si="2"/>
        <v>0.55953125676644211</v>
      </c>
      <c r="E48" s="233">
        <v>39</v>
      </c>
      <c r="F48" s="316">
        <f t="shared" si="3"/>
        <v>1.081038446651017</v>
      </c>
      <c r="G48" s="321">
        <v>1.0195000000000001</v>
      </c>
    </row>
    <row r="49" spans="1:7" x14ac:dyDescent="0.25">
      <c r="A49" s="233">
        <v>40</v>
      </c>
      <c r="B49" s="324">
        <v>0.6</v>
      </c>
      <c r="C49" s="316">
        <f t="shared" si="2"/>
        <v>0.55126232193738145</v>
      </c>
      <c r="E49" s="233">
        <v>40</v>
      </c>
      <c r="F49" s="316">
        <f t="shared" si="3"/>
        <v>1.0832005235443189</v>
      </c>
      <c r="G49" s="321">
        <v>1.02</v>
      </c>
    </row>
    <row r="50" spans="1:7" x14ac:dyDescent="0.25">
      <c r="A50" s="233">
        <v>41</v>
      </c>
      <c r="B50" s="324">
        <v>0.59</v>
      </c>
      <c r="C50" s="316">
        <f t="shared" si="2"/>
        <v>0.54311558811564675</v>
      </c>
      <c r="E50" s="233">
        <v>41</v>
      </c>
      <c r="F50" s="316">
        <f t="shared" si="3"/>
        <v>1.0853669245914075</v>
      </c>
      <c r="G50" s="321">
        <v>1.0205</v>
      </c>
    </row>
    <row r="51" spans="1:7" x14ac:dyDescent="0.25">
      <c r="A51" s="233">
        <v>42</v>
      </c>
      <c r="B51" s="324">
        <v>0.57999999999999996</v>
      </c>
      <c r="C51" s="316">
        <f t="shared" si="2"/>
        <v>0.53508924937502145</v>
      </c>
      <c r="E51" s="233">
        <v>42</v>
      </c>
      <c r="F51" s="316">
        <f t="shared" si="3"/>
        <v>1.0875376584405902</v>
      </c>
      <c r="G51" s="321">
        <v>1.0209999999999999</v>
      </c>
    </row>
    <row r="52" spans="1:7" x14ac:dyDescent="0.25">
      <c r="A52" s="233">
        <v>43</v>
      </c>
      <c r="B52" s="324">
        <v>0.56999999999999995</v>
      </c>
      <c r="C52" s="316">
        <f t="shared" si="2"/>
        <v>0.52718152647785366</v>
      </c>
      <c r="E52" s="233">
        <v>43</v>
      </c>
      <c r="F52" s="316">
        <f t="shared" si="3"/>
        <v>1.0897127337574715</v>
      </c>
      <c r="G52" s="321">
        <v>1.0215000000000001</v>
      </c>
    </row>
    <row r="53" spans="1:7" x14ac:dyDescent="0.25">
      <c r="A53" s="233">
        <v>44</v>
      </c>
      <c r="B53" s="324">
        <v>0.56000000000000005</v>
      </c>
      <c r="C53" s="316">
        <f t="shared" si="2"/>
        <v>0.51939066648064403</v>
      </c>
      <c r="E53" s="233">
        <v>44</v>
      </c>
      <c r="F53" s="316">
        <f t="shared" si="3"/>
        <v>1.0918921592249864</v>
      </c>
      <c r="G53" s="321">
        <v>1.022</v>
      </c>
    </row>
    <row r="54" spans="1:7" x14ac:dyDescent="0.25">
      <c r="A54" s="233">
        <v>45</v>
      </c>
      <c r="B54" s="324">
        <v>0.55000000000000004</v>
      </c>
      <c r="C54" s="316">
        <f t="shared" si="2"/>
        <v>0.51171494234546211</v>
      </c>
      <c r="E54" s="233">
        <v>45</v>
      </c>
      <c r="F54" s="316">
        <f t="shared" si="3"/>
        <v>1.0940759435434364</v>
      </c>
      <c r="G54" s="321">
        <v>1.0225</v>
      </c>
    </row>
    <row r="55" spans="1:7" x14ac:dyDescent="0.25">
      <c r="A55" s="233">
        <v>46</v>
      </c>
      <c r="B55" s="324">
        <v>0.54</v>
      </c>
      <c r="C55" s="316">
        <f t="shared" si="2"/>
        <v>0.50415265255710551</v>
      </c>
      <c r="E55" s="233">
        <v>46</v>
      </c>
      <c r="F55" s="316">
        <f t="shared" si="3"/>
        <v>1.0962640954305232</v>
      </c>
      <c r="G55" s="321">
        <v>1.0229999999999999</v>
      </c>
    </row>
    <row r="56" spans="1:7" x14ac:dyDescent="0.25">
      <c r="A56" s="233">
        <v>47</v>
      </c>
      <c r="B56" s="324">
        <v>0.53</v>
      </c>
      <c r="C56" s="316">
        <f t="shared" si="2"/>
        <v>0.49670212074591674</v>
      </c>
      <c r="E56" s="233">
        <v>47</v>
      </c>
      <c r="F56" s="316">
        <f t="shared" si="3"/>
        <v>1.0984566236213842</v>
      </c>
      <c r="G56" s="321">
        <v>1.0235000000000001</v>
      </c>
    </row>
    <row r="57" spans="1:7" x14ac:dyDescent="0.25">
      <c r="A57" s="233">
        <v>48</v>
      </c>
      <c r="B57" s="324">
        <v>0.52</v>
      </c>
      <c r="C57" s="316">
        <f t="shared" si="2"/>
        <v>0.48936169531617413</v>
      </c>
      <c r="E57" s="233">
        <v>48</v>
      </c>
      <c r="F57" s="316">
        <f t="shared" si="3"/>
        <v>1.100653536868627</v>
      </c>
      <c r="G57" s="321">
        <v>1.024</v>
      </c>
    </row>
    <row r="58" spans="1:7" x14ac:dyDescent="0.25">
      <c r="A58" s="325">
        <v>49</v>
      </c>
      <c r="B58" s="326">
        <v>0.51</v>
      </c>
      <c r="C58" s="327">
        <f t="shared" si="2"/>
        <v>0.48212974907997447</v>
      </c>
      <c r="E58" s="233">
        <v>49</v>
      </c>
      <c r="F58" s="316">
        <f t="shared" si="3"/>
        <v>1.1028548439423642</v>
      </c>
      <c r="G58" s="321">
        <v>1.0245</v>
      </c>
    </row>
    <row r="59" spans="1:7" x14ac:dyDescent="0.25">
      <c r="A59" s="328">
        <v>50</v>
      </c>
      <c r="B59" s="321">
        <v>0.5</v>
      </c>
      <c r="C59" s="328">
        <v>0.47399999999999998</v>
      </c>
      <c r="E59" s="233">
        <v>50</v>
      </c>
      <c r="F59" s="316">
        <f t="shared" si="3"/>
        <v>1.1050605536302489</v>
      </c>
      <c r="G59" s="321">
        <v>1.0249999999999999</v>
      </c>
    </row>
    <row r="60" spans="1:7" x14ac:dyDescent="0.25">
      <c r="E60" s="233">
        <v>51</v>
      </c>
      <c r="F60" s="316">
        <f t="shared" si="3"/>
        <v>1.1072706747375094</v>
      </c>
      <c r="G60" s="321">
        <v>1.0255000000000001</v>
      </c>
    </row>
    <row r="61" spans="1:7" x14ac:dyDescent="0.25">
      <c r="E61" s="233">
        <v>52</v>
      </c>
      <c r="F61" s="316">
        <f t="shared" si="3"/>
        <v>1.1094852160869844</v>
      </c>
      <c r="G61" s="321">
        <v>1.026</v>
      </c>
    </row>
    <row r="62" spans="1:7" x14ac:dyDescent="0.25">
      <c r="E62" s="233">
        <v>53</v>
      </c>
      <c r="F62" s="316">
        <f t="shared" si="3"/>
        <v>1.1117041865191584</v>
      </c>
      <c r="G62" s="321">
        <v>1.0265</v>
      </c>
    </row>
    <row r="63" spans="1:7" x14ac:dyDescent="0.25">
      <c r="E63" s="233">
        <v>54</v>
      </c>
      <c r="F63" s="316">
        <f t="shared" si="3"/>
        <v>1.1139275948921967</v>
      </c>
      <c r="G63" s="321">
        <v>1.0269999999999999</v>
      </c>
    </row>
    <row r="64" spans="1:7" x14ac:dyDescent="0.25">
      <c r="E64" s="233">
        <v>55</v>
      </c>
      <c r="F64" s="316">
        <f t="shared" si="3"/>
        <v>1.116155450081981</v>
      </c>
      <c r="G64" s="321">
        <v>1.0275000000000001</v>
      </c>
    </row>
    <row r="65" spans="5:7" x14ac:dyDescent="0.25">
      <c r="E65" s="233">
        <v>56</v>
      </c>
      <c r="F65" s="316">
        <f t="shared" si="3"/>
        <v>1.1183877609821451</v>
      </c>
      <c r="G65" s="321">
        <v>1.028</v>
      </c>
    </row>
    <row r="66" spans="5:7" x14ac:dyDescent="0.25">
      <c r="E66" s="233">
        <v>57</v>
      </c>
      <c r="F66" s="316">
        <f t="shared" si="3"/>
        <v>1.1206245365041094</v>
      </c>
      <c r="G66" s="321">
        <v>1.0285</v>
      </c>
    </row>
    <row r="67" spans="5:7" x14ac:dyDescent="0.25">
      <c r="E67" s="233">
        <v>58</v>
      </c>
      <c r="F67" s="316">
        <f t="shared" si="3"/>
        <v>1.1228657855771176</v>
      </c>
      <c r="G67" s="321">
        <v>1.0289999999999999</v>
      </c>
    </row>
    <row r="68" spans="5:7" x14ac:dyDescent="0.25">
      <c r="E68" s="233">
        <v>59</v>
      </c>
      <c r="F68" s="316">
        <f t="shared" si="3"/>
        <v>1.1251115171482717</v>
      </c>
      <c r="G68" s="321">
        <v>1.0295000000000001</v>
      </c>
    </row>
    <row r="69" spans="5:7" x14ac:dyDescent="0.25">
      <c r="E69" s="233">
        <v>60</v>
      </c>
      <c r="F69" s="316">
        <f t="shared" si="3"/>
        <v>1.1273617401825682</v>
      </c>
      <c r="G69" s="321">
        <v>1.03</v>
      </c>
    </row>
    <row r="70" spans="5:7" x14ac:dyDescent="0.25">
      <c r="E70" s="233">
        <v>61</v>
      </c>
      <c r="F70" s="316">
        <f t="shared" si="3"/>
        <v>1.1296164636629333</v>
      </c>
      <c r="G70" s="321">
        <v>1.0305</v>
      </c>
    </row>
    <row r="71" spans="5:7" x14ac:dyDescent="0.25">
      <c r="E71" s="233">
        <v>62</v>
      </c>
      <c r="F71" s="316">
        <f t="shared" si="3"/>
        <v>1.1318756965902592</v>
      </c>
      <c r="G71" s="321">
        <v>1.0309999999999999</v>
      </c>
    </row>
    <row r="72" spans="5:7" x14ac:dyDescent="0.25">
      <c r="E72" s="233">
        <v>63</v>
      </c>
      <c r="F72" s="316">
        <f t="shared" si="3"/>
        <v>1.1341394479834397</v>
      </c>
      <c r="G72" s="321">
        <v>1.0315000000000001</v>
      </c>
    </row>
    <row r="73" spans="5:7" x14ac:dyDescent="0.25">
      <c r="E73" s="233">
        <v>64</v>
      </c>
      <c r="F73" s="316">
        <f t="shared" si="3"/>
        <v>1.1364077268794066</v>
      </c>
      <c r="G73" s="321">
        <v>1.032</v>
      </c>
    </row>
    <row r="74" spans="5:7" x14ac:dyDescent="0.25">
      <c r="E74" s="233">
        <v>65</v>
      </c>
      <c r="F74" s="316">
        <f t="shared" ref="F74:F109" si="4">F73*1.002</f>
        <v>1.1386805423331654</v>
      </c>
      <c r="G74" s="321">
        <v>1.0325</v>
      </c>
    </row>
    <row r="75" spans="5:7" x14ac:dyDescent="0.25">
      <c r="E75" s="233">
        <v>66</v>
      </c>
      <c r="F75" s="316">
        <f t="shared" si="4"/>
        <v>1.1409579034178317</v>
      </c>
      <c r="G75" s="321">
        <v>1.0329999999999999</v>
      </c>
    </row>
    <row r="76" spans="5:7" x14ac:dyDescent="0.25">
      <c r="E76" s="233">
        <v>67</v>
      </c>
      <c r="F76" s="316">
        <f t="shared" si="4"/>
        <v>1.1432398192246673</v>
      </c>
      <c r="G76" s="321">
        <v>1.0335000000000001</v>
      </c>
    </row>
    <row r="77" spans="5:7" x14ac:dyDescent="0.25">
      <c r="E77" s="233">
        <v>68</v>
      </c>
      <c r="F77" s="316">
        <f t="shared" si="4"/>
        <v>1.1455262988631167</v>
      </c>
      <c r="G77" s="321">
        <v>1.034</v>
      </c>
    </row>
    <row r="78" spans="5:7" x14ac:dyDescent="0.25">
      <c r="E78" s="233">
        <v>69</v>
      </c>
      <c r="F78" s="316">
        <f t="shared" si="4"/>
        <v>1.147817351460843</v>
      </c>
      <c r="G78" s="321">
        <v>1.0345</v>
      </c>
    </row>
    <row r="79" spans="5:7" x14ac:dyDescent="0.25">
      <c r="E79" s="233">
        <v>70</v>
      </c>
      <c r="F79" s="316">
        <f t="shared" si="4"/>
        <v>1.1501129861637647</v>
      </c>
      <c r="G79" s="321">
        <v>1.0349999999999999</v>
      </c>
    </row>
    <row r="80" spans="5:7" x14ac:dyDescent="0.25">
      <c r="E80" s="233">
        <v>71</v>
      </c>
      <c r="F80" s="316">
        <f t="shared" si="4"/>
        <v>1.1524132121360922</v>
      </c>
      <c r="G80" s="321">
        <v>1.0355000000000001</v>
      </c>
    </row>
    <row r="81" spans="5:7" x14ac:dyDescent="0.25">
      <c r="E81" s="233">
        <v>72</v>
      </c>
      <c r="F81" s="316">
        <f t="shared" si="4"/>
        <v>1.1547180385603644</v>
      </c>
      <c r="G81" s="321">
        <v>1.036</v>
      </c>
    </row>
    <row r="82" spans="5:7" x14ac:dyDescent="0.25">
      <c r="E82" s="233">
        <v>73</v>
      </c>
      <c r="F82" s="316">
        <f t="shared" si="4"/>
        <v>1.1570274746374851</v>
      </c>
      <c r="G82" s="321">
        <v>1.0365</v>
      </c>
    </row>
    <row r="83" spans="5:7" x14ac:dyDescent="0.25">
      <c r="E83" s="233">
        <v>74</v>
      </c>
      <c r="F83" s="316">
        <f t="shared" si="4"/>
        <v>1.1593415295867602</v>
      </c>
      <c r="G83" s="321">
        <v>1.0369999999999999</v>
      </c>
    </row>
    <row r="84" spans="5:7" x14ac:dyDescent="0.25">
      <c r="E84" s="233">
        <v>75</v>
      </c>
      <c r="F84" s="316">
        <f t="shared" si="4"/>
        <v>1.1616602126459337</v>
      </c>
      <c r="G84" s="321">
        <v>1.0375000000000001</v>
      </c>
    </row>
    <row r="85" spans="5:7" x14ac:dyDescent="0.25">
      <c r="E85" s="233">
        <v>76</v>
      </c>
      <c r="F85" s="316">
        <f t="shared" si="4"/>
        <v>1.1639835330712256</v>
      </c>
      <c r="G85" s="321">
        <v>1.038</v>
      </c>
    </row>
    <row r="86" spans="5:7" x14ac:dyDescent="0.25">
      <c r="E86" s="233">
        <v>77</v>
      </c>
      <c r="F86" s="316">
        <f t="shared" si="4"/>
        <v>1.1663115001373681</v>
      </c>
      <c r="G86" s="321">
        <v>1.0385</v>
      </c>
    </row>
    <row r="87" spans="5:7" x14ac:dyDescent="0.25">
      <c r="E87" s="233">
        <v>78</v>
      </c>
      <c r="F87" s="316">
        <f t="shared" si="4"/>
        <v>1.1686441231376428</v>
      </c>
      <c r="G87" s="321">
        <v>1.0389999999999999</v>
      </c>
    </row>
    <row r="88" spans="5:7" x14ac:dyDescent="0.25">
      <c r="E88" s="233">
        <v>79</v>
      </c>
      <c r="F88" s="316">
        <f t="shared" si="4"/>
        <v>1.1709814113839181</v>
      </c>
      <c r="G88" s="321">
        <v>1.0395000000000001</v>
      </c>
    </row>
    <row r="89" spans="5:7" x14ac:dyDescent="0.25">
      <c r="E89" s="233">
        <v>80</v>
      </c>
      <c r="F89" s="316">
        <f t="shared" si="4"/>
        <v>1.173323374206686</v>
      </c>
      <c r="G89" s="321">
        <v>1.04</v>
      </c>
    </row>
    <row r="90" spans="5:7" x14ac:dyDescent="0.25">
      <c r="E90" s="233">
        <v>81</v>
      </c>
      <c r="F90" s="316">
        <f t="shared" si="4"/>
        <v>1.1756700209550994</v>
      </c>
      <c r="G90" s="321">
        <v>1.0405</v>
      </c>
    </row>
    <row r="91" spans="5:7" x14ac:dyDescent="0.25">
      <c r="E91" s="233">
        <v>82</v>
      </c>
      <c r="F91" s="316">
        <f t="shared" si="4"/>
        <v>1.1780213609970096</v>
      </c>
      <c r="G91" s="321">
        <v>1.0409999999999999</v>
      </c>
    </row>
    <row r="92" spans="5:7" x14ac:dyDescent="0.25">
      <c r="E92" s="233">
        <v>83</v>
      </c>
      <c r="F92" s="316">
        <f t="shared" si="4"/>
        <v>1.1803774037190036</v>
      </c>
      <c r="G92" s="321">
        <v>1.0415000000000001</v>
      </c>
    </row>
    <row r="93" spans="5:7" x14ac:dyDescent="0.25">
      <c r="E93" s="233">
        <v>84</v>
      </c>
      <c r="F93" s="316">
        <f t="shared" si="4"/>
        <v>1.1827381585264416</v>
      </c>
      <c r="G93" s="321">
        <v>1.042</v>
      </c>
    </row>
    <row r="94" spans="5:7" x14ac:dyDescent="0.25">
      <c r="E94" s="234">
        <v>85</v>
      </c>
      <c r="F94" s="319">
        <f t="shared" si="4"/>
        <v>1.1851036348434945</v>
      </c>
      <c r="G94" s="321">
        <v>1.0425</v>
      </c>
    </row>
    <row r="95" spans="5:7" x14ac:dyDescent="0.25">
      <c r="E95" s="233">
        <v>86</v>
      </c>
      <c r="F95" s="316">
        <f t="shared" si="4"/>
        <v>1.1874738421131814</v>
      </c>
      <c r="G95" s="321">
        <v>1.0429999999999999</v>
      </c>
    </row>
    <row r="96" spans="5:7" x14ac:dyDescent="0.25">
      <c r="E96" s="233">
        <v>87</v>
      </c>
      <c r="F96" s="316">
        <f t="shared" si="4"/>
        <v>1.1898487897974077</v>
      </c>
      <c r="G96" s="321">
        <v>1.0435000000000001</v>
      </c>
    </row>
    <row r="97" spans="5:7" x14ac:dyDescent="0.25">
      <c r="E97" s="233">
        <v>88</v>
      </c>
      <c r="F97" s="316">
        <f t="shared" si="4"/>
        <v>1.1922284873770026</v>
      </c>
      <c r="G97" s="321">
        <v>1.044</v>
      </c>
    </row>
    <row r="98" spans="5:7" x14ac:dyDescent="0.25">
      <c r="E98" s="233">
        <v>89</v>
      </c>
      <c r="F98" s="316">
        <f t="shared" si="4"/>
        <v>1.1946129443517566</v>
      </c>
      <c r="G98" s="321">
        <v>1.0445</v>
      </c>
    </row>
    <row r="99" spans="5:7" x14ac:dyDescent="0.25">
      <c r="E99" s="233">
        <v>90</v>
      </c>
      <c r="F99" s="316">
        <f t="shared" si="4"/>
        <v>1.1970021702404601</v>
      </c>
      <c r="G99" s="321">
        <v>1.0449999999999999</v>
      </c>
    </row>
    <row r="100" spans="5:7" x14ac:dyDescent="0.25">
      <c r="E100" s="233">
        <v>91</v>
      </c>
      <c r="F100" s="316">
        <f t="shared" si="4"/>
        <v>1.1993961745809409</v>
      </c>
      <c r="G100" s="321">
        <v>1.0455000000000001</v>
      </c>
    </row>
    <row r="101" spans="5:7" x14ac:dyDescent="0.25">
      <c r="E101" s="233">
        <v>92</v>
      </c>
      <c r="F101" s="316">
        <f t="shared" si="4"/>
        <v>1.2017949669301029</v>
      </c>
      <c r="G101" s="321">
        <v>1.046</v>
      </c>
    </row>
    <row r="102" spans="5:7" x14ac:dyDescent="0.25">
      <c r="E102" s="233">
        <v>93</v>
      </c>
      <c r="F102" s="316">
        <f t="shared" si="4"/>
        <v>1.204198556863963</v>
      </c>
      <c r="G102" s="321">
        <v>1.0465</v>
      </c>
    </row>
    <row r="103" spans="5:7" x14ac:dyDescent="0.25">
      <c r="E103" s="233">
        <v>94</v>
      </c>
      <c r="F103" s="316">
        <f t="shared" si="4"/>
        <v>1.2066069539776909</v>
      </c>
      <c r="G103" s="321">
        <v>1.0469999999999999</v>
      </c>
    </row>
    <row r="104" spans="5:7" x14ac:dyDescent="0.25">
      <c r="E104" s="233">
        <v>95</v>
      </c>
      <c r="F104" s="316">
        <f t="shared" si="4"/>
        <v>1.2090201678856463</v>
      </c>
      <c r="G104" s="321">
        <v>1.0475000000000001</v>
      </c>
    </row>
    <row r="105" spans="5:7" x14ac:dyDescent="0.25">
      <c r="E105" s="233">
        <v>96</v>
      </c>
      <c r="F105" s="316">
        <f t="shared" si="4"/>
        <v>1.2114382082214175</v>
      </c>
      <c r="G105" s="321">
        <v>1.048</v>
      </c>
    </row>
    <row r="106" spans="5:7" x14ac:dyDescent="0.25">
      <c r="E106" s="233">
        <v>97</v>
      </c>
      <c r="F106" s="316">
        <f t="shared" si="4"/>
        <v>1.2138610846378604</v>
      </c>
      <c r="G106" s="321">
        <v>1.0485</v>
      </c>
    </row>
    <row r="107" spans="5:7" x14ac:dyDescent="0.25">
      <c r="E107" s="233">
        <v>98</v>
      </c>
      <c r="F107" s="316">
        <f t="shared" si="4"/>
        <v>1.216288806807136</v>
      </c>
      <c r="G107" s="321">
        <v>1.0489999999999999</v>
      </c>
    </row>
    <row r="108" spans="5:7" x14ac:dyDescent="0.25">
      <c r="E108" s="233">
        <v>99</v>
      </c>
      <c r="F108" s="316">
        <f t="shared" si="4"/>
        <v>1.2187213844207503</v>
      </c>
      <c r="G108" s="321">
        <v>1.0495000000000001</v>
      </c>
    </row>
    <row r="109" spans="5:7" x14ac:dyDescent="0.25">
      <c r="E109" s="233">
        <v>100</v>
      </c>
      <c r="F109" s="316">
        <f t="shared" si="4"/>
        <v>1.2211588271895919</v>
      </c>
      <c r="G109" s="321">
        <v>1.05</v>
      </c>
    </row>
  </sheetData>
  <sheetProtection selectLockedCells="1"/>
  <customSheetViews>
    <customSheetView guid="{58F65609-3622-42C4-9926-1A56B88F9C36}" state="hidden">
      <selection activeCell="B6" sqref="B6"/>
      <pageMargins left="0.7" right="0.7" top="0.75" bottom="0.75" header="0.3" footer="0.3"/>
    </customSheetView>
  </customSheetViews>
  <dataValidations count="2">
    <dataValidation type="list" allowBlank="1" showErrorMessage="1" sqref="D2 WVL983042 WLP983042 WBT983042 VRX983042 VIB983042 UYF983042 UOJ983042 UEN983042 TUR983042 TKV983042 TAZ983042 SRD983042 SHH983042 RXL983042 RNP983042 RDT983042 QTX983042 QKB983042 QAF983042 PQJ983042 PGN983042 OWR983042 OMV983042 OCZ983042 NTD983042 NJH983042 MZL983042 MPP983042 MFT983042 LVX983042 LMB983042 LCF983042 KSJ983042 KIN983042 JYR983042 JOV983042 JEZ983042 IVD983042 ILH983042 IBL983042 HRP983042 HHT983042 GXX983042 GOB983042 GEF983042 FUJ983042 FKN983042 FAR983042 EQV983042 EGZ983042 DXD983042 DNH983042 DDL983042 CTP983042 CJT983042 BZX983042 BQB983042 BGF983042 AWJ983042 AMN983042 ACR983042 SV983042 IZ983042 D983042 WVL917506 WLP917506 WBT917506 VRX917506 VIB917506 UYF917506 UOJ917506 UEN917506 TUR917506 TKV917506 TAZ917506 SRD917506 SHH917506 RXL917506 RNP917506 RDT917506 QTX917506 QKB917506 QAF917506 PQJ917506 PGN917506 OWR917506 OMV917506 OCZ917506 NTD917506 NJH917506 MZL917506 MPP917506 MFT917506 LVX917506 LMB917506 LCF917506 KSJ917506 KIN917506 JYR917506 JOV917506 JEZ917506 IVD917506 ILH917506 IBL917506 HRP917506 HHT917506 GXX917506 GOB917506 GEF917506 FUJ917506 FKN917506 FAR917506 EQV917506 EGZ917506 DXD917506 DNH917506 DDL917506 CTP917506 CJT917506 BZX917506 BQB917506 BGF917506 AWJ917506 AMN917506 ACR917506 SV917506 IZ917506 D917506 WVL851970 WLP851970 WBT851970 VRX851970 VIB851970 UYF851970 UOJ851970 UEN851970 TUR851970 TKV851970 TAZ851970 SRD851970 SHH851970 RXL851970 RNP851970 RDT851970 QTX851970 QKB851970 QAF851970 PQJ851970 PGN851970 OWR851970 OMV851970 OCZ851970 NTD851970 NJH851970 MZL851970 MPP851970 MFT851970 LVX851970 LMB851970 LCF851970 KSJ851970 KIN851970 JYR851970 JOV851970 JEZ851970 IVD851970 ILH851970 IBL851970 HRP851970 HHT851970 GXX851970 GOB851970 GEF851970 FUJ851970 FKN851970 FAR851970 EQV851970 EGZ851970 DXD851970 DNH851970 DDL851970 CTP851970 CJT851970 BZX851970 BQB851970 BGF851970 AWJ851970 AMN851970 ACR851970 SV851970 IZ851970 D851970 WVL786434 WLP786434 WBT786434 VRX786434 VIB786434 UYF786434 UOJ786434 UEN786434 TUR786434 TKV786434 TAZ786434 SRD786434 SHH786434 RXL786434 RNP786434 RDT786434 QTX786434 QKB786434 QAF786434 PQJ786434 PGN786434 OWR786434 OMV786434 OCZ786434 NTD786434 NJH786434 MZL786434 MPP786434 MFT786434 LVX786434 LMB786434 LCF786434 KSJ786434 KIN786434 JYR786434 JOV786434 JEZ786434 IVD786434 ILH786434 IBL786434 HRP786434 HHT786434 GXX786434 GOB786434 GEF786434 FUJ786434 FKN786434 FAR786434 EQV786434 EGZ786434 DXD786434 DNH786434 DDL786434 CTP786434 CJT786434 BZX786434 BQB786434 BGF786434 AWJ786434 AMN786434 ACR786434 SV786434 IZ786434 D786434 WVL720898 WLP720898 WBT720898 VRX720898 VIB720898 UYF720898 UOJ720898 UEN720898 TUR720898 TKV720898 TAZ720898 SRD720898 SHH720898 RXL720898 RNP720898 RDT720898 QTX720898 QKB720898 QAF720898 PQJ720898 PGN720898 OWR720898 OMV720898 OCZ720898 NTD720898 NJH720898 MZL720898 MPP720898 MFT720898 LVX720898 LMB720898 LCF720898 KSJ720898 KIN720898 JYR720898 JOV720898 JEZ720898 IVD720898 ILH720898 IBL720898 HRP720898 HHT720898 GXX720898 GOB720898 GEF720898 FUJ720898 FKN720898 FAR720898 EQV720898 EGZ720898 DXD720898 DNH720898 DDL720898 CTP720898 CJT720898 BZX720898 BQB720898 BGF720898 AWJ720898 AMN720898 ACR720898 SV720898 IZ720898 D720898 WVL655362 WLP655362 WBT655362 VRX655362 VIB655362 UYF655362 UOJ655362 UEN655362 TUR655362 TKV655362 TAZ655362 SRD655362 SHH655362 RXL655362 RNP655362 RDT655362 QTX655362 QKB655362 QAF655362 PQJ655362 PGN655362 OWR655362 OMV655362 OCZ655362 NTD655362 NJH655362 MZL655362 MPP655362 MFT655362 LVX655362 LMB655362 LCF655362 KSJ655362 KIN655362 JYR655362 JOV655362 JEZ655362 IVD655362 ILH655362 IBL655362 HRP655362 HHT655362 GXX655362 GOB655362 GEF655362 FUJ655362 FKN655362 FAR655362 EQV655362 EGZ655362 DXD655362 DNH655362 DDL655362 CTP655362 CJT655362 BZX655362 BQB655362 BGF655362 AWJ655362 AMN655362 ACR655362 SV655362 IZ655362 D655362 WVL589826 WLP589826 WBT589826 VRX589826 VIB589826 UYF589826 UOJ589826 UEN589826 TUR589826 TKV589826 TAZ589826 SRD589826 SHH589826 RXL589826 RNP589826 RDT589826 QTX589826 QKB589826 QAF589826 PQJ589826 PGN589826 OWR589826 OMV589826 OCZ589826 NTD589826 NJH589826 MZL589826 MPP589826 MFT589826 LVX589826 LMB589826 LCF589826 KSJ589826 KIN589826 JYR589826 JOV589826 JEZ589826 IVD589826 ILH589826 IBL589826 HRP589826 HHT589826 GXX589826 GOB589826 GEF589826 FUJ589826 FKN589826 FAR589826 EQV589826 EGZ589826 DXD589826 DNH589826 DDL589826 CTP589826 CJT589826 BZX589826 BQB589826 BGF589826 AWJ589826 AMN589826 ACR589826 SV589826 IZ589826 D589826 WVL524290 WLP524290 WBT524290 VRX524290 VIB524290 UYF524290 UOJ524290 UEN524290 TUR524290 TKV524290 TAZ524290 SRD524290 SHH524290 RXL524290 RNP524290 RDT524290 QTX524290 QKB524290 QAF524290 PQJ524290 PGN524290 OWR524290 OMV524290 OCZ524290 NTD524290 NJH524290 MZL524290 MPP524290 MFT524290 LVX524290 LMB524290 LCF524290 KSJ524290 KIN524290 JYR524290 JOV524290 JEZ524290 IVD524290 ILH524290 IBL524290 HRP524290 HHT524290 GXX524290 GOB524290 GEF524290 FUJ524290 FKN524290 FAR524290 EQV524290 EGZ524290 DXD524290 DNH524290 DDL524290 CTP524290 CJT524290 BZX524290 BQB524290 BGF524290 AWJ524290 AMN524290 ACR524290 SV524290 IZ524290 D524290 WVL458754 WLP458754 WBT458754 VRX458754 VIB458754 UYF458754 UOJ458754 UEN458754 TUR458754 TKV458754 TAZ458754 SRD458754 SHH458754 RXL458754 RNP458754 RDT458754 QTX458754 QKB458754 QAF458754 PQJ458754 PGN458754 OWR458754 OMV458754 OCZ458754 NTD458754 NJH458754 MZL458754 MPP458754 MFT458754 LVX458754 LMB458754 LCF458754 KSJ458754 KIN458754 JYR458754 JOV458754 JEZ458754 IVD458754 ILH458754 IBL458754 HRP458754 HHT458754 GXX458754 GOB458754 GEF458754 FUJ458754 FKN458754 FAR458754 EQV458754 EGZ458754 DXD458754 DNH458754 DDL458754 CTP458754 CJT458754 BZX458754 BQB458754 BGF458754 AWJ458754 AMN458754 ACR458754 SV458754 IZ458754 D458754 WVL393218 WLP393218 WBT393218 VRX393218 VIB393218 UYF393218 UOJ393218 UEN393218 TUR393218 TKV393218 TAZ393218 SRD393218 SHH393218 RXL393218 RNP393218 RDT393218 QTX393218 QKB393218 QAF393218 PQJ393218 PGN393218 OWR393218 OMV393218 OCZ393218 NTD393218 NJH393218 MZL393218 MPP393218 MFT393218 LVX393218 LMB393218 LCF393218 KSJ393218 KIN393218 JYR393218 JOV393218 JEZ393218 IVD393218 ILH393218 IBL393218 HRP393218 HHT393218 GXX393218 GOB393218 GEF393218 FUJ393218 FKN393218 FAR393218 EQV393218 EGZ393218 DXD393218 DNH393218 DDL393218 CTP393218 CJT393218 BZX393218 BQB393218 BGF393218 AWJ393218 AMN393218 ACR393218 SV393218 IZ393218 D393218 WVL327682 WLP327682 WBT327682 VRX327682 VIB327682 UYF327682 UOJ327682 UEN327682 TUR327682 TKV327682 TAZ327682 SRD327682 SHH327682 RXL327682 RNP327682 RDT327682 QTX327682 QKB327682 QAF327682 PQJ327682 PGN327682 OWR327682 OMV327682 OCZ327682 NTD327682 NJH327682 MZL327682 MPP327682 MFT327682 LVX327682 LMB327682 LCF327682 KSJ327682 KIN327682 JYR327682 JOV327682 JEZ327682 IVD327682 ILH327682 IBL327682 HRP327682 HHT327682 GXX327682 GOB327682 GEF327682 FUJ327682 FKN327682 FAR327682 EQV327682 EGZ327682 DXD327682 DNH327682 DDL327682 CTP327682 CJT327682 BZX327682 BQB327682 BGF327682 AWJ327682 AMN327682 ACR327682 SV327682 IZ327682 D327682 WVL262146 WLP262146 WBT262146 VRX262146 VIB262146 UYF262146 UOJ262146 UEN262146 TUR262146 TKV262146 TAZ262146 SRD262146 SHH262146 RXL262146 RNP262146 RDT262146 QTX262146 QKB262146 QAF262146 PQJ262146 PGN262146 OWR262146 OMV262146 OCZ262146 NTD262146 NJH262146 MZL262146 MPP262146 MFT262146 LVX262146 LMB262146 LCF262146 KSJ262146 KIN262146 JYR262146 JOV262146 JEZ262146 IVD262146 ILH262146 IBL262146 HRP262146 HHT262146 GXX262146 GOB262146 GEF262146 FUJ262146 FKN262146 FAR262146 EQV262146 EGZ262146 DXD262146 DNH262146 DDL262146 CTP262146 CJT262146 BZX262146 BQB262146 BGF262146 AWJ262146 AMN262146 ACR262146 SV262146 IZ262146 D262146 WVL196610 WLP196610 WBT196610 VRX196610 VIB196610 UYF196610 UOJ196610 UEN196610 TUR196610 TKV196610 TAZ196610 SRD196610 SHH196610 RXL196610 RNP196610 RDT196610 QTX196610 QKB196610 QAF196610 PQJ196610 PGN196610 OWR196610 OMV196610 OCZ196610 NTD196610 NJH196610 MZL196610 MPP196610 MFT196610 LVX196610 LMB196610 LCF196610 KSJ196610 KIN196610 JYR196610 JOV196610 JEZ196610 IVD196610 ILH196610 IBL196610 HRP196610 HHT196610 GXX196610 GOB196610 GEF196610 FUJ196610 FKN196610 FAR196610 EQV196610 EGZ196610 DXD196610 DNH196610 DDL196610 CTP196610 CJT196610 BZX196610 BQB196610 BGF196610 AWJ196610 AMN196610 ACR196610 SV196610 IZ196610 D196610 WVL131074 WLP131074 WBT131074 VRX131074 VIB131074 UYF131074 UOJ131074 UEN131074 TUR131074 TKV131074 TAZ131074 SRD131074 SHH131074 RXL131074 RNP131074 RDT131074 QTX131074 QKB131074 QAF131074 PQJ131074 PGN131074 OWR131074 OMV131074 OCZ131074 NTD131074 NJH131074 MZL131074 MPP131074 MFT131074 LVX131074 LMB131074 LCF131074 KSJ131074 KIN131074 JYR131074 JOV131074 JEZ131074 IVD131074 ILH131074 IBL131074 HRP131074 HHT131074 GXX131074 GOB131074 GEF131074 FUJ131074 FKN131074 FAR131074 EQV131074 EGZ131074 DXD131074 DNH131074 DDL131074 CTP131074 CJT131074 BZX131074 BQB131074 BGF131074 AWJ131074 AMN131074 ACR131074 SV131074 IZ131074 D131074 WVL65538 WLP65538 WBT65538 VRX65538 VIB65538 UYF65538 UOJ65538 UEN65538 TUR65538 TKV65538 TAZ65538 SRD65538 SHH65538 RXL65538 RNP65538 RDT65538 QTX65538 QKB65538 QAF65538 PQJ65538 PGN65538 OWR65538 OMV65538 OCZ65538 NTD65538 NJH65538 MZL65538 MPP65538 MFT65538 LVX65538 LMB65538 LCF65538 KSJ65538 KIN65538 JYR65538 JOV65538 JEZ65538 IVD65538 ILH65538 IBL65538 HRP65538 HHT65538 GXX65538 GOB65538 GEF65538 FUJ65538 FKN65538 FAR65538 EQV65538 EGZ65538 DXD65538 DNH65538 DDL65538 CTP65538 CJT65538 BZX65538 BQB65538 BGF65538 AWJ65538 AMN65538 ACR65538 SV65538 IZ65538 D65538 WVL2 WLP2 WBT2 VRX2 VIB2 UYF2 UOJ2 UEN2 TUR2 TKV2 TAZ2 SRD2 SHH2 RXL2 RNP2 RDT2 QTX2 QKB2 QAF2 PQJ2 PGN2 OWR2 OMV2 OCZ2 NTD2 NJH2 MZL2 MPP2 MFT2 LVX2 LMB2 LCF2 KSJ2 KIN2 JYR2 JOV2 JEZ2 IVD2 ILH2 IBL2 HRP2 HHT2 GXX2 GOB2 GEF2 FUJ2 FKN2 FAR2 EQV2 EGZ2 DXD2 DNH2 DDL2 CTP2 CJT2 BZX2 BQB2 BGF2 AWJ2 AMN2 ACR2 SV2 IZ2" xr:uid="{00000000-0002-0000-1100-000000000000}">
      <formula1>$H$9:$H$38</formula1>
      <formula2>0</formula2>
    </dataValidation>
    <dataValidation type="list" allowBlank="1" showErrorMessage="1" sqref="C2 WVK983042 WLO983042 WBS983042 VRW983042 VIA983042 UYE983042 UOI983042 UEM983042 TUQ983042 TKU983042 TAY983042 SRC983042 SHG983042 RXK983042 RNO983042 RDS983042 QTW983042 QKA983042 QAE983042 PQI983042 PGM983042 OWQ983042 OMU983042 OCY983042 NTC983042 NJG983042 MZK983042 MPO983042 MFS983042 LVW983042 LMA983042 LCE983042 KSI983042 KIM983042 JYQ983042 JOU983042 JEY983042 IVC983042 ILG983042 IBK983042 HRO983042 HHS983042 GXW983042 GOA983042 GEE983042 FUI983042 FKM983042 FAQ983042 EQU983042 EGY983042 DXC983042 DNG983042 DDK983042 CTO983042 CJS983042 BZW983042 BQA983042 BGE983042 AWI983042 AMM983042 ACQ983042 SU983042 IY983042 C983042 WVK917506 WLO917506 WBS917506 VRW917506 VIA917506 UYE917506 UOI917506 UEM917506 TUQ917506 TKU917506 TAY917506 SRC917506 SHG917506 RXK917506 RNO917506 RDS917506 QTW917506 QKA917506 QAE917506 PQI917506 PGM917506 OWQ917506 OMU917506 OCY917506 NTC917506 NJG917506 MZK917506 MPO917506 MFS917506 LVW917506 LMA917506 LCE917506 KSI917506 KIM917506 JYQ917506 JOU917506 JEY917506 IVC917506 ILG917506 IBK917506 HRO917506 HHS917506 GXW917506 GOA917506 GEE917506 FUI917506 FKM917506 FAQ917506 EQU917506 EGY917506 DXC917506 DNG917506 DDK917506 CTO917506 CJS917506 BZW917506 BQA917506 BGE917506 AWI917506 AMM917506 ACQ917506 SU917506 IY917506 C917506 WVK851970 WLO851970 WBS851970 VRW851970 VIA851970 UYE851970 UOI851970 UEM851970 TUQ851970 TKU851970 TAY851970 SRC851970 SHG851970 RXK851970 RNO851970 RDS851970 QTW851970 QKA851970 QAE851970 PQI851970 PGM851970 OWQ851970 OMU851970 OCY851970 NTC851970 NJG851970 MZK851970 MPO851970 MFS851970 LVW851970 LMA851970 LCE851970 KSI851970 KIM851970 JYQ851970 JOU851970 JEY851970 IVC851970 ILG851970 IBK851970 HRO851970 HHS851970 GXW851970 GOA851970 GEE851970 FUI851970 FKM851970 FAQ851970 EQU851970 EGY851970 DXC851970 DNG851970 DDK851970 CTO851970 CJS851970 BZW851970 BQA851970 BGE851970 AWI851970 AMM851970 ACQ851970 SU851970 IY851970 C851970 WVK786434 WLO786434 WBS786434 VRW786434 VIA786434 UYE786434 UOI786434 UEM786434 TUQ786434 TKU786434 TAY786434 SRC786434 SHG786434 RXK786434 RNO786434 RDS786434 QTW786434 QKA786434 QAE786434 PQI786434 PGM786434 OWQ786434 OMU786434 OCY786434 NTC786434 NJG786434 MZK786434 MPO786434 MFS786434 LVW786434 LMA786434 LCE786434 KSI786434 KIM786434 JYQ786434 JOU786434 JEY786434 IVC786434 ILG786434 IBK786434 HRO786434 HHS786434 GXW786434 GOA786434 GEE786434 FUI786434 FKM786434 FAQ786434 EQU786434 EGY786434 DXC786434 DNG786434 DDK786434 CTO786434 CJS786434 BZW786434 BQA786434 BGE786434 AWI786434 AMM786434 ACQ786434 SU786434 IY786434 C786434 WVK720898 WLO720898 WBS720898 VRW720898 VIA720898 UYE720898 UOI720898 UEM720898 TUQ720898 TKU720898 TAY720898 SRC720898 SHG720898 RXK720898 RNO720898 RDS720898 QTW720898 QKA720898 QAE720898 PQI720898 PGM720898 OWQ720898 OMU720898 OCY720898 NTC720898 NJG720898 MZK720898 MPO720898 MFS720898 LVW720898 LMA720898 LCE720898 KSI720898 KIM720898 JYQ720898 JOU720898 JEY720898 IVC720898 ILG720898 IBK720898 HRO720898 HHS720898 GXW720898 GOA720898 GEE720898 FUI720898 FKM720898 FAQ720898 EQU720898 EGY720898 DXC720898 DNG720898 DDK720898 CTO720898 CJS720898 BZW720898 BQA720898 BGE720898 AWI720898 AMM720898 ACQ720898 SU720898 IY720898 C720898 WVK655362 WLO655362 WBS655362 VRW655362 VIA655362 UYE655362 UOI655362 UEM655362 TUQ655362 TKU655362 TAY655362 SRC655362 SHG655362 RXK655362 RNO655362 RDS655362 QTW655362 QKA655362 QAE655362 PQI655362 PGM655362 OWQ655362 OMU655362 OCY655362 NTC655362 NJG655362 MZK655362 MPO655362 MFS655362 LVW655362 LMA655362 LCE655362 KSI655362 KIM655362 JYQ655362 JOU655362 JEY655362 IVC655362 ILG655362 IBK655362 HRO655362 HHS655362 GXW655362 GOA655362 GEE655362 FUI655362 FKM655362 FAQ655362 EQU655362 EGY655362 DXC655362 DNG655362 DDK655362 CTO655362 CJS655362 BZW655362 BQA655362 BGE655362 AWI655362 AMM655362 ACQ655362 SU655362 IY655362 C655362 WVK589826 WLO589826 WBS589826 VRW589826 VIA589826 UYE589826 UOI589826 UEM589826 TUQ589826 TKU589826 TAY589826 SRC589826 SHG589826 RXK589826 RNO589826 RDS589826 QTW589826 QKA589826 QAE589826 PQI589826 PGM589826 OWQ589826 OMU589826 OCY589826 NTC589826 NJG589826 MZK589826 MPO589826 MFS589826 LVW589826 LMA589826 LCE589826 KSI589826 KIM589826 JYQ589826 JOU589826 JEY589826 IVC589826 ILG589826 IBK589826 HRO589826 HHS589826 GXW589826 GOA589826 GEE589826 FUI589826 FKM589826 FAQ589826 EQU589826 EGY589826 DXC589826 DNG589826 DDK589826 CTO589826 CJS589826 BZW589826 BQA589826 BGE589826 AWI589826 AMM589826 ACQ589826 SU589826 IY589826 C589826 WVK524290 WLO524290 WBS524290 VRW524290 VIA524290 UYE524290 UOI524290 UEM524290 TUQ524290 TKU524290 TAY524290 SRC524290 SHG524290 RXK524290 RNO524290 RDS524290 QTW524290 QKA524290 QAE524290 PQI524290 PGM524290 OWQ524290 OMU524290 OCY524290 NTC524290 NJG524290 MZK524290 MPO524290 MFS524290 LVW524290 LMA524290 LCE524290 KSI524290 KIM524290 JYQ524290 JOU524290 JEY524290 IVC524290 ILG524290 IBK524290 HRO524290 HHS524290 GXW524290 GOA524290 GEE524290 FUI524290 FKM524290 FAQ524290 EQU524290 EGY524290 DXC524290 DNG524290 DDK524290 CTO524290 CJS524290 BZW524290 BQA524290 BGE524290 AWI524290 AMM524290 ACQ524290 SU524290 IY524290 C524290 WVK458754 WLO458754 WBS458754 VRW458754 VIA458754 UYE458754 UOI458754 UEM458754 TUQ458754 TKU458754 TAY458754 SRC458754 SHG458754 RXK458754 RNO458754 RDS458754 QTW458754 QKA458754 QAE458754 PQI458754 PGM458754 OWQ458754 OMU458754 OCY458754 NTC458754 NJG458754 MZK458754 MPO458754 MFS458754 LVW458754 LMA458754 LCE458754 KSI458754 KIM458754 JYQ458754 JOU458754 JEY458754 IVC458754 ILG458754 IBK458754 HRO458754 HHS458754 GXW458754 GOA458754 GEE458754 FUI458754 FKM458754 FAQ458754 EQU458754 EGY458754 DXC458754 DNG458754 DDK458754 CTO458754 CJS458754 BZW458754 BQA458754 BGE458754 AWI458754 AMM458754 ACQ458754 SU458754 IY458754 C458754 WVK393218 WLO393218 WBS393218 VRW393218 VIA393218 UYE393218 UOI393218 UEM393218 TUQ393218 TKU393218 TAY393218 SRC393218 SHG393218 RXK393218 RNO393218 RDS393218 QTW393218 QKA393218 QAE393218 PQI393218 PGM393218 OWQ393218 OMU393218 OCY393218 NTC393218 NJG393218 MZK393218 MPO393218 MFS393218 LVW393218 LMA393218 LCE393218 KSI393218 KIM393218 JYQ393218 JOU393218 JEY393218 IVC393218 ILG393218 IBK393218 HRO393218 HHS393218 GXW393218 GOA393218 GEE393218 FUI393218 FKM393218 FAQ393218 EQU393218 EGY393218 DXC393218 DNG393218 DDK393218 CTO393218 CJS393218 BZW393218 BQA393218 BGE393218 AWI393218 AMM393218 ACQ393218 SU393218 IY393218 C393218 WVK327682 WLO327682 WBS327682 VRW327682 VIA327682 UYE327682 UOI327682 UEM327682 TUQ327682 TKU327682 TAY327682 SRC327682 SHG327682 RXK327682 RNO327682 RDS327682 QTW327682 QKA327682 QAE327682 PQI327682 PGM327682 OWQ327682 OMU327682 OCY327682 NTC327682 NJG327682 MZK327682 MPO327682 MFS327682 LVW327682 LMA327682 LCE327682 KSI327682 KIM327682 JYQ327682 JOU327682 JEY327682 IVC327682 ILG327682 IBK327682 HRO327682 HHS327682 GXW327682 GOA327682 GEE327682 FUI327682 FKM327682 FAQ327682 EQU327682 EGY327682 DXC327682 DNG327682 DDK327682 CTO327682 CJS327682 BZW327682 BQA327682 BGE327682 AWI327682 AMM327682 ACQ327682 SU327682 IY327682 C327682 WVK262146 WLO262146 WBS262146 VRW262146 VIA262146 UYE262146 UOI262146 UEM262146 TUQ262146 TKU262146 TAY262146 SRC262146 SHG262146 RXK262146 RNO262146 RDS262146 QTW262146 QKA262146 QAE262146 PQI262146 PGM262146 OWQ262146 OMU262146 OCY262146 NTC262146 NJG262146 MZK262146 MPO262146 MFS262146 LVW262146 LMA262146 LCE262146 KSI262146 KIM262146 JYQ262146 JOU262146 JEY262146 IVC262146 ILG262146 IBK262146 HRO262146 HHS262146 GXW262146 GOA262146 GEE262146 FUI262146 FKM262146 FAQ262146 EQU262146 EGY262146 DXC262146 DNG262146 DDK262146 CTO262146 CJS262146 BZW262146 BQA262146 BGE262146 AWI262146 AMM262146 ACQ262146 SU262146 IY262146 C262146 WVK196610 WLO196610 WBS196610 VRW196610 VIA196610 UYE196610 UOI196610 UEM196610 TUQ196610 TKU196610 TAY196610 SRC196610 SHG196610 RXK196610 RNO196610 RDS196610 QTW196610 QKA196610 QAE196610 PQI196610 PGM196610 OWQ196610 OMU196610 OCY196610 NTC196610 NJG196610 MZK196610 MPO196610 MFS196610 LVW196610 LMA196610 LCE196610 KSI196610 KIM196610 JYQ196610 JOU196610 JEY196610 IVC196610 ILG196610 IBK196610 HRO196610 HHS196610 GXW196610 GOA196610 GEE196610 FUI196610 FKM196610 FAQ196610 EQU196610 EGY196610 DXC196610 DNG196610 DDK196610 CTO196610 CJS196610 BZW196610 BQA196610 BGE196610 AWI196610 AMM196610 ACQ196610 SU196610 IY196610 C196610 WVK131074 WLO131074 WBS131074 VRW131074 VIA131074 UYE131074 UOI131074 UEM131074 TUQ131074 TKU131074 TAY131074 SRC131074 SHG131074 RXK131074 RNO131074 RDS131074 QTW131074 QKA131074 QAE131074 PQI131074 PGM131074 OWQ131074 OMU131074 OCY131074 NTC131074 NJG131074 MZK131074 MPO131074 MFS131074 LVW131074 LMA131074 LCE131074 KSI131074 KIM131074 JYQ131074 JOU131074 JEY131074 IVC131074 ILG131074 IBK131074 HRO131074 HHS131074 GXW131074 GOA131074 GEE131074 FUI131074 FKM131074 FAQ131074 EQU131074 EGY131074 DXC131074 DNG131074 DDK131074 CTO131074 CJS131074 BZW131074 BQA131074 BGE131074 AWI131074 AMM131074 ACQ131074 SU131074 IY131074 C131074 WVK65538 WLO65538 WBS65538 VRW65538 VIA65538 UYE65538 UOI65538 UEM65538 TUQ65538 TKU65538 TAY65538 SRC65538 SHG65538 RXK65538 RNO65538 RDS65538 QTW65538 QKA65538 QAE65538 PQI65538 PGM65538 OWQ65538 OMU65538 OCY65538 NTC65538 NJG65538 MZK65538 MPO65538 MFS65538 LVW65538 LMA65538 LCE65538 KSI65538 KIM65538 JYQ65538 JOU65538 JEY65538 IVC65538 ILG65538 IBK65538 HRO65538 HHS65538 GXW65538 GOA65538 GEE65538 FUI65538 FKM65538 FAQ65538 EQU65538 EGY65538 DXC65538 DNG65538 DDK65538 CTO65538 CJS65538 BZW65538 BQA65538 BGE65538 AWI65538 AMM65538 ACQ65538 SU65538 IY65538 C65538 WVK2 WLO2 WBS2 VRW2 VIA2 UYE2 UOI2 UEM2 TUQ2 TKU2 TAY2 SRC2 SHG2 RXK2 RNO2 RDS2 QTW2 QKA2 QAE2 PQI2 PGM2 OWQ2 OMU2 OCY2 NTC2 NJG2 MZK2 MPO2 MFS2 LVW2 LMA2 LCE2 KSI2 KIM2 JYQ2 JOU2 JEY2 IVC2 ILG2 IBK2 HRO2 HHS2 GXW2 GOA2 GEE2 FUI2 FKM2 FAQ2 EQU2 EGY2 DXC2 DNG2 DDK2 CTO2 CJS2 BZW2 BQA2 BGE2 AWI2 AMM2 ACQ2 SU2 IY2" xr:uid="{00000000-0002-0000-1100-000001000000}">
      <formula1>$N$14:$N$18</formula1>
      <formula2>0</formula2>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U204"/>
  <sheetViews>
    <sheetView topLeftCell="A109" workbookViewId="0">
      <selection activeCell="H143" sqref="H143"/>
    </sheetView>
  </sheetViews>
  <sheetFormatPr defaultRowHeight="12" x14ac:dyDescent="0.2"/>
  <cols>
    <col min="1" max="1" width="33.85546875" style="278" customWidth="1"/>
    <col min="2" max="2" width="19" style="278" customWidth="1"/>
    <col min="3" max="3" width="20.42578125" style="278" customWidth="1"/>
    <col min="4" max="4" width="25" style="278" customWidth="1"/>
    <col min="5" max="5" width="25.7109375" style="278" customWidth="1"/>
    <col min="6" max="6" width="16.5703125" style="278" customWidth="1"/>
    <col min="7" max="7" width="17.140625" style="278" customWidth="1"/>
    <col min="8" max="8" width="16.140625" style="278" customWidth="1"/>
    <col min="9" max="9" width="11.7109375" style="278" customWidth="1"/>
    <col min="10" max="10" width="24.140625" style="278" customWidth="1"/>
    <col min="11" max="11" width="11.7109375" style="278" customWidth="1"/>
    <col min="12" max="12" width="17.28515625" style="278" customWidth="1"/>
    <col min="13" max="14" width="11.7109375" style="278" customWidth="1"/>
    <col min="15" max="15" width="21.28515625" style="278" customWidth="1"/>
    <col min="16" max="16" width="11.7109375" style="278" customWidth="1"/>
    <col min="17" max="17" width="18.28515625" style="278" customWidth="1"/>
    <col min="18" max="19" width="11.7109375" style="278" customWidth="1"/>
    <col min="20" max="20" width="18.7109375" style="278" customWidth="1"/>
    <col min="21" max="16384" width="9.140625" style="278"/>
  </cols>
  <sheetData>
    <row r="1" spans="1:21" ht="12.75" thickBot="1" x14ac:dyDescent="0.25">
      <c r="A1" s="275" t="s">
        <v>683</v>
      </c>
      <c r="B1" s="276"/>
      <c r="C1" s="277" t="str">
        <f>'Setup Tool'!B1</f>
        <v>Anderstorp</v>
      </c>
      <c r="F1" s="823" t="s">
        <v>682</v>
      </c>
      <c r="G1" s="823"/>
      <c r="H1" s="823"/>
      <c r="I1" s="823"/>
      <c r="J1" s="823"/>
      <c r="K1" s="823"/>
      <c r="L1" s="823"/>
      <c r="M1" s="823"/>
    </row>
    <row r="2" spans="1:21" x14ac:dyDescent="0.2">
      <c r="A2" s="279" t="s">
        <v>681</v>
      </c>
      <c r="C2" s="280">
        <f>'Setup Tool'!D29</f>
        <v>7.4609999999999998E-3</v>
      </c>
      <c r="F2" s="276"/>
    </row>
    <row r="3" spans="1:21" x14ac:dyDescent="0.2">
      <c r="A3" s="281" t="s">
        <v>680</v>
      </c>
      <c r="C3" s="329">
        <v>0</v>
      </c>
      <c r="F3" s="282" t="s">
        <v>448</v>
      </c>
      <c r="G3" s="276"/>
      <c r="H3" s="282" t="s">
        <v>447</v>
      </c>
      <c r="I3" s="276"/>
      <c r="J3" s="282" t="s">
        <v>446</v>
      </c>
      <c r="K3" s="276"/>
      <c r="L3" s="282" t="s">
        <v>445</v>
      </c>
    </row>
    <row r="4" spans="1:21" x14ac:dyDescent="0.2">
      <c r="A4" s="281" t="s">
        <v>209</v>
      </c>
      <c r="C4" s="280">
        <f>'Setup Tool'!B25</f>
        <v>235</v>
      </c>
      <c r="E4" s="283" t="s">
        <v>679</v>
      </c>
      <c r="F4" s="283" t="s">
        <v>678</v>
      </c>
      <c r="G4" s="284">
        <f>ROUNDUP($C8/2,0)</f>
        <v>35</v>
      </c>
      <c r="H4" s="283" t="s">
        <v>678</v>
      </c>
      <c r="I4" s="284">
        <f>ROUNDUP($C8/3,0)</f>
        <v>24</v>
      </c>
      <c r="J4" s="283" t="s">
        <v>678</v>
      </c>
      <c r="K4" s="284">
        <f>ROUNDUP($C8/4,0)</f>
        <v>18</v>
      </c>
      <c r="L4" s="283" t="s">
        <v>678</v>
      </c>
      <c r="M4" s="284">
        <f>ROUNDUP($C8/5,0)</f>
        <v>14</v>
      </c>
    </row>
    <row r="5" spans="1:21" x14ac:dyDescent="0.2">
      <c r="A5" s="281" t="s">
        <v>677</v>
      </c>
      <c r="C5" s="280">
        <f>('Setup Tool'!N19-'Setup Tool'!N20)/(('Setup Tool'!N18/'Setup Tool'!N17)*('Setup Tool'!N22-'Setup Tool'!N21))*'Setup Tool'!B24</f>
        <v>4.295454545454569</v>
      </c>
      <c r="E5" s="283" t="s">
        <v>676</v>
      </c>
      <c r="F5" s="283" t="s">
        <v>675</v>
      </c>
      <c r="G5" s="330">
        <v>2</v>
      </c>
      <c r="H5" s="283"/>
      <c r="I5" s="330">
        <v>1</v>
      </c>
      <c r="J5" s="283" t="s">
        <v>675</v>
      </c>
      <c r="K5" s="330">
        <v>0</v>
      </c>
      <c r="L5" s="283" t="s">
        <v>675</v>
      </c>
      <c r="M5" s="330">
        <v>0</v>
      </c>
    </row>
    <row r="6" spans="1:21" x14ac:dyDescent="0.2">
      <c r="A6" s="281" t="s">
        <v>674</v>
      </c>
      <c r="C6" s="285">
        <f>'Setup Tool'!B29</f>
        <v>0.21636900000000001</v>
      </c>
      <c r="D6" s="283" t="s">
        <v>660</v>
      </c>
      <c r="E6" s="283" t="s">
        <v>673</v>
      </c>
      <c r="G6" s="286" t="s">
        <v>672</v>
      </c>
      <c r="H6" s="286"/>
      <c r="I6" s="286" t="s">
        <v>672</v>
      </c>
      <c r="J6" s="286"/>
      <c r="K6" s="286" t="s">
        <v>672</v>
      </c>
      <c r="L6" s="286"/>
      <c r="M6" s="286" t="s">
        <v>671</v>
      </c>
      <c r="N6" s="286"/>
    </row>
    <row r="7" spans="1:21" x14ac:dyDescent="0.2">
      <c r="A7" s="281" t="s">
        <v>670</v>
      </c>
      <c r="C7" s="280">
        <v>0</v>
      </c>
      <c r="D7" s="283" t="s">
        <v>663</v>
      </c>
      <c r="E7" s="283" t="s">
        <v>669</v>
      </c>
      <c r="F7" s="283" t="s">
        <v>668</v>
      </c>
      <c r="G7" s="284">
        <f>ROUNDUP(E96,2)</f>
        <v>341.51</v>
      </c>
      <c r="H7" s="283" t="s">
        <v>668</v>
      </c>
      <c r="I7" s="284">
        <f>ROUNDUP(J96,2)</f>
        <v>291.33</v>
      </c>
      <c r="J7" s="283" t="s">
        <v>668</v>
      </c>
      <c r="K7" s="284">
        <f>ROUNDUP(O96,2)</f>
        <v>284.38</v>
      </c>
      <c r="L7" s="283" t="s">
        <v>668</v>
      </c>
      <c r="M7" s="284">
        <f>ROUNDUP(T96,2)</f>
        <v>306.15999999999997</v>
      </c>
    </row>
    <row r="8" spans="1:21" x14ac:dyDescent="0.2">
      <c r="A8" s="281" t="s">
        <v>497</v>
      </c>
      <c r="C8" s="280">
        <f>'Setup Tool'!B24</f>
        <v>70</v>
      </c>
      <c r="E8" s="283" t="s">
        <v>667</v>
      </c>
    </row>
    <row r="9" spans="1:21" x14ac:dyDescent="0.2">
      <c r="A9" s="281" t="s">
        <v>666</v>
      </c>
      <c r="C9" s="280">
        <f>VLOOKUP(C1,'Raw Data'!A1:Q59,4,FALSE)</f>
        <v>13.5</v>
      </c>
      <c r="D9" s="284" t="s">
        <v>663</v>
      </c>
      <c r="E9" s="283" t="s">
        <v>665</v>
      </c>
      <c r="F9" s="283"/>
      <c r="G9" s="283"/>
      <c r="H9" s="283"/>
    </row>
    <row r="10" spans="1:21" x14ac:dyDescent="0.2">
      <c r="A10" s="281" t="s">
        <v>664</v>
      </c>
      <c r="C10" s="280">
        <f>'Setup Tool'!N15</f>
        <v>36</v>
      </c>
      <c r="D10" s="284" t="s">
        <v>663</v>
      </c>
      <c r="E10" s="283" t="s">
        <v>662</v>
      </c>
      <c r="F10" s="283"/>
      <c r="G10" s="283"/>
      <c r="H10" s="283"/>
    </row>
    <row r="11" spans="1:21" x14ac:dyDescent="0.2">
      <c r="A11" s="287" t="s">
        <v>661</v>
      </c>
      <c r="C11" s="280">
        <f>C4/C8</f>
        <v>3.3571428571428572</v>
      </c>
      <c r="D11" s="284" t="s">
        <v>660</v>
      </c>
    </row>
    <row r="13" spans="1:21" x14ac:dyDescent="0.2">
      <c r="C13" s="288" t="s">
        <v>426</v>
      </c>
      <c r="G13" s="288" t="s">
        <v>659</v>
      </c>
      <c r="L13" s="288" t="s">
        <v>658</v>
      </c>
      <c r="P13" s="289"/>
      <c r="Q13" s="288" t="s">
        <v>657</v>
      </c>
    </row>
    <row r="14" spans="1:21" x14ac:dyDescent="0.2">
      <c r="C14" s="281" t="s">
        <v>656</v>
      </c>
      <c r="E14" s="290">
        <f>G4</f>
        <v>35</v>
      </c>
      <c r="G14" s="281" t="s">
        <v>655</v>
      </c>
      <c r="J14" s="290">
        <f>I4</f>
        <v>24</v>
      </c>
      <c r="L14" s="281" t="s">
        <v>654</v>
      </c>
      <c r="O14" s="290">
        <f>K4</f>
        <v>18</v>
      </c>
      <c r="P14" s="289"/>
      <c r="Q14" s="281" t="s">
        <v>654</v>
      </c>
      <c r="T14" s="290">
        <f>M4</f>
        <v>14</v>
      </c>
    </row>
    <row r="15" spans="1:21" ht="12.75" thickBot="1" x14ac:dyDescent="0.25">
      <c r="C15" s="281" t="s">
        <v>653</v>
      </c>
      <c r="E15" s="291">
        <f>G5</f>
        <v>2</v>
      </c>
      <c r="G15" s="281" t="s">
        <v>653</v>
      </c>
      <c r="J15" s="291">
        <f>I5</f>
        <v>1</v>
      </c>
      <c r="L15" s="281" t="s">
        <v>652</v>
      </c>
      <c r="O15" s="291">
        <f>K5</f>
        <v>0</v>
      </c>
      <c r="P15" s="289"/>
      <c r="Q15" s="281" t="s">
        <v>652</v>
      </c>
      <c r="T15" s="291">
        <f>M5</f>
        <v>0</v>
      </c>
    </row>
    <row r="16" spans="1:21" ht="12.75" thickBot="1" x14ac:dyDescent="0.25">
      <c r="A16" s="292" t="s">
        <v>648</v>
      </c>
      <c r="B16" s="293" t="s">
        <v>647</v>
      </c>
      <c r="C16" s="293" t="s">
        <v>651</v>
      </c>
      <c r="D16" s="293" t="s">
        <v>645</v>
      </c>
      <c r="E16" s="293" t="s">
        <v>650</v>
      </c>
      <c r="F16" s="294" t="s">
        <v>648</v>
      </c>
      <c r="G16" s="294" t="s">
        <v>647</v>
      </c>
      <c r="H16" s="294" t="s">
        <v>646</v>
      </c>
      <c r="I16" s="294" t="s">
        <v>645</v>
      </c>
      <c r="J16" s="294" t="s">
        <v>650</v>
      </c>
      <c r="K16" s="294" t="s">
        <v>648</v>
      </c>
      <c r="L16" s="294" t="s">
        <v>647</v>
      </c>
      <c r="M16" s="294" t="s">
        <v>646</v>
      </c>
      <c r="N16" s="294" t="s">
        <v>645</v>
      </c>
      <c r="O16" s="294" t="s">
        <v>649</v>
      </c>
      <c r="P16" s="295" t="s">
        <v>648</v>
      </c>
      <c r="Q16" s="294" t="s">
        <v>647</v>
      </c>
      <c r="R16" s="294" t="s">
        <v>646</v>
      </c>
      <c r="S16" s="294" t="s">
        <v>645</v>
      </c>
      <c r="T16" s="296" t="s">
        <v>644</v>
      </c>
      <c r="U16" s="297"/>
    </row>
    <row r="17" spans="1:20" x14ac:dyDescent="0.2">
      <c r="A17" s="283">
        <v>1</v>
      </c>
      <c r="B17" s="298">
        <f>ROUNDUP($C$11*E14,0)</f>
        <v>118</v>
      </c>
      <c r="C17" s="298">
        <f>IF($A17&lt;&gt;0,$C$7+((B17*$C$5/$C$8))+E$15*$C$6,0)</f>
        <v>7.6736470909091308</v>
      </c>
      <c r="D17" s="298">
        <v>0</v>
      </c>
      <c r="E17" s="299">
        <f>C17+D17</f>
        <v>7.6736470909091308</v>
      </c>
      <c r="F17" s="300">
        <v>1</v>
      </c>
      <c r="G17" s="301">
        <f>ROUNDUP($C$11*J14,0)</f>
        <v>81</v>
      </c>
      <c r="H17" s="301">
        <f t="shared" ref="H17:H48" si="0">IF($A17&lt;&gt;0,$C$7+((G17*$C$5/$C$8))+J$15*$C$6,0)</f>
        <v>5.1868235454545726</v>
      </c>
      <c r="I17" s="301">
        <v>0</v>
      </c>
      <c r="J17" s="302">
        <f>H17+I17</f>
        <v>5.1868235454545726</v>
      </c>
      <c r="K17" s="301">
        <v>1</v>
      </c>
      <c r="L17" s="301">
        <f>ROUNDUP($C$11*O14,0)</f>
        <v>61</v>
      </c>
      <c r="M17" s="301">
        <f t="shared" ref="M17:M48" si="1">IF($A17&lt;&gt;0,$C$7+((L17*$C$5/$C$8))+O$15*$C$6,0)</f>
        <v>3.743181818181839</v>
      </c>
      <c r="N17" s="301">
        <v>0</v>
      </c>
      <c r="O17" s="302">
        <f>M17+N17</f>
        <v>3.743181818181839</v>
      </c>
      <c r="P17" s="303">
        <v>1</v>
      </c>
      <c r="Q17" s="301">
        <f>ROUNDUP($C$11*T14,0)</f>
        <v>47</v>
      </c>
      <c r="R17" s="301">
        <f t="shared" ref="R17:R48" si="2">IF($A17&lt;&gt;0,$C$7+((Q17*$C$5/$C$8))+T$15*$C$6,0)</f>
        <v>2.8840909090909248</v>
      </c>
      <c r="S17" s="301">
        <v>0</v>
      </c>
      <c r="T17" s="301">
        <f>R17+S17</f>
        <v>2.8840909090909248</v>
      </c>
    </row>
    <row r="18" spans="1:20" x14ac:dyDescent="0.2">
      <c r="A18" s="283">
        <f t="shared" ref="A18:A49" si="3">IF(AND(A17&lt;&gt;$C$8,A17&lt;&gt;0),A17+1,0)</f>
        <v>2</v>
      </c>
      <c r="B18" s="298">
        <f t="shared" ref="B18:B49" si="4">IF($A18&lt;&gt;0,IF(B17-$C$11+0.0001&gt;$C$11,B17-$C$11,IF($C$8-$A18&gt;E$14,ROUNDUP(E$14*$C$11,0),ROUNDUP(($C$8-$A17)*$C$11,0))),0)</f>
        <v>114.64285714285714</v>
      </c>
      <c r="C18" s="298">
        <f>IF($A18&lt;&gt;0,$C$7+((B18*$C$5/$C$8))+E$15*$C$6,0)</f>
        <v>7.4676405974026352</v>
      </c>
      <c r="D18" s="298">
        <f t="shared" ref="D18:D49" si="5">IF(AND($A18&lt;&gt;0,B18&gt;B17),$C$10+$C$9,0)</f>
        <v>0</v>
      </c>
      <c r="E18" s="299">
        <f t="shared" ref="E18:E49" si="6">C18+D18+E17</f>
        <v>15.141287688311767</v>
      </c>
      <c r="F18" s="300">
        <f t="shared" ref="F18:F49" si="7">IF(AND(F17&lt;&gt;$C$8,F17&lt;&gt;0),F17+1,0)</f>
        <v>2</v>
      </c>
      <c r="G18" s="301">
        <f t="shared" ref="G18:G49" si="8">IF($A18&lt;&gt;0,IF(G17-$C$11+0.0001&gt;$C$11,G17-$C$11,IF($C$8-$A18&gt;J$14,ROUNDUP(J$14*$C$11,0),ROUNDUP(($C$8-$A17)*$C$11,0))),0)</f>
        <v>77.642857142857139</v>
      </c>
      <c r="H18" s="301">
        <f t="shared" si="0"/>
        <v>4.9808170519480779</v>
      </c>
      <c r="I18" s="301">
        <f t="shared" ref="I18:I49" si="9">IF(AND($A18&lt;&gt;0,G18&gt;G17),$C$10+$C$9,0)</f>
        <v>0</v>
      </c>
      <c r="J18" s="302">
        <f t="shared" ref="J18:J49" si="10">H18+I18+J17</f>
        <v>10.16764059740265</v>
      </c>
      <c r="K18" s="301">
        <f t="shared" ref="K18:K49" si="11">IF(AND(K17&lt;&gt;$C$8,K17&lt;&gt;0),K17+1,0)</f>
        <v>2</v>
      </c>
      <c r="L18" s="301">
        <f t="shared" ref="L18:L49" si="12">IF($A18&lt;&gt;0,IF(L17-$C$11+0.0001&gt;$C$11,L17-$C$11,IF($C$8-$A18&gt;O$14,ROUNDUP(O$14*$C$11,0),ROUNDUP(($C$8-$A17)*$C$11,0))),0)</f>
        <v>57.642857142857146</v>
      </c>
      <c r="M18" s="301">
        <f t="shared" si="1"/>
        <v>3.5371753246753439</v>
      </c>
      <c r="N18" s="301">
        <f t="shared" ref="N18:N49" si="13">IF(AND($A18&lt;&gt;0,L18&gt;L17),$C$10+$C$9,0)</f>
        <v>0</v>
      </c>
      <c r="O18" s="302">
        <f t="shared" ref="O18:O49" si="14">M18+N18+O17</f>
        <v>7.2803571428571825</v>
      </c>
      <c r="P18" s="303">
        <f t="shared" ref="P18:P49" si="15">IF(AND(P17&lt;&gt;$C$8,P17&lt;&gt;0),P17+1,0)</f>
        <v>2</v>
      </c>
      <c r="Q18" s="301">
        <f t="shared" ref="Q18:Q49" si="16">IF($A18&lt;&gt;0,IF(Q17-$C$11+0.0001&gt;$C$11,Q17-$C$11,IF($C$8-$A18&gt;T$14,ROUNDUP(T$14*$C$11,0),ROUNDUP(($C$8-$A17)*$C$11,0))),0)</f>
        <v>43.642857142857146</v>
      </c>
      <c r="R18" s="301">
        <f t="shared" si="2"/>
        <v>2.6780844155844301</v>
      </c>
      <c r="S18" s="301">
        <f t="shared" ref="S18:S49" si="17">IF(AND($A18&lt;&gt;0,Q18&gt;Q17),$C$10+$C$9,0)</f>
        <v>0</v>
      </c>
      <c r="T18" s="301">
        <f t="shared" ref="T18:T49" si="18">R18+S18+T17</f>
        <v>5.5621753246753549</v>
      </c>
    </row>
    <row r="19" spans="1:20" x14ac:dyDescent="0.2">
      <c r="A19" s="283">
        <f t="shared" si="3"/>
        <v>3</v>
      </c>
      <c r="B19" s="298">
        <f t="shared" si="4"/>
        <v>111.28571428571428</v>
      </c>
      <c r="C19" s="298">
        <f t="shared" ref="C19:C50" si="19">IF(A19&lt;&gt;0,$C$7+((B19*$C$5/$C$8))+E$15*$C$6,0)</f>
        <v>7.2616341038961405</v>
      </c>
      <c r="D19" s="298">
        <f t="shared" si="5"/>
        <v>0</v>
      </c>
      <c r="E19" s="299">
        <f t="shared" si="6"/>
        <v>22.402921792207906</v>
      </c>
      <c r="F19" s="300">
        <f t="shared" si="7"/>
        <v>3</v>
      </c>
      <c r="G19" s="301">
        <f t="shared" si="8"/>
        <v>74.285714285714278</v>
      </c>
      <c r="H19" s="301">
        <f t="shared" si="0"/>
        <v>4.7748105584415832</v>
      </c>
      <c r="I19" s="301">
        <f t="shared" si="9"/>
        <v>0</v>
      </c>
      <c r="J19" s="302">
        <f t="shared" si="10"/>
        <v>14.942451155844234</v>
      </c>
      <c r="K19" s="301">
        <f t="shared" si="11"/>
        <v>3</v>
      </c>
      <c r="L19" s="301">
        <f t="shared" si="12"/>
        <v>54.285714285714292</v>
      </c>
      <c r="M19" s="301">
        <f t="shared" si="1"/>
        <v>3.3311688311688501</v>
      </c>
      <c r="N19" s="301">
        <f t="shared" si="13"/>
        <v>0</v>
      </c>
      <c r="O19" s="302">
        <f t="shared" si="14"/>
        <v>10.611525974026033</v>
      </c>
      <c r="P19" s="303">
        <f t="shared" si="15"/>
        <v>3</v>
      </c>
      <c r="Q19" s="301">
        <f t="shared" si="16"/>
        <v>40.285714285714292</v>
      </c>
      <c r="R19" s="301">
        <f t="shared" si="2"/>
        <v>2.4720779220779363</v>
      </c>
      <c r="S19" s="301">
        <f t="shared" si="17"/>
        <v>0</v>
      </c>
      <c r="T19" s="301">
        <f t="shared" si="18"/>
        <v>8.0342532467532912</v>
      </c>
    </row>
    <row r="20" spans="1:20" x14ac:dyDescent="0.2">
      <c r="A20" s="283">
        <f t="shared" si="3"/>
        <v>4</v>
      </c>
      <c r="B20" s="298">
        <f t="shared" si="4"/>
        <v>107.92857142857142</v>
      </c>
      <c r="C20" s="298">
        <f t="shared" si="19"/>
        <v>7.0556276103896449</v>
      </c>
      <c r="D20" s="298">
        <f t="shared" si="5"/>
        <v>0</v>
      </c>
      <c r="E20" s="299">
        <f t="shared" si="6"/>
        <v>29.458549402597551</v>
      </c>
      <c r="F20" s="300">
        <f t="shared" si="7"/>
        <v>4</v>
      </c>
      <c r="G20" s="301">
        <f t="shared" si="8"/>
        <v>70.928571428571416</v>
      </c>
      <c r="H20" s="301">
        <f t="shared" si="0"/>
        <v>4.5688040649350885</v>
      </c>
      <c r="I20" s="301">
        <f t="shared" si="9"/>
        <v>0</v>
      </c>
      <c r="J20" s="302">
        <f t="shared" si="10"/>
        <v>19.511255220779322</v>
      </c>
      <c r="K20" s="301">
        <f t="shared" si="11"/>
        <v>4</v>
      </c>
      <c r="L20" s="301">
        <f t="shared" si="12"/>
        <v>50.928571428571438</v>
      </c>
      <c r="M20" s="301">
        <f t="shared" si="1"/>
        <v>3.1251623376623554</v>
      </c>
      <c r="N20" s="301">
        <f t="shared" si="13"/>
        <v>0</v>
      </c>
      <c r="O20" s="302">
        <f t="shared" si="14"/>
        <v>13.73668831168839</v>
      </c>
      <c r="P20" s="303">
        <f t="shared" si="15"/>
        <v>4</v>
      </c>
      <c r="Q20" s="301">
        <f t="shared" si="16"/>
        <v>36.928571428571438</v>
      </c>
      <c r="R20" s="301">
        <f t="shared" si="2"/>
        <v>2.2660714285714416</v>
      </c>
      <c r="S20" s="301">
        <f t="shared" si="17"/>
        <v>0</v>
      </c>
      <c r="T20" s="301">
        <f t="shared" si="18"/>
        <v>10.300324675324733</v>
      </c>
    </row>
    <row r="21" spans="1:20" x14ac:dyDescent="0.2">
      <c r="A21" s="283">
        <f t="shared" si="3"/>
        <v>5</v>
      </c>
      <c r="B21" s="298">
        <f t="shared" si="4"/>
        <v>104.57142857142856</v>
      </c>
      <c r="C21" s="298">
        <f t="shared" si="19"/>
        <v>6.8496211168831511</v>
      </c>
      <c r="D21" s="298">
        <f t="shared" si="5"/>
        <v>0</v>
      </c>
      <c r="E21" s="299">
        <f t="shared" si="6"/>
        <v>36.308170519480704</v>
      </c>
      <c r="F21" s="300">
        <f t="shared" si="7"/>
        <v>5</v>
      </c>
      <c r="G21" s="301">
        <f t="shared" si="8"/>
        <v>67.571428571428555</v>
      </c>
      <c r="H21" s="301">
        <f t="shared" si="0"/>
        <v>4.3627975714285938</v>
      </c>
      <c r="I21" s="301">
        <f t="shared" si="9"/>
        <v>0</v>
      </c>
      <c r="J21" s="302">
        <f t="shared" si="10"/>
        <v>23.874052792207916</v>
      </c>
      <c r="K21" s="301">
        <f t="shared" si="11"/>
        <v>5</v>
      </c>
      <c r="L21" s="301">
        <f t="shared" si="12"/>
        <v>47.571428571428584</v>
      </c>
      <c r="M21" s="301">
        <f t="shared" si="1"/>
        <v>2.9191558441558607</v>
      </c>
      <c r="N21" s="301">
        <f t="shared" si="13"/>
        <v>0</v>
      </c>
      <c r="O21" s="302">
        <f t="shared" si="14"/>
        <v>16.65584415584425</v>
      </c>
      <c r="P21" s="303">
        <f t="shared" si="15"/>
        <v>5</v>
      </c>
      <c r="Q21" s="301">
        <f t="shared" si="16"/>
        <v>33.571428571428584</v>
      </c>
      <c r="R21" s="301">
        <f t="shared" si="2"/>
        <v>2.0600649350649469</v>
      </c>
      <c r="S21" s="301">
        <f t="shared" si="17"/>
        <v>0</v>
      </c>
      <c r="T21" s="301">
        <f t="shared" si="18"/>
        <v>12.36038961038968</v>
      </c>
    </row>
    <row r="22" spans="1:20" x14ac:dyDescent="0.2">
      <c r="A22" s="283">
        <f t="shared" si="3"/>
        <v>6</v>
      </c>
      <c r="B22" s="298">
        <f t="shared" si="4"/>
        <v>101.21428571428569</v>
      </c>
      <c r="C22" s="298">
        <f t="shared" si="19"/>
        <v>6.6436146233766555</v>
      </c>
      <c r="D22" s="298">
        <f t="shared" si="5"/>
        <v>0</v>
      </c>
      <c r="E22" s="299">
        <f t="shared" si="6"/>
        <v>42.951785142857361</v>
      </c>
      <c r="F22" s="300">
        <f t="shared" si="7"/>
        <v>6</v>
      </c>
      <c r="G22" s="301">
        <f t="shared" si="8"/>
        <v>64.214285714285694</v>
      </c>
      <c r="H22" s="301">
        <f t="shared" si="0"/>
        <v>4.1567910779220982</v>
      </c>
      <c r="I22" s="301">
        <f t="shared" si="9"/>
        <v>0</v>
      </c>
      <c r="J22" s="302">
        <f t="shared" si="10"/>
        <v>28.030843870130013</v>
      </c>
      <c r="K22" s="301">
        <f t="shared" si="11"/>
        <v>6</v>
      </c>
      <c r="L22" s="301">
        <f t="shared" si="12"/>
        <v>44.21428571428573</v>
      </c>
      <c r="M22" s="301">
        <f t="shared" si="1"/>
        <v>2.7131493506493665</v>
      </c>
      <c r="N22" s="301">
        <f t="shared" si="13"/>
        <v>0</v>
      </c>
      <c r="O22" s="302">
        <f t="shared" si="14"/>
        <v>19.368993506493617</v>
      </c>
      <c r="P22" s="303">
        <f t="shared" si="15"/>
        <v>6</v>
      </c>
      <c r="Q22" s="301">
        <f t="shared" si="16"/>
        <v>30.214285714285726</v>
      </c>
      <c r="R22" s="301">
        <f t="shared" si="2"/>
        <v>1.8540584415584525</v>
      </c>
      <c r="S22" s="301">
        <f t="shared" si="17"/>
        <v>0</v>
      </c>
      <c r="T22" s="301">
        <f t="shared" si="18"/>
        <v>14.214448051948132</v>
      </c>
    </row>
    <row r="23" spans="1:20" x14ac:dyDescent="0.2">
      <c r="A23" s="283">
        <f t="shared" si="3"/>
        <v>7</v>
      </c>
      <c r="B23" s="298">
        <f t="shared" si="4"/>
        <v>97.857142857142833</v>
      </c>
      <c r="C23" s="298">
        <f t="shared" si="19"/>
        <v>6.4376081298701608</v>
      </c>
      <c r="D23" s="298">
        <f t="shared" si="5"/>
        <v>0</v>
      </c>
      <c r="E23" s="299">
        <f t="shared" si="6"/>
        <v>49.389393272727524</v>
      </c>
      <c r="F23" s="300">
        <f t="shared" si="7"/>
        <v>7</v>
      </c>
      <c r="G23" s="301">
        <f t="shared" si="8"/>
        <v>60.85714285714284</v>
      </c>
      <c r="H23" s="301">
        <f t="shared" si="0"/>
        <v>3.9507845844156031</v>
      </c>
      <c r="I23" s="301">
        <f t="shared" si="9"/>
        <v>0</v>
      </c>
      <c r="J23" s="302">
        <f t="shared" si="10"/>
        <v>31.981628454545618</v>
      </c>
      <c r="K23" s="301">
        <f t="shared" si="11"/>
        <v>7</v>
      </c>
      <c r="L23" s="301">
        <f t="shared" si="12"/>
        <v>40.857142857142875</v>
      </c>
      <c r="M23" s="301">
        <f t="shared" si="1"/>
        <v>2.5071428571428722</v>
      </c>
      <c r="N23" s="301">
        <f t="shared" si="13"/>
        <v>0</v>
      </c>
      <c r="O23" s="302">
        <f t="shared" si="14"/>
        <v>21.876136363636491</v>
      </c>
      <c r="P23" s="303">
        <f t="shared" si="15"/>
        <v>7</v>
      </c>
      <c r="Q23" s="301">
        <f t="shared" si="16"/>
        <v>26.857142857142868</v>
      </c>
      <c r="R23" s="301">
        <f t="shared" si="2"/>
        <v>1.6480519480519578</v>
      </c>
      <c r="S23" s="301">
        <f t="shared" si="17"/>
        <v>0</v>
      </c>
      <c r="T23" s="301">
        <f t="shared" si="18"/>
        <v>15.86250000000009</v>
      </c>
    </row>
    <row r="24" spans="1:20" x14ac:dyDescent="0.2">
      <c r="A24" s="283">
        <f t="shared" si="3"/>
        <v>8</v>
      </c>
      <c r="B24" s="298">
        <f t="shared" si="4"/>
        <v>94.499999999999972</v>
      </c>
      <c r="C24" s="298">
        <f t="shared" si="19"/>
        <v>6.2316016363636662</v>
      </c>
      <c r="D24" s="298">
        <f t="shared" si="5"/>
        <v>0</v>
      </c>
      <c r="E24" s="299">
        <f t="shared" si="6"/>
        <v>55.620994909091188</v>
      </c>
      <c r="F24" s="300">
        <f t="shared" si="7"/>
        <v>8</v>
      </c>
      <c r="G24" s="301">
        <f t="shared" si="8"/>
        <v>57.499999999999986</v>
      </c>
      <c r="H24" s="301">
        <f t="shared" si="0"/>
        <v>3.7447780909091093</v>
      </c>
      <c r="I24" s="301">
        <f t="shared" si="9"/>
        <v>0</v>
      </c>
      <c r="J24" s="302">
        <f t="shared" si="10"/>
        <v>35.726406545454729</v>
      </c>
      <c r="K24" s="301">
        <f t="shared" si="11"/>
        <v>8</v>
      </c>
      <c r="L24" s="301">
        <f t="shared" si="12"/>
        <v>37.500000000000021</v>
      </c>
      <c r="M24" s="301">
        <f t="shared" si="1"/>
        <v>2.3011363636363775</v>
      </c>
      <c r="N24" s="301">
        <f t="shared" si="13"/>
        <v>0</v>
      </c>
      <c r="O24" s="302">
        <f t="shared" si="14"/>
        <v>24.177272727272868</v>
      </c>
      <c r="P24" s="303">
        <f t="shared" si="15"/>
        <v>8</v>
      </c>
      <c r="Q24" s="301">
        <f t="shared" si="16"/>
        <v>23.500000000000011</v>
      </c>
      <c r="R24" s="301">
        <f t="shared" si="2"/>
        <v>1.4420454545454631</v>
      </c>
      <c r="S24" s="301">
        <f t="shared" si="17"/>
        <v>0</v>
      </c>
      <c r="T24" s="301">
        <f t="shared" si="18"/>
        <v>17.304545454545554</v>
      </c>
    </row>
    <row r="25" spans="1:20" x14ac:dyDescent="0.2">
      <c r="A25" s="283">
        <f t="shared" si="3"/>
        <v>9</v>
      </c>
      <c r="B25" s="298">
        <f t="shared" si="4"/>
        <v>91.14285714285711</v>
      </c>
      <c r="C25" s="298">
        <f t="shared" si="19"/>
        <v>6.0255951428571706</v>
      </c>
      <c r="D25" s="298">
        <f t="shared" si="5"/>
        <v>0</v>
      </c>
      <c r="E25" s="299">
        <f t="shared" si="6"/>
        <v>61.646590051948358</v>
      </c>
      <c r="F25" s="300">
        <f t="shared" si="7"/>
        <v>9</v>
      </c>
      <c r="G25" s="301">
        <f t="shared" si="8"/>
        <v>54.142857142857132</v>
      </c>
      <c r="H25" s="301">
        <f t="shared" si="0"/>
        <v>3.5387715974026146</v>
      </c>
      <c r="I25" s="301">
        <f t="shared" si="9"/>
        <v>0</v>
      </c>
      <c r="J25" s="302">
        <f t="shared" si="10"/>
        <v>39.265178142857344</v>
      </c>
      <c r="K25" s="301">
        <f t="shared" si="11"/>
        <v>9</v>
      </c>
      <c r="L25" s="301">
        <f t="shared" si="12"/>
        <v>34.142857142857167</v>
      </c>
      <c r="M25" s="301">
        <f t="shared" si="1"/>
        <v>2.0951298701298833</v>
      </c>
      <c r="N25" s="301">
        <f t="shared" si="13"/>
        <v>0</v>
      </c>
      <c r="O25" s="302">
        <f t="shared" si="14"/>
        <v>26.272402597402753</v>
      </c>
      <c r="P25" s="303">
        <f t="shared" si="15"/>
        <v>9</v>
      </c>
      <c r="Q25" s="301">
        <f t="shared" si="16"/>
        <v>20.142857142857153</v>
      </c>
      <c r="R25" s="301">
        <f t="shared" si="2"/>
        <v>1.2360389610389684</v>
      </c>
      <c r="S25" s="301">
        <f t="shared" si="17"/>
        <v>0</v>
      </c>
      <c r="T25" s="301">
        <f t="shared" si="18"/>
        <v>18.540584415584522</v>
      </c>
    </row>
    <row r="26" spans="1:20" x14ac:dyDescent="0.2">
      <c r="A26" s="283">
        <f t="shared" si="3"/>
        <v>10</v>
      </c>
      <c r="B26" s="298">
        <f t="shared" si="4"/>
        <v>87.785714285714249</v>
      </c>
      <c r="C26" s="298">
        <f t="shared" si="19"/>
        <v>5.8195886493506768</v>
      </c>
      <c r="D26" s="298">
        <f t="shared" si="5"/>
        <v>0</v>
      </c>
      <c r="E26" s="299">
        <f t="shared" si="6"/>
        <v>67.466178701299029</v>
      </c>
      <c r="F26" s="300">
        <f t="shared" si="7"/>
        <v>10</v>
      </c>
      <c r="G26" s="301">
        <f t="shared" si="8"/>
        <v>50.785714285714278</v>
      </c>
      <c r="H26" s="301">
        <f t="shared" si="0"/>
        <v>3.3327651038961199</v>
      </c>
      <c r="I26" s="301">
        <f t="shared" si="9"/>
        <v>0</v>
      </c>
      <c r="J26" s="302">
        <f t="shared" si="10"/>
        <v>42.597943246753466</v>
      </c>
      <c r="K26" s="301">
        <f t="shared" si="11"/>
        <v>10</v>
      </c>
      <c r="L26" s="301">
        <f t="shared" si="12"/>
        <v>30.78571428571431</v>
      </c>
      <c r="M26" s="301">
        <f t="shared" si="1"/>
        <v>1.8891233766233886</v>
      </c>
      <c r="N26" s="301">
        <f t="shared" si="13"/>
        <v>0</v>
      </c>
      <c r="O26" s="302">
        <f t="shared" si="14"/>
        <v>28.161525974026141</v>
      </c>
      <c r="P26" s="303">
        <f t="shared" si="15"/>
        <v>10</v>
      </c>
      <c r="Q26" s="301">
        <f t="shared" si="16"/>
        <v>16.785714285714295</v>
      </c>
      <c r="R26" s="301">
        <f t="shared" si="2"/>
        <v>1.0300324675324737</v>
      </c>
      <c r="S26" s="301">
        <f t="shared" si="17"/>
        <v>0</v>
      </c>
      <c r="T26" s="301">
        <f t="shared" si="18"/>
        <v>19.570616883116998</v>
      </c>
    </row>
    <row r="27" spans="1:20" x14ac:dyDescent="0.2">
      <c r="A27" s="283">
        <f t="shared" si="3"/>
        <v>11</v>
      </c>
      <c r="B27" s="298">
        <f t="shared" si="4"/>
        <v>84.428571428571388</v>
      </c>
      <c r="C27" s="298">
        <f t="shared" si="19"/>
        <v>5.6135821558441812</v>
      </c>
      <c r="D27" s="298">
        <f t="shared" si="5"/>
        <v>0</v>
      </c>
      <c r="E27" s="299">
        <f t="shared" si="6"/>
        <v>73.079760857143214</v>
      </c>
      <c r="F27" s="300">
        <f t="shared" si="7"/>
        <v>11</v>
      </c>
      <c r="G27" s="301">
        <f t="shared" si="8"/>
        <v>47.428571428571423</v>
      </c>
      <c r="H27" s="301">
        <f t="shared" si="0"/>
        <v>3.1267586103896261</v>
      </c>
      <c r="I27" s="301">
        <f t="shared" si="9"/>
        <v>0</v>
      </c>
      <c r="J27" s="302">
        <f t="shared" si="10"/>
        <v>45.724701857143096</v>
      </c>
      <c r="K27" s="301">
        <f t="shared" si="11"/>
        <v>11</v>
      </c>
      <c r="L27" s="301">
        <f t="shared" si="12"/>
        <v>27.428571428571452</v>
      </c>
      <c r="M27" s="301">
        <f t="shared" si="1"/>
        <v>1.6831168831168939</v>
      </c>
      <c r="N27" s="301">
        <f t="shared" si="13"/>
        <v>0</v>
      </c>
      <c r="O27" s="302">
        <f t="shared" si="14"/>
        <v>29.844642857143036</v>
      </c>
      <c r="P27" s="303">
        <f t="shared" si="15"/>
        <v>11</v>
      </c>
      <c r="Q27" s="301">
        <f t="shared" si="16"/>
        <v>13.428571428571438</v>
      </c>
      <c r="R27" s="301">
        <f t="shared" si="2"/>
        <v>0.8240259740259791</v>
      </c>
      <c r="S27" s="301">
        <f t="shared" si="17"/>
        <v>0</v>
      </c>
      <c r="T27" s="301">
        <f t="shared" si="18"/>
        <v>20.394642857142976</v>
      </c>
    </row>
    <row r="28" spans="1:20" x14ac:dyDescent="0.2">
      <c r="A28" s="283">
        <f t="shared" si="3"/>
        <v>12</v>
      </c>
      <c r="B28" s="298">
        <f t="shared" si="4"/>
        <v>81.071428571428527</v>
      </c>
      <c r="C28" s="298">
        <f t="shared" si="19"/>
        <v>5.4075756623376865</v>
      </c>
      <c r="D28" s="298">
        <f t="shared" si="5"/>
        <v>0</v>
      </c>
      <c r="E28" s="299">
        <f t="shared" si="6"/>
        <v>78.487336519480905</v>
      </c>
      <c r="F28" s="300">
        <f t="shared" si="7"/>
        <v>12</v>
      </c>
      <c r="G28" s="301">
        <f t="shared" si="8"/>
        <v>44.071428571428569</v>
      </c>
      <c r="H28" s="301">
        <f t="shared" si="0"/>
        <v>2.9207521168831314</v>
      </c>
      <c r="I28" s="301">
        <f t="shared" si="9"/>
        <v>0</v>
      </c>
      <c r="J28" s="302">
        <f t="shared" si="10"/>
        <v>48.645453974026225</v>
      </c>
      <c r="K28" s="301">
        <f t="shared" si="11"/>
        <v>12</v>
      </c>
      <c r="L28" s="301">
        <f t="shared" si="12"/>
        <v>24.071428571428594</v>
      </c>
      <c r="M28" s="301">
        <f t="shared" si="1"/>
        <v>1.477110389610399</v>
      </c>
      <c r="N28" s="301">
        <f t="shared" si="13"/>
        <v>0</v>
      </c>
      <c r="O28" s="302">
        <f t="shared" si="14"/>
        <v>31.321753246753435</v>
      </c>
      <c r="P28" s="303">
        <f t="shared" si="15"/>
        <v>12</v>
      </c>
      <c r="Q28" s="301">
        <f t="shared" si="16"/>
        <v>10.07142857142858</v>
      </c>
      <c r="R28" s="301">
        <f t="shared" si="2"/>
        <v>0.61801948051948441</v>
      </c>
      <c r="S28" s="301">
        <f t="shared" si="17"/>
        <v>0</v>
      </c>
      <c r="T28" s="301">
        <f t="shared" si="18"/>
        <v>21.012662337662462</v>
      </c>
    </row>
    <row r="29" spans="1:20" x14ac:dyDescent="0.2">
      <c r="A29" s="283">
        <f t="shared" si="3"/>
        <v>13</v>
      </c>
      <c r="B29" s="298">
        <f t="shared" si="4"/>
        <v>77.714285714285666</v>
      </c>
      <c r="C29" s="298">
        <f t="shared" si="19"/>
        <v>5.2015691688311918</v>
      </c>
      <c r="D29" s="298">
        <f t="shared" si="5"/>
        <v>0</v>
      </c>
      <c r="E29" s="299">
        <f t="shared" si="6"/>
        <v>83.688905688312104</v>
      </c>
      <c r="F29" s="300">
        <f t="shared" si="7"/>
        <v>13</v>
      </c>
      <c r="G29" s="301">
        <f t="shared" si="8"/>
        <v>40.714285714285715</v>
      </c>
      <c r="H29" s="301">
        <f t="shared" si="0"/>
        <v>2.7147456233766367</v>
      </c>
      <c r="I29" s="301">
        <f t="shared" si="9"/>
        <v>0</v>
      </c>
      <c r="J29" s="302">
        <f t="shared" si="10"/>
        <v>51.360199597402861</v>
      </c>
      <c r="K29" s="301">
        <f t="shared" si="11"/>
        <v>13</v>
      </c>
      <c r="L29" s="301">
        <f t="shared" si="12"/>
        <v>20.714285714285737</v>
      </c>
      <c r="M29" s="301">
        <f t="shared" si="1"/>
        <v>1.2711038961039045</v>
      </c>
      <c r="N29" s="301">
        <f t="shared" si="13"/>
        <v>0</v>
      </c>
      <c r="O29" s="302">
        <f t="shared" si="14"/>
        <v>32.592857142857341</v>
      </c>
      <c r="P29" s="303">
        <f t="shared" si="15"/>
        <v>13</v>
      </c>
      <c r="Q29" s="301">
        <f t="shared" si="16"/>
        <v>6.7142857142857224</v>
      </c>
      <c r="R29" s="301">
        <f t="shared" si="2"/>
        <v>0.41201298701298972</v>
      </c>
      <c r="S29" s="301">
        <f t="shared" si="17"/>
        <v>0</v>
      </c>
      <c r="T29" s="301">
        <f t="shared" si="18"/>
        <v>21.424675324675452</v>
      </c>
    </row>
    <row r="30" spans="1:20" x14ac:dyDescent="0.2">
      <c r="A30" s="283">
        <f t="shared" si="3"/>
        <v>14</v>
      </c>
      <c r="B30" s="298">
        <f t="shared" si="4"/>
        <v>74.357142857142804</v>
      </c>
      <c r="C30" s="298">
        <f t="shared" si="19"/>
        <v>4.9955626753246962</v>
      </c>
      <c r="D30" s="298">
        <f t="shared" si="5"/>
        <v>0</v>
      </c>
      <c r="E30" s="299">
        <f t="shared" si="6"/>
        <v>88.684468363636796</v>
      </c>
      <c r="F30" s="300">
        <f t="shared" si="7"/>
        <v>14</v>
      </c>
      <c r="G30" s="301">
        <f t="shared" si="8"/>
        <v>37.357142857142861</v>
      </c>
      <c r="H30" s="301">
        <f t="shared" si="0"/>
        <v>2.5087391298701425</v>
      </c>
      <c r="I30" s="301">
        <f t="shared" si="9"/>
        <v>0</v>
      </c>
      <c r="J30" s="302">
        <f t="shared" si="10"/>
        <v>53.868938727273004</v>
      </c>
      <c r="K30" s="301">
        <f t="shared" si="11"/>
        <v>14</v>
      </c>
      <c r="L30" s="301">
        <f t="shared" si="12"/>
        <v>17.357142857142879</v>
      </c>
      <c r="M30" s="301">
        <f t="shared" si="1"/>
        <v>1.0650974025974098</v>
      </c>
      <c r="N30" s="301">
        <f t="shared" si="13"/>
        <v>0</v>
      </c>
      <c r="O30" s="302">
        <f t="shared" si="14"/>
        <v>33.65795454545475</v>
      </c>
      <c r="P30" s="303">
        <f t="shared" si="15"/>
        <v>14</v>
      </c>
      <c r="Q30" s="301">
        <f t="shared" si="16"/>
        <v>3.3571428571428652</v>
      </c>
      <c r="R30" s="301">
        <f t="shared" si="2"/>
        <v>0.20600649350649514</v>
      </c>
      <c r="S30" s="301">
        <f t="shared" si="17"/>
        <v>0</v>
      </c>
      <c r="T30" s="301">
        <f t="shared" si="18"/>
        <v>21.630681818181948</v>
      </c>
    </row>
    <row r="31" spans="1:20" x14ac:dyDescent="0.2">
      <c r="A31" s="283">
        <f t="shared" si="3"/>
        <v>15</v>
      </c>
      <c r="B31" s="298">
        <f t="shared" si="4"/>
        <v>70.999999999999943</v>
      </c>
      <c r="C31" s="298">
        <f t="shared" si="19"/>
        <v>4.7895561818182024</v>
      </c>
      <c r="D31" s="298">
        <f t="shared" si="5"/>
        <v>0</v>
      </c>
      <c r="E31" s="299">
        <f t="shared" si="6"/>
        <v>93.474024545454995</v>
      </c>
      <c r="F31" s="300">
        <f t="shared" si="7"/>
        <v>15</v>
      </c>
      <c r="G31" s="301">
        <f t="shared" si="8"/>
        <v>34.000000000000007</v>
      </c>
      <c r="H31" s="301">
        <f t="shared" si="0"/>
        <v>2.3027326363636482</v>
      </c>
      <c r="I31" s="301">
        <f t="shared" si="9"/>
        <v>0</v>
      </c>
      <c r="J31" s="302">
        <f t="shared" si="10"/>
        <v>56.171671363636655</v>
      </c>
      <c r="K31" s="301">
        <f t="shared" si="11"/>
        <v>15</v>
      </c>
      <c r="L31" s="301">
        <f t="shared" si="12"/>
        <v>14.000000000000021</v>
      </c>
      <c r="M31" s="301">
        <f t="shared" si="1"/>
        <v>0.85909090909091512</v>
      </c>
      <c r="N31" s="301">
        <f t="shared" si="13"/>
        <v>0</v>
      </c>
      <c r="O31" s="302">
        <f t="shared" si="14"/>
        <v>34.517045454545666</v>
      </c>
      <c r="P31" s="303">
        <f t="shared" si="15"/>
        <v>15</v>
      </c>
      <c r="Q31" s="301">
        <f t="shared" si="16"/>
        <v>47</v>
      </c>
      <c r="R31" s="301">
        <f t="shared" si="2"/>
        <v>2.8840909090909248</v>
      </c>
      <c r="S31" s="301">
        <f t="shared" si="17"/>
        <v>49.5</v>
      </c>
      <c r="T31" s="301">
        <f t="shared" si="18"/>
        <v>74.01477272727287</v>
      </c>
    </row>
    <row r="32" spans="1:20" x14ac:dyDescent="0.2">
      <c r="A32" s="283">
        <f t="shared" si="3"/>
        <v>16</v>
      </c>
      <c r="B32" s="298">
        <f t="shared" si="4"/>
        <v>67.642857142857082</v>
      </c>
      <c r="C32" s="298">
        <f t="shared" si="19"/>
        <v>4.5835496883117068</v>
      </c>
      <c r="D32" s="298">
        <f t="shared" si="5"/>
        <v>0</v>
      </c>
      <c r="E32" s="299">
        <f t="shared" si="6"/>
        <v>98.057574233766701</v>
      </c>
      <c r="F32" s="300">
        <f t="shared" si="7"/>
        <v>16</v>
      </c>
      <c r="G32" s="301">
        <f t="shared" si="8"/>
        <v>30.642857142857149</v>
      </c>
      <c r="H32" s="301">
        <f t="shared" si="0"/>
        <v>2.0967261428571535</v>
      </c>
      <c r="I32" s="301">
        <f t="shared" si="9"/>
        <v>0</v>
      </c>
      <c r="J32" s="302">
        <f t="shared" si="10"/>
        <v>58.268397506493805</v>
      </c>
      <c r="K32" s="301">
        <f t="shared" si="11"/>
        <v>16</v>
      </c>
      <c r="L32" s="301">
        <f t="shared" si="12"/>
        <v>10.642857142857164</v>
      </c>
      <c r="M32" s="301">
        <f t="shared" si="1"/>
        <v>0.65308441558442043</v>
      </c>
      <c r="N32" s="301">
        <f t="shared" si="13"/>
        <v>0</v>
      </c>
      <c r="O32" s="302">
        <f t="shared" si="14"/>
        <v>35.17012987013009</v>
      </c>
      <c r="P32" s="303">
        <f t="shared" si="15"/>
        <v>16</v>
      </c>
      <c r="Q32" s="301">
        <f t="shared" si="16"/>
        <v>43.642857142857146</v>
      </c>
      <c r="R32" s="301">
        <f t="shared" si="2"/>
        <v>2.6780844155844301</v>
      </c>
      <c r="S32" s="301">
        <f t="shared" si="17"/>
        <v>0</v>
      </c>
      <c r="T32" s="301">
        <f t="shared" si="18"/>
        <v>76.692857142857306</v>
      </c>
    </row>
    <row r="33" spans="1:20" x14ac:dyDescent="0.2">
      <c r="A33" s="283">
        <f t="shared" si="3"/>
        <v>17</v>
      </c>
      <c r="B33" s="298">
        <f t="shared" si="4"/>
        <v>64.285714285714221</v>
      </c>
      <c r="C33" s="298">
        <f t="shared" si="19"/>
        <v>4.3775431948052121</v>
      </c>
      <c r="D33" s="298">
        <f t="shared" si="5"/>
        <v>0</v>
      </c>
      <c r="E33" s="299">
        <f t="shared" si="6"/>
        <v>102.43511742857191</v>
      </c>
      <c r="F33" s="300">
        <f t="shared" si="7"/>
        <v>17</v>
      </c>
      <c r="G33" s="301">
        <f t="shared" si="8"/>
        <v>27.285714285714292</v>
      </c>
      <c r="H33" s="301">
        <f t="shared" si="0"/>
        <v>1.8907196493506588</v>
      </c>
      <c r="I33" s="301">
        <f t="shared" si="9"/>
        <v>0</v>
      </c>
      <c r="J33" s="302">
        <f t="shared" si="10"/>
        <v>60.159117155844463</v>
      </c>
      <c r="K33" s="301">
        <f t="shared" si="11"/>
        <v>17</v>
      </c>
      <c r="L33" s="301">
        <f t="shared" si="12"/>
        <v>7.285714285714306</v>
      </c>
      <c r="M33" s="301">
        <f t="shared" si="1"/>
        <v>0.44707792207792574</v>
      </c>
      <c r="N33" s="301">
        <f t="shared" si="13"/>
        <v>0</v>
      </c>
      <c r="O33" s="302">
        <f t="shared" si="14"/>
        <v>35.617207792208013</v>
      </c>
      <c r="P33" s="303">
        <f t="shared" si="15"/>
        <v>17</v>
      </c>
      <c r="Q33" s="301">
        <f t="shared" si="16"/>
        <v>40.285714285714292</v>
      </c>
      <c r="R33" s="301">
        <f t="shared" si="2"/>
        <v>2.4720779220779363</v>
      </c>
      <c r="S33" s="301">
        <f t="shared" si="17"/>
        <v>0</v>
      </c>
      <c r="T33" s="301">
        <f t="shared" si="18"/>
        <v>79.164935064935236</v>
      </c>
    </row>
    <row r="34" spans="1:20" x14ac:dyDescent="0.2">
      <c r="A34" s="283">
        <f t="shared" si="3"/>
        <v>18</v>
      </c>
      <c r="B34" s="298">
        <f t="shared" si="4"/>
        <v>60.928571428571367</v>
      </c>
      <c r="C34" s="298">
        <f t="shared" si="19"/>
        <v>4.1715367012987175</v>
      </c>
      <c r="D34" s="298">
        <f t="shared" si="5"/>
        <v>0</v>
      </c>
      <c r="E34" s="299">
        <f t="shared" si="6"/>
        <v>106.60665412987063</v>
      </c>
      <c r="F34" s="300">
        <f t="shared" si="7"/>
        <v>18</v>
      </c>
      <c r="G34" s="301">
        <f t="shared" si="8"/>
        <v>23.928571428571434</v>
      </c>
      <c r="H34" s="301">
        <f t="shared" si="0"/>
        <v>1.6847131558441641</v>
      </c>
      <c r="I34" s="301">
        <f t="shared" si="9"/>
        <v>0</v>
      </c>
      <c r="J34" s="302">
        <f t="shared" si="10"/>
        <v>61.843830311688627</v>
      </c>
      <c r="K34" s="301">
        <f t="shared" si="11"/>
        <v>18</v>
      </c>
      <c r="L34" s="301">
        <f t="shared" si="12"/>
        <v>3.9285714285714488</v>
      </c>
      <c r="M34" s="301">
        <f t="shared" si="1"/>
        <v>0.2410714285714311</v>
      </c>
      <c r="N34" s="301">
        <f t="shared" si="13"/>
        <v>0</v>
      </c>
      <c r="O34" s="302">
        <f t="shared" si="14"/>
        <v>35.858279220779444</v>
      </c>
      <c r="P34" s="303">
        <f t="shared" si="15"/>
        <v>18</v>
      </c>
      <c r="Q34" s="301">
        <f t="shared" si="16"/>
        <v>36.928571428571438</v>
      </c>
      <c r="R34" s="301">
        <f t="shared" si="2"/>
        <v>2.2660714285714416</v>
      </c>
      <c r="S34" s="301">
        <f t="shared" si="17"/>
        <v>0</v>
      </c>
      <c r="T34" s="301">
        <f t="shared" si="18"/>
        <v>81.431006493506672</v>
      </c>
    </row>
    <row r="35" spans="1:20" x14ac:dyDescent="0.2">
      <c r="A35" s="283">
        <f t="shared" si="3"/>
        <v>19</v>
      </c>
      <c r="B35" s="298">
        <f t="shared" si="4"/>
        <v>57.571428571428513</v>
      </c>
      <c r="C35" s="298">
        <f t="shared" si="19"/>
        <v>3.9655302077922236</v>
      </c>
      <c r="D35" s="298">
        <f t="shared" si="5"/>
        <v>0</v>
      </c>
      <c r="E35" s="299">
        <f t="shared" si="6"/>
        <v>110.57218433766286</v>
      </c>
      <c r="F35" s="300">
        <f t="shared" si="7"/>
        <v>19</v>
      </c>
      <c r="G35" s="301">
        <f t="shared" si="8"/>
        <v>20.571428571428577</v>
      </c>
      <c r="H35" s="301">
        <f t="shared" si="0"/>
        <v>1.4787066623376697</v>
      </c>
      <c r="I35" s="301">
        <f t="shared" si="9"/>
        <v>0</v>
      </c>
      <c r="J35" s="302">
        <f t="shared" si="10"/>
        <v>63.322536974026299</v>
      </c>
      <c r="K35" s="301">
        <f t="shared" si="11"/>
        <v>19</v>
      </c>
      <c r="L35" s="301">
        <f t="shared" si="12"/>
        <v>61</v>
      </c>
      <c r="M35" s="301">
        <f t="shared" si="1"/>
        <v>3.743181818181839</v>
      </c>
      <c r="N35" s="301">
        <f t="shared" si="13"/>
        <v>49.5</v>
      </c>
      <c r="O35" s="302">
        <f t="shared" si="14"/>
        <v>89.101461038961276</v>
      </c>
      <c r="P35" s="303">
        <f t="shared" si="15"/>
        <v>19</v>
      </c>
      <c r="Q35" s="301">
        <f t="shared" si="16"/>
        <v>33.571428571428584</v>
      </c>
      <c r="R35" s="301">
        <f t="shared" si="2"/>
        <v>2.0600649350649469</v>
      </c>
      <c r="S35" s="301">
        <f t="shared" si="17"/>
        <v>0</v>
      </c>
      <c r="T35" s="301">
        <f t="shared" si="18"/>
        <v>83.491071428571615</v>
      </c>
    </row>
    <row r="36" spans="1:20" x14ac:dyDescent="0.2">
      <c r="A36" s="283">
        <f t="shared" si="3"/>
        <v>20</v>
      </c>
      <c r="B36" s="298">
        <f t="shared" si="4"/>
        <v>54.214285714285658</v>
      </c>
      <c r="C36" s="298">
        <f t="shared" si="19"/>
        <v>3.759523714285729</v>
      </c>
      <c r="D36" s="298">
        <f t="shared" si="5"/>
        <v>0</v>
      </c>
      <c r="E36" s="299">
        <f t="shared" si="6"/>
        <v>114.3317080519486</v>
      </c>
      <c r="F36" s="300">
        <f t="shared" si="7"/>
        <v>20</v>
      </c>
      <c r="G36" s="301">
        <f t="shared" si="8"/>
        <v>17.214285714285719</v>
      </c>
      <c r="H36" s="301">
        <f t="shared" si="0"/>
        <v>1.272700168831175</v>
      </c>
      <c r="I36" s="301">
        <f t="shared" si="9"/>
        <v>0</v>
      </c>
      <c r="J36" s="302">
        <f t="shared" si="10"/>
        <v>64.595237142857471</v>
      </c>
      <c r="K36" s="301">
        <f t="shared" si="11"/>
        <v>20</v>
      </c>
      <c r="L36" s="301">
        <f t="shared" si="12"/>
        <v>57.642857142857146</v>
      </c>
      <c r="M36" s="301">
        <f t="shared" si="1"/>
        <v>3.5371753246753439</v>
      </c>
      <c r="N36" s="301">
        <f t="shared" si="13"/>
        <v>0</v>
      </c>
      <c r="O36" s="302">
        <f t="shared" si="14"/>
        <v>92.638636363636621</v>
      </c>
      <c r="P36" s="303">
        <f t="shared" si="15"/>
        <v>20</v>
      </c>
      <c r="Q36" s="301">
        <f t="shared" si="16"/>
        <v>30.214285714285726</v>
      </c>
      <c r="R36" s="301">
        <f t="shared" si="2"/>
        <v>1.8540584415584525</v>
      </c>
      <c r="S36" s="301">
        <f t="shared" si="17"/>
        <v>0</v>
      </c>
      <c r="T36" s="301">
        <f t="shared" si="18"/>
        <v>85.345129870130066</v>
      </c>
    </row>
    <row r="37" spans="1:20" x14ac:dyDescent="0.2">
      <c r="A37" s="283">
        <f t="shared" si="3"/>
        <v>21</v>
      </c>
      <c r="B37" s="298">
        <f t="shared" si="4"/>
        <v>50.857142857142804</v>
      </c>
      <c r="C37" s="298">
        <f t="shared" si="19"/>
        <v>3.5535172207792347</v>
      </c>
      <c r="D37" s="298">
        <f t="shared" si="5"/>
        <v>0</v>
      </c>
      <c r="E37" s="299">
        <f t="shared" si="6"/>
        <v>117.88522527272784</v>
      </c>
      <c r="F37" s="300">
        <f t="shared" si="7"/>
        <v>21</v>
      </c>
      <c r="G37" s="301">
        <f t="shared" si="8"/>
        <v>13.857142857142861</v>
      </c>
      <c r="H37" s="301">
        <f t="shared" si="0"/>
        <v>1.0666936753246803</v>
      </c>
      <c r="I37" s="301">
        <f t="shared" si="9"/>
        <v>0</v>
      </c>
      <c r="J37" s="302">
        <f t="shared" si="10"/>
        <v>65.661930818182157</v>
      </c>
      <c r="K37" s="301">
        <f t="shared" si="11"/>
        <v>21</v>
      </c>
      <c r="L37" s="301">
        <f t="shared" si="12"/>
        <v>54.285714285714292</v>
      </c>
      <c r="M37" s="301">
        <f t="shared" si="1"/>
        <v>3.3311688311688501</v>
      </c>
      <c r="N37" s="301">
        <f t="shared" si="13"/>
        <v>0</v>
      </c>
      <c r="O37" s="302">
        <f t="shared" si="14"/>
        <v>95.969805194805474</v>
      </c>
      <c r="P37" s="303">
        <f t="shared" si="15"/>
        <v>21</v>
      </c>
      <c r="Q37" s="301">
        <f t="shared" si="16"/>
        <v>26.857142857142868</v>
      </c>
      <c r="R37" s="301">
        <f t="shared" si="2"/>
        <v>1.6480519480519578</v>
      </c>
      <c r="S37" s="301">
        <f t="shared" si="17"/>
        <v>0</v>
      </c>
      <c r="T37" s="301">
        <f t="shared" si="18"/>
        <v>86.993181818182023</v>
      </c>
    </row>
    <row r="38" spans="1:20" x14ac:dyDescent="0.2">
      <c r="A38" s="283">
        <f t="shared" si="3"/>
        <v>22</v>
      </c>
      <c r="B38" s="298">
        <f t="shared" si="4"/>
        <v>47.49999999999995</v>
      </c>
      <c r="C38" s="298">
        <f t="shared" si="19"/>
        <v>3.3475107272727405</v>
      </c>
      <c r="D38" s="298">
        <f t="shared" si="5"/>
        <v>0</v>
      </c>
      <c r="E38" s="299">
        <f t="shared" si="6"/>
        <v>121.23273600000057</v>
      </c>
      <c r="F38" s="300">
        <f t="shared" si="7"/>
        <v>22</v>
      </c>
      <c r="G38" s="301">
        <f t="shared" si="8"/>
        <v>10.500000000000004</v>
      </c>
      <c r="H38" s="301">
        <f t="shared" si="0"/>
        <v>0.8606871818181856</v>
      </c>
      <c r="I38" s="301">
        <f t="shared" si="9"/>
        <v>0</v>
      </c>
      <c r="J38" s="302">
        <f t="shared" si="10"/>
        <v>66.522618000000335</v>
      </c>
      <c r="K38" s="301">
        <f t="shared" si="11"/>
        <v>22</v>
      </c>
      <c r="L38" s="301">
        <f t="shared" si="12"/>
        <v>50.928571428571438</v>
      </c>
      <c r="M38" s="301">
        <f t="shared" si="1"/>
        <v>3.1251623376623554</v>
      </c>
      <c r="N38" s="301">
        <f t="shared" si="13"/>
        <v>0</v>
      </c>
      <c r="O38" s="302">
        <f t="shared" si="14"/>
        <v>99.094967532467834</v>
      </c>
      <c r="P38" s="303">
        <f t="shared" si="15"/>
        <v>22</v>
      </c>
      <c r="Q38" s="301">
        <f t="shared" si="16"/>
        <v>23.500000000000011</v>
      </c>
      <c r="R38" s="301">
        <f t="shared" si="2"/>
        <v>1.4420454545454631</v>
      </c>
      <c r="S38" s="301">
        <f t="shared" si="17"/>
        <v>0</v>
      </c>
      <c r="T38" s="301">
        <f t="shared" si="18"/>
        <v>88.435227272727488</v>
      </c>
    </row>
    <row r="39" spans="1:20" x14ac:dyDescent="0.2">
      <c r="A39" s="283">
        <f t="shared" si="3"/>
        <v>23</v>
      </c>
      <c r="B39" s="298">
        <f t="shared" si="4"/>
        <v>44.142857142857096</v>
      </c>
      <c r="C39" s="298">
        <f t="shared" si="19"/>
        <v>3.1415042337662458</v>
      </c>
      <c r="D39" s="298">
        <f t="shared" si="5"/>
        <v>0</v>
      </c>
      <c r="E39" s="299">
        <f t="shared" si="6"/>
        <v>124.37424023376681</v>
      </c>
      <c r="F39" s="300">
        <f t="shared" si="7"/>
        <v>23</v>
      </c>
      <c r="G39" s="301">
        <f t="shared" si="8"/>
        <v>7.1428571428571459</v>
      </c>
      <c r="H39" s="301">
        <f t="shared" si="0"/>
        <v>0.65468068831169091</v>
      </c>
      <c r="I39" s="301">
        <f t="shared" si="9"/>
        <v>0</v>
      </c>
      <c r="J39" s="302">
        <f t="shared" si="10"/>
        <v>67.177298688312021</v>
      </c>
      <c r="K39" s="301">
        <f t="shared" si="11"/>
        <v>23</v>
      </c>
      <c r="L39" s="301">
        <f t="shared" si="12"/>
        <v>47.571428571428584</v>
      </c>
      <c r="M39" s="301">
        <f t="shared" si="1"/>
        <v>2.9191558441558607</v>
      </c>
      <c r="N39" s="301">
        <f t="shared" si="13"/>
        <v>0</v>
      </c>
      <c r="O39" s="302">
        <f t="shared" si="14"/>
        <v>102.0141233766237</v>
      </c>
      <c r="P39" s="303">
        <f t="shared" si="15"/>
        <v>23</v>
      </c>
      <c r="Q39" s="301">
        <f t="shared" si="16"/>
        <v>20.142857142857153</v>
      </c>
      <c r="R39" s="301">
        <f t="shared" si="2"/>
        <v>1.2360389610389684</v>
      </c>
      <c r="S39" s="301">
        <f t="shared" si="17"/>
        <v>0</v>
      </c>
      <c r="T39" s="301">
        <f t="shared" si="18"/>
        <v>89.67126623376646</v>
      </c>
    </row>
    <row r="40" spans="1:20" x14ac:dyDescent="0.2">
      <c r="A40" s="283">
        <f t="shared" si="3"/>
        <v>24</v>
      </c>
      <c r="B40" s="298">
        <f t="shared" si="4"/>
        <v>40.785714285714242</v>
      </c>
      <c r="C40" s="298">
        <f t="shared" si="19"/>
        <v>2.9354977402597511</v>
      </c>
      <c r="D40" s="298">
        <f t="shared" si="5"/>
        <v>0</v>
      </c>
      <c r="E40" s="299">
        <f t="shared" si="6"/>
        <v>127.30973797402656</v>
      </c>
      <c r="F40" s="300">
        <f t="shared" si="7"/>
        <v>24</v>
      </c>
      <c r="G40" s="301">
        <f t="shared" si="8"/>
        <v>3.7857142857142887</v>
      </c>
      <c r="H40" s="301">
        <f t="shared" si="0"/>
        <v>0.44867419480519632</v>
      </c>
      <c r="I40" s="301">
        <f t="shared" si="9"/>
        <v>0</v>
      </c>
      <c r="J40" s="302">
        <f t="shared" si="10"/>
        <v>67.625972883117214</v>
      </c>
      <c r="K40" s="301">
        <f t="shared" si="11"/>
        <v>24</v>
      </c>
      <c r="L40" s="301">
        <f t="shared" si="12"/>
        <v>44.21428571428573</v>
      </c>
      <c r="M40" s="301">
        <f t="shared" si="1"/>
        <v>2.7131493506493665</v>
      </c>
      <c r="N40" s="301">
        <f t="shared" si="13"/>
        <v>0</v>
      </c>
      <c r="O40" s="302">
        <f t="shared" si="14"/>
        <v>104.72727272727306</v>
      </c>
      <c r="P40" s="303">
        <f t="shared" si="15"/>
        <v>24</v>
      </c>
      <c r="Q40" s="301">
        <f t="shared" si="16"/>
        <v>16.785714285714295</v>
      </c>
      <c r="R40" s="301">
        <f t="shared" si="2"/>
        <v>1.0300324675324737</v>
      </c>
      <c r="S40" s="301">
        <f t="shared" si="17"/>
        <v>0</v>
      </c>
      <c r="T40" s="301">
        <f t="shared" si="18"/>
        <v>90.701298701298938</v>
      </c>
    </row>
    <row r="41" spans="1:20" x14ac:dyDescent="0.2">
      <c r="A41" s="283">
        <f t="shared" si="3"/>
        <v>25</v>
      </c>
      <c r="B41" s="298">
        <f t="shared" si="4"/>
        <v>37.428571428571388</v>
      </c>
      <c r="C41" s="298">
        <f t="shared" si="19"/>
        <v>2.7294912467532573</v>
      </c>
      <c r="D41" s="298">
        <f t="shared" si="5"/>
        <v>0</v>
      </c>
      <c r="E41" s="299">
        <f t="shared" si="6"/>
        <v>130.03922922077982</v>
      </c>
      <c r="F41" s="300">
        <f t="shared" si="7"/>
        <v>25</v>
      </c>
      <c r="G41" s="301">
        <f t="shared" si="8"/>
        <v>81</v>
      </c>
      <c r="H41" s="301">
        <f t="shared" si="0"/>
        <v>5.1868235454545726</v>
      </c>
      <c r="I41" s="301">
        <f t="shared" si="9"/>
        <v>49.5</v>
      </c>
      <c r="J41" s="302">
        <f t="shared" si="10"/>
        <v>122.31279642857179</v>
      </c>
      <c r="K41" s="301">
        <f t="shared" si="11"/>
        <v>25</v>
      </c>
      <c r="L41" s="301">
        <f t="shared" si="12"/>
        <v>40.857142857142875</v>
      </c>
      <c r="M41" s="301">
        <f t="shared" si="1"/>
        <v>2.5071428571428722</v>
      </c>
      <c r="N41" s="301">
        <f t="shared" si="13"/>
        <v>0</v>
      </c>
      <c r="O41" s="302">
        <f t="shared" si="14"/>
        <v>107.23441558441593</v>
      </c>
      <c r="P41" s="303">
        <f t="shared" si="15"/>
        <v>25</v>
      </c>
      <c r="Q41" s="301">
        <f t="shared" si="16"/>
        <v>13.428571428571438</v>
      </c>
      <c r="R41" s="301">
        <f t="shared" si="2"/>
        <v>0.8240259740259791</v>
      </c>
      <c r="S41" s="301">
        <f t="shared" si="17"/>
        <v>0</v>
      </c>
      <c r="T41" s="301">
        <f t="shared" si="18"/>
        <v>91.525324675324924</v>
      </c>
    </row>
    <row r="42" spans="1:20" x14ac:dyDescent="0.2">
      <c r="A42" s="283">
        <f t="shared" si="3"/>
        <v>26</v>
      </c>
      <c r="B42" s="298">
        <f t="shared" si="4"/>
        <v>34.071428571428534</v>
      </c>
      <c r="C42" s="298">
        <f t="shared" si="19"/>
        <v>2.5234847532467626</v>
      </c>
      <c r="D42" s="298">
        <f t="shared" si="5"/>
        <v>0</v>
      </c>
      <c r="E42" s="299">
        <f t="shared" si="6"/>
        <v>132.56271397402656</v>
      </c>
      <c r="F42" s="300">
        <f t="shared" si="7"/>
        <v>26</v>
      </c>
      <c r="G42" s="301">
        <f t="shared" si="8"/>
        <v>77.642857142857139</v>
      </c>
      <c r="H42" s="301">
        <f t="shared" si="0"/>
        <v>4.9808170519480779</v>
      </c>
      <c r="I42" s="301">
        <f t="shared" si="9"/>
        <v>0</v>
      </c>
      <c r="J42" s="302">
        <f t="shared" si="10"/>
        <v>127.29361348051987</v>
      </c>
      <c r="K42" s="301">
        <f t="shared" si="11"/>
        <v>26</v>
      </c>
      <c r="L42" s="301">
        <f t="shared" si="12"/>
        <v>37.500000000000021</v>
      </c>
      <c r="M42" s="301">
        <f t="shared" si="1"/>
        <v>2.3011363636363775</v>
      </c>
      <c r="N42" s="301">
        <f t="shared" si="13"/>
        <v>0</v>
      </c>
      <c r="O42" s="302">
        <f t="shared" si="14"/>
        <v>109.5355519480523</v>
      </c>
      <c r="P42" s="303">
        <f t="shared" si="15"/>
        <v>26</v>
      </c>
      <c r="Q42" s="301">
        <f t="shared" si="16"/>
        <v>10.07142857142858</v>
      </c>
      <c r="R42" s="301">
        <f t="shared" si="2"/>
        <v>0.61801948051948441</v>
      </c>
      <c r="S42" s="301">
        <f t="shared" si="17"/>
        <v>0</v>
      </c>
      <c r="T42" s="301">
        <f t="shared" si="18"/>
        <v>92.143344155844403</v>
      </c>
    </row>
    <row r="43" spans="1:20" x14ac:dyDescent="0.2">
      <c r="A43" s="283">
        <f t="shared" si="3"/>
        <v>27</v>
      </c>
      <c r="B43" s="298">
        <f t="shared" si="4"/>
        <v>30.714285714285676</v>
      </c>
      <c r="C43" s="298">
        <f t="shared" si="19"/>
        <v>2.3174782597402674</v>
      </c>
      <c r="D43" s="298">
        <f t="shared" si="5"/>
        <v>0</v>
      </c>
      <c r="E43" s="299">
        <f t="shared" si="6"/>
        <v>134.88019223376682</v>
      </c>
      <c r="F43" s="300">
        <f t="shared" si="7"/>
        <v>27</v>
      </c>
      <c r="G43" s="301">
        <f t="shared" si="8"/>
        <v>74.285714285714278</v>
      </c>
      <c r="H43" s="301">
        <f t="shared" si="0"/>
        <v>4.7748105584415832</v>
      </c>
      <c r="I43" s="301">
        <f t="shared" si="9"/>
        <v>0</v>
      </c>
      <c r="J43" s="302">
        <f t="shared" si="10"/>
        <v>132.06842403896144</v>
      </c>
      <c r="K43" s="301">
        <f t="shared" si="11"/>
        <v>27</v>
      </c>
      <c r="L43" s="301">
        <f t="shared" si="12"/>
        <v>34.142857142857167</v>
      </c>
      <c r="M43" s="301">
        <f t="shared" si="1"/>
        <v>2.0951298701298833</v>
      </c>
      <c r="N43" s="301">
        <f t="shared" si="13"/>
        <v>0</v>
      </c>
      <c r="O43" s="302">
        <f t="shared" si="14"/>
        <v>111.63068181818218</v>
      </c>
      <c r="P43" s="303">
        <f t="shared" si="15"/>
        <v>27</v>
      </c>
      <c r="Q43" s="301">
        <f t="shared" si="16"/>
        <v>6.7142857142857224</v>
      </c>
      <c r="R43" s="301">
        <f t="shared" si="2"/>
        <v>0.41201298701298972</v>
      </c>
      <c r="S43" s="301">
        <f t="shared" si="17"/>
        <v>0</v>
      </c>
      <c r="T43" s="301">
        <f t="shared" si="18"/>
        <v>92.555357142857389</v>
      </c>
    </row>
    <row r="44" spans="1:20" x14ac:dyDescent="0.2">
      <c r="A44" s="283">
        <f t="shared" si="3"/>
        <v>28</v>
      </c>
      <c r="B44" s="298">
        <f t="shared" si="4"/>
        <v>27.357142857142819</v>
      </c>
      <c r="C44" s="298">
        <f t="shared" si="19"/>
        <v>2.1114717662337728</v>
      </c>
      <c r="D44" s="298">
        <f t="shared" si="5"/>
        <v>0</v>
      </c>
      <c r="E44" s="299">
        <f t="shared" si="6"/>
        <v>136.99166400000058</v>
      </c>
      <c r="F44" s="300">
        <f t="shared" si="7"/>
        <v>28</v>
      </c>
      <c r="G44" s="301">
        <f t="shared" si="8"/>
        <v>70.928571428571416</v>
      </c>
      <c r="H44" s="301">
        <f t="shared" si="0"/>
        <v>4.5688040649350885</v>
      </c>
      <c r="I44" s="301">
        <f t="shared" si="9"/>
        <v>0</v>
      </c>
      <c r="J44" s="302">
        <f t="shared" si="10"/>
        <v>136.63722810389652</v>
      </c>
      <c r="K44" s="301">
        <f t="shared" si="11"/>
        <v>28</v>
      </c>
      <c r="L44" s="301">
        <f t="shared" si="12"/>
        <v>30.78571428571431</v>
      </c>
      <c r="M44" s="301">
        <f t="shared" si="1"/>
        <v>1.8891233766233886</v>
      </c>
      <c r="N44" s="301">
        <f t="shared" si="13"/>
        <v>0</v>
      </c>
      <c r="O44" s="302">
        <f t="shared" si="14"/>
        <v>113.51980519480557</v>
      </c>
      <c r="P44" s="303">
        <f t="shared" si="15"/>
        <v>28</v>
      </c>
      <c r="Q44" s="301">
        <f t="shared" si="16"/>
        <v>3.3571428571428652</v>
      </c>
      <c r="R44" s="301">
        <f t="shared" si="2"/>
        <v>0.20600649350649514</v>
      </c>
      <c r="S44" s="301">
        <f t="shared" si="17"/>
        <v>0</v>
      </c>
      <c r="T44" s="301">
        <f t="shared" si="18"/>
        <v>92.761363636363882</v>
      </c>
    </row>
    <row r="45" spans="1:20" x14ac:dyDescent="0.2">
      <c r="A45" s="283">
        <f t="shared" si="3"/>
        <v>29</v>
      </c>
      <c r="B45" s="298">
        <f t="shared" si="4"/>
        <v>23.999999999999961</v>
      </c>
      <c r="C45" s="298">
        <f t="shared" si="19"/>
        <v>1.9054652727272785</v>
      </c>
      <c r="D45" s="298">
        <f t="shared" si="5"/>
        <v>0</v>
      </c>
      <c r="E45" s="299">
        <f t="shared" si="6"/>
        <v>138.89712927272785</v>
      </c>
      <c r="F45" s="300">
        <f t="shared" si="7"/>
        <v>29</v>
      </c>
      <c r="G45" s="301">
        <f t="shared" si="8"/>
        <v>67.571428571428555</v>
      </c>
      <c r="H45" s="301">
        <f t="shared" si="0"/>
        <v>4.3627975714285938</v>
      </c>
      <c r="I45" s="301">
        <f t="shared" si="9"/>
        <v>0</v>
      </c>
      <c r="J45" s="302">
        <f t="shared" si="10"/>
        <v>141.00002567532511</v>
      </c>
      <c r="K45" s="301">
        <f t="shared" si="11"/>
        <v>29</v>
      </c>
      <c r="L45" s="301">
        <f t="shared" si="12"/>
        <v>27.428571428571452</v>
      </c>
      <c r="M45" s="301">
        <f t="shared" si="1"/>
        <v>1.6831168831168939</v>
      </c>
      <c r="N45" s="301">
        <f t="shared" si="13"/>
        <v>0</v>
      </c>
      <c r="O45" s="302">
        <f t="shared" si="14"/>
        <v>115.20292207792247</v>
      </c>
      <c r="P45" s="303">
        <f t="shared" si="15"/>
        <v>29</v>
      </c>
      <c r="Q45" s="301">
        <f t="shared" si="16"/>
        <v>47</v>
      </c>
      <c r="R45" s="301">
        <f t="shared" si="2"/>
        <v>2.8840909090909248</v>
      </c>
      <c r="S45" s="301">
        <f t="shared" si="17"/>
        <v>49.5</v>
      </c>
      <c r="T45" s="301">
        <f t="shared" si="18"/>
        <v>145.14545454545481</v>
      </c>
    </row>
    <row r="46" spans="1:20" x14ac:dyDescent="0.2">
      <c r="A46" s="283">
        <f t="shared" si="3"/>
        <v>30</v>
      </c>
      <c r="B46" s="298">
        <f t="shared" si="4"/>
        <v>20.642857142857103</v>
      </c>
      <c r="C46" s="298">
        <f t="shared" si="19"/>
        <v>1.6994587792207838</v>
      </c>
      <c r="D46" s="298">
        <f t="shared" si="5"/>
        <v>0</v>
      </c>
      <c r="E46" s="299">
        <f t="shared" si="6"/>
        <v>140.59658805194863</v>
      </c>
      <c r="F46" s="300">
        <f t="shared" si="7"/>
        <v>30</v>
      </c>
      <c r="G46" s="301">
        <f t="shared" si="8"/>
        <v>64.214285714285694</v>
      </c>
      <c r="H46" s="301">
        <f t="shared" si="0"/>
        <v>4.1567910779220982</v>
      </c>
      <c r="I46" s="301">
        <f t="shared" si="9"/>
        <v>0</v>
      </c>
      <c r="J46" s="302">
        <f t="shared" si="10"/>
        <v>145.1568167532472</v>
      </c>
      <c r="K46" s="301">
        <f t="shared" si="11"/>
        <v>30</v>
      </c>
      <c r="L46" s="301">
        <f t="shared" si="12"/>
        <v>24.071428571428594</v>
      </c>
      <c r="M46" s="301">
        <f t="shared" si="1"/>
        <v>1.477110389610399</v>
      </c>
      <c r="N46" s="301">
        <f t="shared" si="13"/>
        <v>0</v>
      </c>
      <c r="O46" s="302">
        <f t="shared" si="14"/>
        <v>116.68003246753287</v>
      </c>
      <c r="P46" s="303">
        <f t="shared" si="15"/>
        <v>30</v>
      </c>
      <c r="Q46" s="301">
        <f t="shared" si="16"/>
        <v>43.642857142857146</v>
      </c>
      <c r="R46" s="301">
        <f t="shared" si="2"/>
        <v>2.6780844155844301</v>
      </c>
      <c r="S46" s="301">
        <f t="shared" si="17"/>
        <v>0</v>
      </c>
      <c r="T46" s="301">
        <f t="shared" si="18"/>
        <v>147.82353896103925</v>
      </c>
    </row>
    <row r="47" spans="1:20" x14ac:dyDescent="0.2">
      <c r="A47" s="283">
        <f t="shared" si="3"/>
        <v>31</v>
      </c>
      <c r="B47" s="298">
        <f t="shared" si="4"/>
        <v>17.285714285714246</v>
      </c>
      <c r="C47" s="298">
        <f t="shared" si="19"/>
        <v>1.4934522857142891</v>
      </c>
      <c r="D47" s="298">
        <f t="shared" si="5"/>
        <v>0</v>
      </c>
      <c r="E47" s="299">
        <f t="shared" si="6"/>
        <v>142.09004033766291</v>
      </c>
      <c r="F47" s="300">
        <f t="shared" si="7"/>
        <v>31</v>
      </c>
      <c r="G47" s="301">
        <f t="shared" si="8"/>
        <v>60.85714285714284</v>
      </c>
      <c r="H47" s="301">
        <f t="shared" si="0"/>
        <v>3.9507845844156031</v>
      </c>
      <c r="I47" s="301">
        <f t="shared" si="9"/>
        <v>0</v>
      </c>
      <c r="J47" s="302">
        <f t="shared" si="10"/>
        <v>149.1076013376628</v>
      </c>
      <c r="K47" s="301">
        <f t="shared" si="11"/>
        <v>31</v>
      </c>
      <c r="L47" s="301">
        <f t="shared" si="12"/>
        <v>20.714285714285737</v>
      </c>
      <c r="M47" s="301">
        <f t="shared" si="1"/>
        <v>1.2711038961039045</v>
      </c>
      <c r="N47" s="301">
        <f t="shared" si="13"/>
        <v>0</v>
      </c>
      <c r="O47" s="302">
        <f t="shared" si="14"/>
        <v>117.95113636363678</v>
      </c>
      <c r="P47" s="303">
        <f t="shared" si="15"/>
        <v>31</v>
      </c>
      <c r="Q47" s="301">
        <f t="shared" si="16"/>
        <v>40.285714285714292</v>
      </c>
      <c r="R47" s="301">
        <f t="shared" si="2"/>
        <v>2.4720779220779363</v>
      </c>
      <c r="S47" s="301">
        <f t="shared" si="17"/>
        <v>0</v>
      </c>
      <c r="T47" s="301">
        <f t="shared" si="18"/>
        <v>150.29561688311719</v>
      </c>
    </row>
    <row r="48" spans="1:20" x14ac:dyDescent="0.2">
      <c r="A48" s="283">
        <f t="shared" si="3"/>
        <v>32</v>
      </c>
      <c r="B48" s="298">
        <f t="shared" si="4"/>
        <v>13.928571428571388</v>
      </c>
      <c r="C48" s="298">
        <f t="shared" si="19"/>
        <v>1.2874457922077944</v>
      </c>
      <c r="D48" s="298">
        <f t="shared" si="5"/>
        <v>0</v>
      </c>
      <c r="E48" s="299">
        <f t="shared" si="6"/>
        <v>143.3774861298707</v>
      </c>
      <c r="F48" s="300">
        <f t="shared" si="7"/>
        <v>32</v>
      </c>
      <c r="G48" s="301">
        <f t="shared" si="8"/>
        <v>57.499999999999986</v>
      </c>
      <c r="H48" s="301">
        <f t="shared" si="0"/>
        <v>3.7447780909091093</v>
      </c>
      <c r="I48" s="301">
        <f t="shared" si="9"/>
        <v>0</v>
      </c>
      <c r="J48" s="302">
        <f t="shared" si="10"/>
        <v>152.85237942857191</v>
      </c>
      <c r="K48" s="301">
        <f t="shared" si="11"/>
        <v>32</v>
      </c>
      <c r="L48" s="301">
        <f t="shared" si="12"/>
        <v>17.357142857142879</v>
      </c>
      <c r="M48" s="301">
        <f t="shared" si="1"/>
        <v>1.0650974025974098</v>
      </c>
      <c r="N48" s="301">
        <f t="shared" si="13"/>
        <v>0</v>
      </c>
      <c r="O48" s="302">
        <f t="shared" si="14"/>
        <v>119.01623376623419</v>
      </c>
      <c r="P48" s="303">
        <f t="shared" si="15"/>
        <v>32</v>
      </c>
      <c r="Q48" s="301">
        <f t="shared" si="16"/>
        <v>36.928571428571438</v>
      </c>
      <c r="R48" s="301">
        <f t="shared" si="2"/>
        <v>2.2660714285714416</v>
      </c>
      <c r="S48" s="301">
        <f t="shared" si="17"/>
        <v>0</v>
      </c>
      <c r="T48" s="301">
        <f t="shared" si="18"/>
        <v>152.56168831168864</v>
      </c>
    </row>
    <row r="49" spans="1:20" x14ac:dyDescent="0.2">
      <c r="A49" s="283">
        <f t="shared" si="3"/>
        <v>33</v>
      </c>
      <c r="B49" s="298">
        <f t="shared" si="4"/>
        <v>10.57142857142853</v>
      </c>
      <c r="C49" s="298">
        <f t="shared" si="19"/>
        <v>1.0814392987012997</v>
      </c>
      <c r="D49" s="298">
        <f t="shared" si="5"/>
        <v>0</v>
      </c>
      <c r="E49" s="299">
        <f t="shared" si="6"/>
        <v>144.458925428572</v>
      </c>
      <c r="F49" s="300">
        <f t="shared" si="7"/>
        <v>33</v>
      </c>
      <c r="G49" s="301">
        <f t="shared" si="8"/>
        <v>54.142857142857132</v>
      </c>
      <c r="H49" s="301">
        <f t="shared" ref="H49:H80" si="20">IF($A49&lt;&gt;0,$C$7+((G49*$C$5/$C$8))+J$15*$C$6,0)</f>
        <v>3.5387715974026146</v>
      </c>
      <c r="I49" s="301">
        <f t="shared" si="9"/>
        <v>0</v>
      </c>
      <c r="J49" s="302">
        <f t="shared" si="10"/>
        <v>156.39115102597452</v>
      </c>
      <c r="K49" s="301">
        <f t="shared" si="11"/>
        <v>33</v>
      </c>
      <c r="L49" s="301">
        <f t="shared" si="12"/>
        <v>14.000000000000021</v>
      </c>
      <c r="M49" s="301">
        <f t="shared" ref="M49:M80" si="21">IF($A49&lt;&gt;0,$C$7+((L49*$C$5/$C$8))+O$15*$C$6,0)</f>
        <v>0.85909090909091512</v>
      </c>
      <c r="N49" s="301">
        <f t="shared" si="13"/>
        <v>0</v>
      </c>
      <c r="O49" s="302">
        <f t="shared" si="14"/>
        <v>119.8753246753251</v>
      </c>
      <c r="P49" s="303">
        <f t="shared" si="15"/>
        <v>33</v>
      </c>
      <c r="Q49" s="301">
        <f t="shared" si="16"/>
        <v>33.571428571428584</v>
      </c>
      <c r="R49" s="301">
        <f t="shared" ref="R49:R80" si="22">IF($A49&lt;&gt;0,$C$7+((Q49*$C$5/$C$8))+T$15*$C$6,0)</f>
        <v>2.0600649350649469</v>
      </c>
      <c r="S49" s="301">
        <f t="shared" si="17"/>
        <v>0</v>
      </c>
      <c r="T49" s="301">
        <f t="shared" si="18"/>
        <v>154.6217532467536</v>
      </c>
    </row>
    <row r="50" spans="1:20" x14ac:dyDescent="0.2">
      <c r="A50" s="283">
        <f t="shared" ref="A50:A81" si="23">IF(AND(A49&lt;&gt;$C$8,A49&lt;&gt;0),A49+1,0)</f>
        <v>34</v>
      </c>
      <c r="B50" s="298">
        <f t="shared" ref="B50:B81" si="24">IF($A50&lt;&gt;0,IF(B49-$C$11+0.0001&gt;$C$11,B49-$C$11,IF($C$8-$A50&gt;E$14,ROUNDUP(E$14*$C$11,0),ROUNDUP(($C$8-$A49)*$C$11,0))),0)</f>
        <v>7.2142857142856727</v>
      </c>
      <c r="C50" s="298">
        <f t="shared" si="19"/>
        <v>0.87543280519480504</v>
      </c>
      <c r="D50" s="298">
        <f t="shared" ref="D50:D81" si="25">IF(AND($A50&lt;&gt;0,B50&gt;B49),$C$10+$C$9,0)</f>
        <v>0</v>
      </c>
      <c r="E50" s="299">
        <f t="shared" ref="E50:E81" si="26">C50+D50+E49</f>
        <v>145.33435823376681</v>
      </c>
      <c r="F50" s="300">
        <f t="shared" ref="F50:F81" si="27">IF(AND(F49&lt;&gt;$C$8,F49&lt;&gt;0),F49+1,0)</f>
        <v>34</v>
      </c>
      <c r="G50" s="301">
        <f t="shared" ref="G50:G81" si="28">IF($A50&lt;&gt;0,IF(G49-$C$11+0.0001&gt;$C$11,G49-$C$11,IF($C$8-$A50&gt;J$14,ROUNDUP(J$14*$C$11,0),ROUNDUP(($C$8-$A49)*$C$11,0))),0)</f>
        <v>50.785714285714278</v>
      </c>
      <c r="H50" s="301">
        <f t="shared" si="20"/>
        <v>3.3327651038961199</v>
      </c>
      <c r="I50" s="301">
        <f t="shared" ref="I50:I81" si="29">IF(AND($A50&lt;&gt;0,G50&gt;G49),$C$10+$C$9,0)</f>
        <v>0</v>
      </c>
      <c r="J50" s="302">
        <f t="shared" ref="J50:J81" si="30">H50+I50+J49</f>
        <v>159.72391612987064</v>
      </c>
      <c r="K50" s="301">
        <f t="shared" ref="K50:K81" si="31">IF(AND(K49&lt;&gt;$C$8,K49&lt;&gt;0),K49+1,0)</f>
        <v>34</v>
      </c>
      <c r="L50" s="301">
        <f t="shared" ref="L50:L81" si="32">IF($A50&lt;&gt;0,IF(L49-$C$11+0.0001&gt;$C$11,L49-$C$11,IF($C$8-$A50&gt;O$14,ROUNDUP(O$14*$C$11,0),ROUNDUP(($C$8-$A49)*$C$11,0))),0)</f>
        <v>10.642857142857164</v>
      </c>
      <c r="M50" s="301">
        <f t="shared" si="21"/>
        <v>0.65308441558442043</v>
      </c>
      <c r="N50" s="301">
        <f t="shared" ref="N50:N81" si="33">IF(AND($A50&lt;&gt;0,L50&gt;L49),$C$10+$C$9,0)</f>
        <v>0</v>
      </c>
      <c r="O50" s="302">
        <f t="shared" ref="O50:O81" si="34">M50+N50+O49</f>
        <v>120.52840909090952</v>
      </c>
      <c r="P50" s="303">
        <f t="shared" ref="P50:P81" si="35">IF(AND(P49&lt;&gt;$C$8,P49&lt;&gt;0),P49+1,0)</f>
        <v>34</v>
      </c>
      <c r="Q50" s="301">
        <f t="shared" ref="Q50:Q81" si="36">IF($A50&lt;&gt;0,IF(Q49-$C$11+0.0001&gt;$C$11,Q49-$C$11,IF($C$8-$A50&gt;T$14,ROUNDUP(T$14*$C$11,0),ROUNDUP(($C$8-$A49)*$C$11,0))),0)</f>
        <v>30.214285714285726</v>
      </c>
      <c r="R50" s="301">
        <f t="shared" si="22"/>
        <v>1.8540584415584525</v>
      </c>
      <c r="S50" s="301">
        <f t="shared" ref="S50:S81" si="37">IF(AND($A50&lt;&gt;0,Q50&gt;Q49),$C$10+$C$9,0)</f>
        <v>0</v>
      </c>
      <c r="T50" s="301">
        <f t="shared" ref="T50:T81" si="38">R50+S50+T49</f>
        <v>156.47581168831206</v>
      </c>
    </row>
    <row r="51" spans="1:20" x14ac:dyDescent="0.2">
      <c r="A51" s="283">
        <f t="shared" si="23"/>
        <v>35</v>
      </c>
      <c r="B51" s="298">
        <f t="shared" si="24"/>
        <v>3.8571428571428155</v>
      </c>
      <c r="C51" s="298">
        <f t="shared" ref="C51:C82" si="39">IF(A51&lt;&gt;0,$C$7+((B51*$C$5/$C$8))+E$15*$C$6,0)</f>
        <v>0.66942631168831046</v>
      </c>
      <c r="D51" s="298">
        <f t="shared" si="25"/>
        <v>0</v>
      </c>
      <c r="E51" s="299">
        <f t="shared" si="26"/>
        <v>146.00378454545512</v>
      </c>
      <c r="F51" s="300">
        <f t="shared" si="27"/>
        <v>35</v>
      </c>
      <c r="G51" s="301">
        <f t="shared" si="28"/>
        <v>47.428571428571423</v>
      </c>
      <c r="H51" s="301">
        <f t="shared" si="20"/>
        <v>3.1267586103896261</v>
      </c>
      <c r="I51" s="301">
        <f t="shared" si="29"/>
        <v>0</v>
      </c>
      <c r="J51" s="302">
        <f t="shared" si="30"/>
        <v>162.85067474026027</v>
      </c>
      <c r="K51" s="301">
        <f t="shared" si="31"/>
        <v>35</v>
      </c>
      <c r="L51" s="301">
        <f t="shared" si="32"/>
        <v>7.285714285714306</v>
      </c>
      <c r="M51" s="301">
        <f t="shared" si="21"/>
        <v>0.44707792207792574</v>
      </c>
      <c r="N51" s="301">
        <f t="shared" si="33"/>
        <v>0</v>
      </c>
      <c r="O51" s="302">
        <f t="shared" si="34"/>
        <v>120.97548701298744</v>
      </c>
      <c r="P51" s="303">
        <f t="shared" si="35"/>
        <v>35</v>
      </c>
      <c r="Q51" s="301">
        <f t="shared" si="36"/>
        <v>26.857142857142868</v>
      </c>
      <c r="R51" s="301">
        <f t="shared" si="22"/>
        <v>1.6480519480519578</v>
      </c>
      <c r="S51" s="301">
        <f t="shared" si="37"/>
        <v>0</v>
      </c>
      <c r="T51" s="301">
        <f t="shared" si="38"/>
        <v>158.12386363636404</v>
      </c>
    </row>
    <row r="52" spans="1:20" x14ac:dyDescent="0.2">
      <c r="A52" s="283">
        <f t="shared" si="23"/>
        <v>36</v>
      </c>
      <c r="B52" s="298">
        <f t="shared" si="24"/>
        <v>118</v>
      </c>
      <c r="C52" s="298">
        <f t="shared" si="39"/>
        <v>7.6736470909091308</v>
      </c>
      <c r="D52" s="298">
        <f t="shared" si="25"/>
        <v>49.5</v>
      </c>
      <c r="E52" s="299">
        <f t="shared" si="26"/>
        <v>203.17743163636425</v>
      </c>
      <c r="F52" s="300">
        <f t="shared" si="27"/>
        <v>36</v>
      </c>
      <c r="G52" s="301">
        <f t="shared" si="28"/>
        <v>44.071428571428569</v>
      </c>
      <c r="H52" s="301">
        <f t="shared" si="20"/>
        <v>2.9207521168831314</v>
      </c>
      <c r="I52" s="301">
        <f t="shared" si="29"/>
        <v>0</v>
      </c>
      <c r="J52" s="302">
        <f t="shared" si="30"/>
        <v>165.77142685714341</v>
      </c>
      <c r="K52" s="301">
        <f t="shared" si="31"/>
        <v>36</v>
      </c>
      <c r="L52" s="301">
        <f t="shared" si="32"/>
        <v>3.9285714285714488</v>
      </c>
      <c r="M52" s="301">
        <f t="shared" si="21"/>
        <v>0.2410714285714311</v>
      </c>
      <c r="N52" s="301">
        <f t="shared" si="33"/>
        <v>0</v>
      </c>
      <c r="O52" s="302">
        <f t="shared" si="34"/>
        <v>121.21655844155887</v>
      </c>
      <c r="P52" s="303">
        <f t="shared" si="35"/>
        <v>36</v>
      </c>
      <c r="Q52" s="301">
        <f t="shared" si="36"/>
        <v>23.500000000000011</v>
      </c>
      <c r="R52" s="301">
        <f t="shared" si="22"/>
        <v>1.4420454545454631</v>
      </c>
      <c r="S52" s="301">
        <f t="shared" si="37"/>
        <v>0</v>
      </c>
      <c r="T52" s="301">
        <f t="shared" si="38"/>
        <v>159.56590909090949</v>
      </c>
    </row>
    <row r="53" spans="1:20" x14ac:dyDescent="0.2">
      <c r="A53" s="283">
        <f t="shared" si="23"/>
        <v>37</v>
      </c>
      <c r="B53" s="298">
        <f t="shared" si="24"/>
        <v>114.64285714285714</v>
      </c>
      <c r="C53" s="298">
        <f t="shared" si="39"/>
        <v>7.4676405974026352</v>
      </c>
      <c r="D53" s="298">
        <f t="shared" si="25"/>
        <v>0</v>
      </c>
      <c r="E53" s="299">
        <f t="shared" si="26"/>
        <v>210.64507223376688</v>
      </c>
      <c r="F53" s="300">
        <f t="shared" si="27"/>
        <v>37</v>
      </c>
      <c r="G53" s="301">
        <f t="shared" si="28"/>
        <v>40.714285714285715</v>
      </c>
      <c r="H53" s="301">
        <f t="shared" si="20"/>
        <v>2.7147456233766367</v>
      </c>
      <c r="I53" s="301">
        <f t="shared" si="29"/>
        <v>0</v>
      </c>
      <c r="J53" s="302">
        <f t="shared" si="30"/>
        <v>168.48617248052005</v>
      </c>
      <c r="K53" s="301">
        <f t="shared" si="31"/>
        <v>37</v>
      </c>
      <c r="L53" s="301">
        <f t="shared" si="32"/>
        <v>61</v>
      </c>
      <c r="M53" s="301">
        <f t="shared" si="21"/>
        <v>3.743181818181839</v>
      </c>
      <c r="N53" s="301">
        <f t="shared" si="33"/>
        <v>49.5</v>
      </c>
      <c r="O53" s="302">
        <f t="shared" si="34"/>
        <v>174.45974025974073</v>
      </c>
      <c r="P53" s="303">
        <f t="shared" si="35"/>
        <v>37</v>
      </c>
      <c r="Q53" s="301">
        <f t="shared" si="36"/>
        <v>20.142857142857153</v>
      </c>
      <c r="R53" s="301">
        <f t="shared" si="22"/>
        <v>1.2360389610389684</v>
      </c>
      <c r="S53" s="301">
        <f t="shared" si="37"/>
        <v>0</v>
      </c>
      <c r="T53" s="301">
        <f t="shared" si="38"/>
        <v>160.80194805194844</v>
      </c>
    </row>
    <row r="54" spans="1:20" x14ac:dyDescent="0.2">
      <c r="A54" s="283">
        <f t="shared" si="23"/>
        <v>38</v>
      </c>
      <c r="B54" s="298">
        <f t="shared" si="24"/>
        <v>111.28571428571428</v>
      </c>
      <c r="C54" s="298">
        <f t="shared" si="39"/>
        <v>7.2616341038961405</v>
      </c>
      <c r="D54" s="298">
        <f t="shared" si="25"/>
        <v>0</v>
      </c>
      <c r="E54" s="299">
        <f t="shared" si="26"/>
        <v>217.90670633766302</v>
      </c>
      <c r="F54" s="300">
        <f t="shared" si="27"/>
        <v>38</v>
      </c>
      <c r="G54" s="301">
        <f t="shared" si="28"/>
        <v>37.357142857142861</v>
      </c>
      <c r="H54" s="301">
        <f t="shared" si="20"/>
        <v>2.5087391298701425</v>
      </c>
      <c r="I54" s="301">
        <f t="shared" si="29"/>
        <v>0</v>
      </c>
      <c r="J54" s="302">
        <f t="shared" si="30"/>
        <v>170.9949116103902</v>
      </c>
      <c r="K54" s="301">
        <f t="shared" si="31"/>
        <v>38</v>
      </c>
      <c r="L54" s="301">
        <f t="shared" si="32"/>
        <v>57.642857142857146</v>
      </c>
      <c r="M54" s="301">
        <f t="shared" si="21"/>
        <v>3.5371753246753439</v>
      </c>
      <c r="N54" s="301">
        <f t="shared" si="33"/>
        <v>0</v>
      </c>
      <c r="O54" s="302">
        <f t="shared" si="34"/>
        <v>177.99691558441606</v>
      </c>
      <c r="P54" s="303">
        <f t="shared" si="35"/>
        <v>38</v>
      </c>
      <c r="Q54" s="301">
        <f t="shared" si="36"/>
        <v>16.785714285714295</v>
      </c>
      <c r="R54" s="301">
        <f t="shared" si="22"/>
        <v>1.0300324675324737</v>
      </c>
      <c r="S54" s="301">
        <f t="shared" si="37"/>
        <v>0</v>
      </c>
      <c r="T54" s="301">
        <f t="shared" si="38"/>
        <v>161.83198051948091</v>
      </c>
    </row>
    <row r="55" spans="1:20" x14ac:dyDescent="0.2">
      <c r="A55" s="283">
        <f t="shared" si="23"/>
        <v>39</v>
      </c>
      <c r="B55" s="298">
        <f t="shared" si="24"/>
        <v>107.92857142857142</v>
      </c>
      <c r="C55" s="298">
        <f t="shared" si="39"/>
        <v>7.0556276103896449</v>
      </c>
      <c r="D55" s="298">
        <f t="shared" si="25"/>
        <v>0</v>
      </c>
      <c r="E55" s="299">
        <f t="shared" si="26"/>
        <v>224.96233394805267</v>
      </c>
      <c r="F55" s="300">
        <f t="shared" si="27"/>
        <v>39</v>
      </c>
      <c r="G55" s="301">
        <f t="shared" si="28"/>
        <v>34.000000000000007</v>
      </c>
      <c r="H55" s="301">
        <f t="shared" si="20"/>
        <v>2.3027326363636482</v>
      </c>
      <c r="I55" s="301">
        <f t="shared" si="29"/>
        <v>0</v>
      </c>
      <c r="J55" s="302">
        <f t="shared" si="30"/>
        <v>173.29764424675386</v>
      </c>
      <c r="K55" s="301">
        <f t="shared" si="31"/>
        <v>39</v>
      </c>
      <c r="L55" s="301">
        <f t="shared" si="32"/>
        <v>54.285714285714292</v>
      </c>
      <c r="M55" s="301">
        <f t="shared" si="21"/>
        <v>3.3311688311688501</v>
      </c>
      <c r="N55" s="301">
        <f t="shared" si="33"/>
        <v>0</v>
      </c>
      <c r="O55" s="302">
        <f t="shared" si="34"/>
        <v>181.3280844155849</v>
      </c>
      <c r="P55" s="303">
        <f t="shared" si="35"/>
        <v>39</v>
      </c>
      <c r="Q55" s="301">
        <f t="shared" si="36"/>
        <v>13.428571428571438</v>
      </c>
      <c r="R55" s="301">
        <f t="shared" si="22"/>
        <v>0.8240259740259791</v>
      </c>
      <c r="S55" s="301">
        <f t="shared" si="37"/>
        <v>0</v>
      </c>
      <c r="T55" s="301">
        <f t="shared" si="38"/>
        <v>162.65600649350688</v>
      </c>
    </row>
    <row r="56" spans="1:20" x14ac:dyDescent="0.2">
      <c r="A56" s="283">
        <f t="shared" si="23"/>
        <v>40</v>
      </c>
      <c r="B56" s="298">
        <f t="shared" si="24"/>
        <v>104.57142857142856</v>
      </c>
      <c r="C56" s="298">
        <f t="shared" si="39"/>
        <v>6.8496211168831511</v>
      </c>
      <c r="D56" s="298">
        <f t="shared" si="25"/>
        <v>0</v>
      </c>
      <c r="E56" s="299">
        <f t="shared" si="26"/>
        <v>231.81195506493583</v>
      </c>
      <c r="F56" s="300">
        <f t="shared" si="27"/>
        <v>40</v>
      </c>
      <c r="G56" s="301">
        <f t="shared" si="28"/>
        <v>30.642857142857149</v>
      </c>
      <c r="H56" s="301">
        <f t="shared" si="20"/>
        <v>2.0967261428571535</v>
      </c>
      <c r="I56" s="301">
        <f t="shared" si="29"/>
        <v>0</v>
      </c>
      <c r="J56" s="302">
        <f t="shared" si="30"/>
        <v>175.39437038961103</v>
      </c>
      <c r="K56" s="301">
        <f t="shared" si="31"/>
        <v>40</v>
      </c>
      <c r="L56" s="301">
        <f t="shared" si="32"/>
        <v>50.928571428571438</v>
      </c>
      <c r="M56" s="301">
        <f t="shared" si="21"/>
        <v>3.1251623376623554</v>
      </c>
      <c r="N56" s="301">
        <f t="shared" si="33"/>
        <v>0</v>
      </c>
      <c r="O56" s="302">
        <f t="shared" si="34"/>
        <v>184.45324675324724</v>
      </c>
      <c r="P56" s="303">
        <f t="shared" si="35"/>
        <v>40</v>
      </c>
      <c r="Q56" s="301">
        <f t="shared" si="36"/>
        <v>10.07142857142858</v>
      </c>
      <c r="R56" s="301">
        <f t="shared" si="22"/>
        <v>0.61801948051948441</v>
      </c>
      <c r="S56" s="301">
        <f t="shared" si="37"/>
        <v>0</v>
      </c>
      <c r="T56" s="301">
        <f t="shared" si="38"/>
        <v>163.27402597402636</v>
      </c>
    </row>
    <row r="57" spans="1:20" x14ac:dyDescent="0.2">
      <c r="A57" s="283">
        <f t="shared" si="23"/>
        <v>41</v>
      </c>
      <c r="B57" s="298">
        <f t="shared" si="24"/>
        <v>101.21428571428569</v>
      </c>
      <c r="C57" s="298">
        <f t="shared" si="39"/>
        <v>6.6436146233766555</v>
      </c>
      <c r="D57" s="298">
        <f t="shared" si="25"/>
        <v>0</v>
      </c>
      <c r="E57" s="299">
        <f t="shared" si="26"/>
        <v>238.45556968831249</v>
      </c>
      <c r="F57" s="300">
        <f t="shared" si="27"/>
        <v>41</v>
      </c>
      <c r="G57" s="301">
        <f t="shared" si="28"/>
        <v>27.285714285714292</v>
      </c>
      <c r="H57" s="301">
        <f t="shared" si="20"/>
        <v>1.8907196493506588</v>
      </c>
      <c r="I57" s="301">
        <f t="shared" si="29"/>
        <v>0</v>
      </c>
      <c r="J57" s="302">
        <f t="shared" si="30"/>
        <v>177.2850900389617</v>
      </c>
      <c r="K57" s="301">
        <f t="shared" si="31"/>
        <v>41</v>
      </c>
      <c r="L57" s="301">
        <f t="shared" si="32"/>
        <v>47.571428571428584</v>
      </c>
      <c r="M57" s="301">
        <f t="shared" si="21"/>
        <v>2.9191558441558607</v>
      </c>
      <c r="N57" s="301">
        <f t="shared" si="33"/>
        <v>0</v>
      </c>
      <c r="O57" s="302">
        <f t="shared" si="34"/>
        <v>187.3724025974031</v>
      </c>
      <c r="P57" s="303">
        <f t="shared" si="35"/>
        <v>41</v>
      </c>
      <c r="Q57" s="301">
        <f t="shared" si="36"/>
        <v>6.7142857142857224</v>
      </c>
      <c r="R57" s="301">
        <f t="shared" si="22"/>
        <v>0.41201298701298972</v>
      </c>
      <c r="S57" s="301">
        <f t="shared" si="37"/>
        <v>0</v>
      </c>
      <c r="T57" s="301">
        <f t="shared" si="38"/>
        <v>163.68603896103934</v>
      </c>
    </row>
    <row r="58" spans="1:20" x14ac:dyDescent="0.2">
      <c r="A58" s="283">
        <f t="shared" si="23"/>
        <v>42</v>
      </c>
      <c r="B58" s="298">
        <f t="shared" si="24"/>
        <v>97.857142857142833</v>
      </c>
      <c r="C58" s="298">
        <f t="shared" si="39"/>
        <v>6.4376081298701608</v>
      </c>
      <c r="D58" s="298">
        <f t="shared" si="25"/>
        <v>0</v>
      </c>
      <c r="E58" s="299">
        <f t="shared" si="26"/>
        <v>244.89317781818266</v>
      </c>
      <c r="F58" s="300">
        <f t="shared" si="27"/>
        <v>42</v>
      </c>
      <c r="G58" s="301">
        <f t="shared" si="28"/>
        <v>23.928571428571434</v>
      </c>
      <c r="H58" s="301">
        <f t="shared" si="20"/>
        <v>1.6847131558441641</v>
      </c>
      <c r="I58" s="301">
        <f t="shared" si="29"/>
        <v>0</v>
      </c>
      <c r="J58" s="302">
        <f t="shared" si="30"/>
        <v>178.96980319480585</v>
      </c>
      <c r="K58" s="301">
        <f t="shared" si="31"/>
        <v>42</v>
      </c>
      <c r="L58" s="301">
        <f t="shared" si="32"/>
        <v>44.21428571428573</v>
      </c>
      <c r="M58" s="301">
        <f t="shared" si="21"/>
        <v>2.7131493506493665</v>
      </c>
      <c r="N58" s="301">
        <f t="shared" si="33"/>
        <v>0</v>
      </c>
      <c r="O58" s="302">
        <f t="shared" si="34"/>
        <v>190.08555194805245</v>
      </c>
      <c r="P58" s="303">
        <f t="shared" si="35"/>
        <v>42</v>
      </c>
      <c r="Q58" s="301">
        <f t="shared" si="36"/>
        <v>3.3571428571428652</v>
      </c>
      <c r="R58" s="301">
        <f t="shared" si="22"/>
        <v>0.20600649350649514</v>
      </c>
      <c r="S58" s="301">
        <f t="shared" si="37"/>
        <v>0</v>
      </c>
      <c r="T58" s="301">
        <f t="shared" si="38"/>
        <v>163.89204545454584</v>
      </c>
    </row>
    <row r="59" spans="1:20" x14ac:dyDescent="0.2">
      <c r="A59" s="283">
        <f t="shared" si="23"/>
        <v>43</v>
      </c>
      <c r="B59" s="298">
        <f t="shared" si="24"/>
        <v>94.499999999999972</v>
      </c>
      <c r="C59" s="298">
        <f t="shared" si="39"/>
        <v>6.2316016363636662</v>
      </c>
      <c r="D59" s="298">
        <f t="shared" si="25"/>
        <v>0</v>
      </c>
      <c r="E59" s="299">
        <f t="shared" si="26"/>
        <v>251.12477945454634</v>
      </c>
      <c r="F59" s="300">
        <f t="shared" si="27"/>
        <v>43</v>
      </c>
      <c r="G59" s="301">
        <f t="shared" si="28"/>
        <v>20.571428571428577</v>
      </c>
      <c r="H59" s="301">
        <f t="shared" si="20"/>
        <v>1.4787066623376697</v>
      </c>
      <c r="I59" s="301">
        <f t="shared" si="29"/>
        <v>0</v>
      </c>
      <c r="J59" s="302">
        <f t="shared" si="30"/>
        <v>180.44850985714351</v>
      </c>
      <c r="K59" s="301">
        <f t="shared" si="31"/>
        <v>43</v>
      </c>
      <c r="L59" s="301">
        <f t="shared" si="32"/>
        <v>40.857142857142875</v>
      </c>
      <c r="M59" s="301">
        <f t="shared" si="21"/>
        <v>2.5071428571428722</v>
      </c>
      <c r="N59" s="301">
        <f t="shared" si="33"/>
        <v>0</v>
      </c>
      <c r="O59" s="302">
        <f t="shared" si="34"/>
        <v>192.59269480519532</v>
      </c>
      <c r="P59" s="303">
        <f t="shared" si="35"/>
        <v>43</v>
      </c>
      <c r="Q59" s="301">
        <f t="shared" si="36"/>
        <v>47</v>
      </c>
      <c r="R59" s="301">
        <f t="shared" si="22"/>
        <v>2.8840909090909248</v>
      </c>
      <c r="S59" s="301">
        <f t="shared" si="37"/>
        <v>49.5</v>
      </c>
      <c r="T59" s="301">
        <f t="shared" si="38"/>
        <v>216.27613636363677</v>
      </c>
    </row>
    <row r="60" spans="1:20" x14ac:dyDescent="0.2">
      <c r="A60" s="283">
        <f t="shared" si="23"/>
        <v>44</v>
      </c>
      <c r="B60" s="298">
        <f t="shared" si="24"/>
        <v>91.14285714285711</v>
      </c>
      <c r="C60" s="298">
        <f t="shared" si="39"/>
        <v>6.0255951428571706</v>
      </c>
      <c r="D60" s="298">
        <f t="shared" si="25"/>
        <v>0</v>
      </c>
      <c r="E60" s="299">
        <f t="shared" si="26"/>
        <v>257.15037459740353</v>
      </c>
      <c r="F60" s="300">
        <f t="shared" si="27"/>
        <v>44</v>
      </c>
      <c r="G60" s="301">
        <f t="shared" si="28"/>
        <v>17.214285714285719</v>
      </c>
      <c r="H60" s="301">
        <f t="shared" si="20"/>
        <v>1.272700168831175</v>
      </c>
      <c r="I60" s="301">
        <f t="shared" si="29"/>
        <v>0</v>
      </c>
      <c r="J60" s="302">
        <f t="shared" si="30"/>
        <v>181.72121002597467</v>
      </c>
      <c r="K60" s="301">
        <f t="shared" si="31"/>
        <v>44</v>
      </c>
      <c r="L60" s="301">
        <f t="shared" si="32"/>
        <v>37.500000000000021</v>
      </c>
      <c r="M60" s="301">
        <f t="shared" si="21"/>
        <v>2.3011363636363775</v>
      </c>
      <c r="N60" s="301">
        <f t="shared" si="33"/>
        <v>0</v>
      </c>
      <c r="O60" s="302">
        <f t="shared" si="34"/>
        <v>194.8938311688317</v>
      </c>
      <c r="P60" s="303">
        <f t="shared" si="35"/>
        <v>44</v>
      </c>
      <c r="Q60" s="301">
        <f t="shared" si="36"/>
        <v>43.642857142857146</v>
      </c>
      <c r="R60" s="301">
        <f t="shared" si="22"/>
        <v>2.6780844155844301</v>
      </c>
      <c r="S60" s="301">
        <f t="shared" si="37"/>
        <v>0</v>
      </c>
      <c r="T60" s="301">
        <f t="shared" si="38"/>
        <v>218.9542207792212</v>
      </c>
    </row>
    <row r="61" spans="1:20" x14ac:dyDescent="0.2">
      <c r="A61" s="283">
        <f t="shared" si="23"/>
        <v>45</v>
      </c>
      <c r="B61" s="298">
        <f t="shared" si="24"/>
        <v>87.785714285714249</v>
      </c>
      <c r="C61" s="298">
        <f t="shared" si="39"/>
        <v>5.8195886493506768</v>
      </c>
      <c r="D61" s="298">
        <f t="shared" si="25"/>
        <v>0</v>
      </c>
      <c r="E61" s="299">
        <f t="shared" si="26"/>
        <v>262.96996324675422</v>
      </c>
      <c r="F61" s="300">
        <f t="shared" si="27"/>
        <v>45</v>
      </c>
      <c r="G61" s="301">
        <f t="shared" si="28"/>
        <v>13.857142857142861</v>
      </c>
      <c r="H61" s="301">
        <f t="shared" si="20"/>
        <v>1.0666936753246803</v>
      </c>
      <c r="I61" s="301">
        <f t="shared" si="29"/>
        <v>0</v>
      </c>
      <c r="J61" s="302">
        <f t="shared" si="30"/>
        <v>182.78790370129934</v>
      </c>
      <c r="K61" s="301">
        <f t="shared" si="31"/>
        <v>45</v>
      </c>
      <c r="L61" s="301">
        <f t="shared" si="32"/>
        <v>34.142857142857167</v>
      </c>
      <c r="M61" s="301">
        <f t="shared" si="21"/>
        <v>2.0951298701298833</v>
      </c>
      <c r="N61" s="301">
        <f t="shared" si="33"/>
        <v>0</v>
      </c>
      <c r="O61" s="302">
        <f t="shared" si="34"/>
        <v>196.98896103896158</v>
      </c>
      <c r="P61" s="303">
        <f t="shared" si="35"/>
        <v>45</v>
      </c>
      <c r="Q61" s="301">
        <f t="shared" si="36"/>
        <v>40.285714285714292</v>
      </c>
      <c r="R61" s="301">
        <f t="shared" si="22"/>
        <v>2.4720779220779363</v>
      </c>
      <c r="S61" s="301">
        <f t="shared" si="37"/>
        <v>0</v>
      </c>
      <c r="T61" s="301">
        <f t="shared" si="38"/>
        <v>221.42629870129915</v>
      </c>
    </row>
    <row r="62" spans="1:20" x14ac:dyDescent="0.2">
      <c r="A62" s="283">
        <f t="shared" si="23"/>
        <v>46</v>
      </c>
      <c r="B62" s="298">
        <f t="shared" si="24"/>
        <v>84.428571428571388</v>
      </c>
      <c r="C62" s="298">
        <f t="shared" si="39"/>
        <v>5.6135821558441812</v>
      </c>
      <c r="D62" s="298">
        <f t="shared" si="25"/>
        <v>0</v>
      </c>
      <c r="E62" s="299">
        <f t="shared" si="26"/>
        <v>268.58354540259842</v>
      </c>
      <c r="F62" s="300">
        <f t="shared" si="27"/>
        <v>46</v>
      </c>
      <c r="G62" s="301">
        <f t="shared" si="28"/>
        <v>10.500000000000004</v>
      </c>
      <c r="H62" s="301">
        <f t="shared" si="20"/>
        <v>0.8606871818181856</v>
      </c>
      <c r="I62" s="301">
        <f t="shared" si="29"/>
        <v>0</v>
      </c>
      <c r="J62" s="302">
        <f t="shared" si="30"/>
        <v>183.64859088311752</v>
      </c>
      <c r="K62" s="301">
        <f t="shared" si="31"/>
        <v>46</v>
      </c>
      <c r="L62" s="301">
        <f t="shared" si="32"/>
        <v>30.78571428571431</v>
      </c>
      <c r="M62" s="301">
        <f t="shared" si="21"/>
        <v>1.8891233766233886</v>
      </c>
      <c r="N62" s="301">
        <f t="shared" si="33"/>
        <v>0</v>
      </c>
      <c r="O62" s="302">
        <f t="shared" si="34"/>
        <v>198.87808441558496</v>
      </c>
      <c r="P62" s="303">
        <f t="shared" si="35"/>
        <v>46</v>
      </c>
      <c r="Q62" s="301">
        <f t="shared" si="36"/>
        <v>36.928571428571438</v>
      </c>
      <c r="R62" s="301">
        <f t="shared" si="22"/>
        <v>2.2660714285714416</v>
      </c>
      <c r="S62" s="301">
        <f t="shared" si="37"/>
        <v>0</v>
      </c>
      <c r="T62" s="301">
        <f t="shared" si="38"/>
        <v>223.6923701298706</v>
      </c>
    </row>
    <row r="63" spans="1:20" x14ac:dyDescent="0.2">
      <c r="A63" s="283">
        <f t="shared" si="23"/>
        <v>47</v>
      </c>
      <c r="B63" s="298">
        <f t="shared" si="24"/>
        <v>81.071428571428527</v>
      </c>
      <c r="C63" s="298">
        <f t="shared" si="39"/>
        <v>5.4075756623376865</v>
      </c>
      <c r="D63" s="298">
        <f t="shared" si="25"/>
        <v>0</v>
      </c>
      <c r="E63" s="299">
        <f t="shared" si="26"/>
        <v>273.99112106493612</v>
      </c>
      <c r="F63" s="300">
        <f t="shared" si="27"/>
        <v>47</v>
      </c>
      <c r="G63" s="301">
        <f t="shared" si="28"/>
        <v>7.1428571428571459</v>
      </c>
      <c r="H63" s="301">
        <f t="shared" si="20"/>
        <v>0.65468068831169091</v>
      </c>
      <c r="I63" s="301">
        <f t="shared" si="29"/>
        <v>0</v>
      </c>
      <c r="J63" s="302">
        <f t="shared" si="30"/>
        <v>184.30327157142921</v>
      </c>
      <c r="K63" s="301">
        <f t="shared" si="31"/>
        <v>47</v>
      </c>
      <c r="L63" s="301">
        <f t="shared" si="32"/>
        <v>27.428571428571452</v>
      </c>
      <c r="M63" s="301">
        <f t="shared" si="21"/>
        <v>1.6831168831168939</v>
      </c>
      <c r="N63" s="301">
        <f t="shared" si="33"/>
        <v>0</v>
      </c>
      <c r="O63" s="302">
        <f t="shared" si="34"/>
        <v>200.56120129870186</v>
      </c>
      <c r="P63" s="303">
        <f t="shared" si="35"/>
        <v>47</v>
      </c>
      <c r="Q63" s="301">
        <f t="shared" si="36"/>
        <v>33.571428571428584</v>
      </c>
      <c r="R63" s="301">
        <f t="shared" si="22"/>
        <v>2.0600649350649469</v>
      </c>
      <c r="S63" s="301">
        <f t="shared" si="37"/>
        <v>0</v>
      </c>
      <c r="T63" s="301">
        <f t="shared" si="38"/>
        <v>225.75243506493555</v>
      </c>
    </row>
    <row r="64" spans="1:20" x14ac:dyDescent="0.2">
      <c r="A64" s="283">
        <f t="shared" si="23"/>
        <v>48</v>
      </c>
      <c r="B64" s="298">
        <f t="shared" si="24"/>
        <v>77.714285714285666</v>
      </c>
      <c r="C64" s="298">
        <f t="shared" si="39"/>
        <v>5.2015691688311918</v>
      </c>
      <c r="D64" s="298">
        <f t="shared" si="25"/>
        <v>0</v>
      </c>
      <c r="E64" s="299">
        <f t="shared" si="26"/>
        <v>279.19269023376734</v>
      </c>
      <c r="F64" s="300">
        <f t="shared" si="27"/>
        <v>48</v>
      </c>
      <c r="G64" s="301">
        <f t="shared" si="28"/>
        <v>3.7857142857142887</v>
      </c>
      <c r="H64" s="301">
        <f t="shared" si="20"/>
        <v>0.44867419480519632</v>
      </c>
      <c r="I64" s="301">
        <f t="shared" si="29"/>
        <v>0</v>
      </c>
      <c r="J64" s="302">
        <f t="shared" si="30"/>
        <v>184.7519457662344</v>
      </c>
      <c r="K64" s="301">
        <f t="shared" si="31"/>
        <v>48</v>
      </c>
      <c r="L64" s="301">
        <f t="shared" si="32"/>
        <v>24.071428571428594</v>
      </c>
      <c r="M64" s="301">
        <f t="shared" si="21"/>
        <v>1.477110389610399</v>
      </c>
      <c r="N64" s="301">
        <f t="shared" si="33"/>
        <v>0</v>
      </c>
      <c r="O64" s="302">
        <f t="shared" si="34"/>
        <v>202.03831168831226</v>
      </c>
      <c r="P64" s="303">
        <f t="shared" si="35"/>
        <v>48</v>
      </c>
      <c r="Q64" s="301">
        <f t="shared" si="36"/>
        <v>30.214285714285726</v>
      </c>
      <c r="R64" s="301">
        <f t="shared" si="22"/>
        <v>1.8540584415584525</v>
      </c>
      <c r="S64" s="301">
        <f t="shared" si="37"/>
        <v>0</v>
      </c>
      <c r="T64" s="301">
        <f t="shared" si="38"/>
        <v>227.60649350649402</v>
      </c>
    </row>
    <row r="65" spans="1:20" x14ac:dyDescent="0.2">
      <c r="A65" s="283">
        <f t="shared" si="23"/>
        <v>49</v>
      </c>
      <c r="B65" s="298">
        <f t="shared" si="24"/>
        <v>74.357142857142804</v>
      </c>
      <c r="C65" s="298">
        <f t="shared" si="39"/>
        <v>4.9955626753246962</v>
      </c>
      <c r="D65" s="298">
        <f t="shared" si="25"/>
        <v>0</v>
      </c>
      <c r="E65" s="299">
        <f t="shared" si="26"/>
        <v>284.18825290909206</v>
      </c>
      <c r="F65" s="300">
        <f t="shared" si="27"/>
        <v>49</v>
      </c>
      <c r="G65" s="301">
        <f t="shared" si="28"/>
        <v>74</v>
      </c>
      <c r="H65" s="301">
        <f t="shared" si="20"/>
        <v>4.7572780909091152</v>
      </c>
      <c r="I65" s="301">
        <f t="shared" si="29"/>
        <v>49.5</v>
      </c>
      <c r="J65" s="302">
        <f t="shared" si="30"/>
        <v>239.00922385714352</v>
      </c>
      <c r="K65" s="301">
        <f t="shared" si="31"/>
        <v>49</v>
      </c>
      <c r="L65" s="301">
        <f t="shared" si="32"/>
        <v>20.714285714285737</v>
      </c>
      <c r="M65" s="301">
        <f t="shared" si="21"/>
        <v>1.2711038961039045</v>
      </c>
      <c r="N65" s="301">
        <f t="shared" si="33"/>
        <v>0</v>
      </c>
      <c r="O65" s="302">
        <f t="shared" si="34"/>
        <v>203.30941558441617</v>
      </c>
      <c r="P65" s="303">
        <f t="shared" si="35"/>
        <v>49</v>
      </c>
      <c r="Q65" s="301">
        <f t="shared" si="36"/>
        <v>26.857142857142868</v>
      </c>
      <c r="R65" s="301">
        <f t="shared" si="22"/>
        <v>1.6480519480519578</v>
      </c>
      <c r="S65" s="301">
        <f t="shared" si="37"/>
        <v>0</v>
      </c>
      <c r="T65" s="301">
        <f t="shared" si="38"/>
        <v>229.25454545454599</v>
      </c>
    </row>
    <row r="66" spans="1:20" x14ac:dyDescent="0.2">
      <c r="A66" s="283">
        <f t="shared" si="23"/>
        <v>50</v>
      </c>
      <c r="B66" s="298">
        <f t="shared" si="24"/>
        <v>70.999999999999943</v>
      </c>
      <c r="C66" s="298">
        <f t="shared" si="39"/>
        <v>4.7895561818182024</v>
      </c>
      <c r="D66" s="298">
        <f t="shared" si="25"/>
        <v>0</v>
      </c>
      <c r="E66" s="299">
        <f t="shared" si="26"/>
        <v>288.97780909091028</v>
      </c>
      <c r="F66" s="300">
        <f t="shared" si="27"/>
        <v>50</v>
      </c>
      <c r="G66" s="301">
        <f t="shared" si="28"/>
        <v>70.642857142857139</v>
      </c>
      <c r="H66" s="301">
        <f t="shared" si="20"/>
        <v>4.5512715974026214</v>
      </c>
      <c r="I66" s="301">
        <f t="shared" si="29"/>
        <v>0</v>
      </c>
      <c r="J66" s="302">
        <f t="shared" si="30"/>
        <v>243.56049545454616</v>
      </c>
      <c r="K66" s="301">
        <f t="shared" si="31"/>
        <v>50</v>
      </c>
      <c r="L66" s="301">
        <f t="shared" si="32"/>
        <v>17.357142857142879</v>
      </c>
      <c r="M66" s="301">
        <f t="shared" si="21"/>
        <v>1.0650974025974098</v>
      </c>
      <c r="N66" s="301">
        <f t="shared" si="33"/>
        <v>0</v>
      </c>
      <c r="O66" s="302">
        <f t="shared" si="34"/>
        <v>204.37451298701359</v>
      </c>
      <c r="P66" s="303">
        <f t="shared" si="35"/>
        <v>50</v>
      </c>
      <c r="Q66" s="301">
        <f t="shared" si="36"/>
        <v>23.500000000000011</v>
      </c>
      <c r="R66" s="301">
        <f t="shared" si="22"/>
        <v>1.4420454545454631</v>
      </c>
      <c r="S66" s="301">
        <f t="shared" si="37"/>
        <v>0</v>
      </c>
      <c r="T66" s="301">
        <f t="shared" si="38"/>
        <v>230.69659090909144</v>
      </c>
    </row>
    <row r="67" spans="1:20" x14ac:dyDescent="0.2">
      <c r="A67" s="283">
        <f t="shared" si="23"/>
        <v>51</v>
      </c>
      <c r="B67" s="298">
        <f t="shared" si="24"/>
        <v>67.642857142857082</v>
      </c>
      <c r="C67" s="298">
        <f t="shared" si="39"/>
        <v>4.5835496883117068</v>
      </c>
      <c r="D67" s="298">
        <f t="shared" si="25"/>
        <v>0</v>
      </c>
      <c r="E67" s="299">
        <f t="shared" si="26"/>
        <v>293.56135877922202</v>
      </c>
      <c r="F67" s="300">
        <f t="shared" si="27"/>
        <v>51</v>
      </c>
      <c r="G67" s="301">
        <f t="shared" si="28"/>
        <v>67.285714285714278</v>
      </c>
      <c r="H67" s="301">
        <f t="shared" si="20"/>
        <v>4.3452651038961267</v>
      </c>
      <c r="I67" s="301">
        <f t="shared" si="29"/>
        <v>0</v>
      </c>
      <c r="J67" s="302">
        <f t="shared" si="30"/>
        <v>247.9057605584423</v>
      </c>
      <c r="K67" s="301">
        <f t="shared" si="31"/>
        <v>51</v>
      </c>
      <c r="L67" s="301">
        <f t="shared" si="32"/>
        <v>14.000000000000021</v>
      </c>
      <c r="M67" s="301">
        <f t="shared" si="21"/>
        <v>0.85909090909091512</v>
      </c>
      <c r="N67" s="301">
        <f t="shared" si="33"/>
        <v>0</v>
      </c>
      <c r="O67" s="302">
        <f t="shared" si="34"/>
        <v>205.23360389610451</v>
      </c>
      <c r="P67" s="303">
        <f t="shared" si="35"/>
        <v>51</v>
      </c>
      <c r="Q67" s="301">
        <f t="shared" si="36"/>
        <v>20.142857142857153</v>
      </c>
      <c r="R67" s="301">
        <f t="shared" si="22"/>
        <v>1.2360389610389684</v>
      </c>
      <c r="S67" s="301">
        <f t="shared" si="37"/>
        <v>0</v>
      </c>
      <c r="T67" s="301">
        <f t="shared" si="38"/>
        <v>231.9326298701304</v>
      </c>
    </row>
    <row r="68" spans="1:20" x14ac:dyDescent="0.2">
      <c r="A68" s="283">
        <f t="shared" si="23"/>
        <v>52</v>
      </c>
      <c r="B68" s="298">
        <f t="shared" si="24"/>
        <v>64.285714285714221</v>
      </c>
      <c r="C68" s="298">
        <f t="shared" si="39"/>
        <v>4.3775431948052121</v>
      </c>
      <c r="D68" s="298">
        <f t="shared" si="25"/>
        <v>0</v>
      </c>
      <c r="E68" s="299">
        <f t="shared" si="26"/>
        <v>297.9389019740272</v>
      </c>
      <c r="F68" s="300">
        <f t="shared" si="27"/>
        <v>52</v>
      </c>
      <c r="G68" s="301">
        <f t="shared" si="28"/>
        <v>63.928571428571423</v>
      </c>
      <c r="H68" s="301">
        <f t="shared" si="20"/>
        <v>4.1392586103896321</v>
      </c>
      <c r="I68" s="301">
        <f t="shared" si="29"/>
        <v>0</v>
      </c>
      <c r="J68" s="302">
        <f t="shared" si="30"/>
        <v>252.04501916883191</v>
      </c>
      <c r="K68" s="301">
        <f t="shared" si="31"/>
        <v>52</v>
      </c>
      <c r="L68" s="301">
        <f t="shared" si="32"/>
        <v>10.642857142857164</v>
      </c>
      <c r="M68" s="301">
        <f t="shared" si="21"/>
        <v>0.65308441558442043</v>
      </c>
      <c r="N68" s="301">
        <f t="shared" si="33"/>
        <v>0</v>
      </c>
      <c r="O68" s="302">
        <f t="shared" si="34"/>
        <v>205.88668831168894</v>
      </c>
      <c r="P68" s="303">
        <f t="shared" si="35"/>
        <v>52</v>
      </c>
      <c r="Q68" s="301">
        <f t="shared" si="36"/>
        <v>16.785714285714295</v>
      </c>
      <c r="R68" s="301">
        <f t="shared" si="22"/>
        <v>1.0300324675324737</v>
      </c>
      <c r="S68" s="301">
        <f t="shared" si="37"/>
        <v>0</v>
      </c>
      <c r="T68" s="301">
        <f t="shared" si="38"/>
        <v>232.96266233766286</v>
      </c>
    </row>
    <row r="69" spans="1:20" x14ac:dyDescent="0.2">
      <c r="A69" s="283">
        <f t="shared" si="23"/>
        <v>53</v>
      </c>
      <c r="B69" s="298">
        <f t="shared" si="24"/>
        <v>60.928571428571367</v>
      </c>
      <c r="C69" s="298">
        <f t="shared" si="39"/>
        <v>4.1715367012987175</v>
      </c>
      <c r="D69" s="298">
        <f t="shared" si="25"/>
        <v>0</v>
      </c>
      <c r="E69" s="299">
        <f t="shared" si="26"/>
        <v>302.1104386753259</v>
      </c>
      <c r="F69" s="300">
        <f t="shared" si="27"/>
        <v>53</v>
      </c>
      <c r="G69" s="301">
        <f t="shared" si="28"/>
        <v>60.571428571428569</v>
      </c>
      <c r="H69" s="301">
        <f t="shared" si="20"/>
        <v>3.9332521168831369</v>
      </c>
      <c r="I69" s="301">
        <f t="shared" si="29"/>
        <v>0</v>
      </c>
      <c r="J69" s="302">
        <f t="shared" si="30"/>
        <v>255.97827128571504</v>
      </c>
      <c r="K69" s="301">
        <f t="shared" si="31"/>
        <v>53</v>
      </c>
      <c r="L69" s="301">
        <f t="shared" si="32"/>
        <v>7.285714285714306</v>
      </c>
      <c r="M69" s="301">
        <f t="shared" si="21"/>
        <v>0.44707792207792574</v>
      </c>
      <c r="N69" s="301">
        <f t="shared" si="33"/>
        <v>0</v>
      </c>
      <c r="O69" s="302">
        <f t="shared" si="34"/>
        <v>206.33376623376688</v>
      </c>
      <c r="P69" s="303">
        <f t="shared" si="35"/>
        <v>53</v>
      </c>
      <c r="Q69" s="301">
        <f t="shared" si="36"/>
        <v>13.428571428571438</v>
      </c>
      <c r="R69" s="301">
        <f t="shared" si="22"/>
        <v>0.8240259740259791</v>
      </c>
      <c r="S69" s="301">
        <f t="shared" si="37"/>
        <v>0</v>
      </c>
      <c r="T69" s="301">
        <f t="shared" si="38"/>
        <v>233.78668831168883</v>
      </c>
    </row>
    <row r="70" spans="1:20" x14ac:dyDescent="0.2">
      <c r="A70" s="283">
        <f t="shared" si="23"/>
        <v>54</v>
      </c>
      <c r="B70" s="298">
        <f t="shared" si="24"/>
        <v>57.571428571428513</v>
      </c>
      <c r="C70" s="298">
        <f t="shared" si="39"/>
        <v>3.9655302077922236</v>
      </c>
      <c r="D70" s="298">
        <f t="shared" si="25"/>
        <v>0</v>
      </c>
      <c r="E70" s="299">
        <f t="shared" si="26"/>
        <v>306.07596888311809</v>
      </c>
      <c r="F70" s="300">
        <f t="shared" si="27"/>
        <v>54</v>
      </c>
      <c r="G70" s="301">
        <f t="shared" si="28"/>
        <v>57.214285714285715</v>
      </c>
      <c r="H70" s="301">
        <f t="shared" si="20"/>
        <v>3.7272456233766427</v>
      </c>
      <c r="I70" s="301">
        <f t="shared" si="29"/>
        <v>0</v>
      </c>
      <c r="J70" s="302">
        <f t="shared" si="30"/>
        <v>259.70551690909167</v>
      </c>
      <c r="K70" s="301">
        <f t="shared" si="31"/>
        <v>54</v>
      </c>
      <c r="L70" s="301">
        <f t="shared" si="32"/>
        <v>3.9285714285714488</v>
      </c>
      <c r="M70" s="301">
        <f t="shared" si="21"/>
        <v>0.2410714285714311</v>
      </c>
      <c r="N70" s="301">
        <f t="shared" si="33"/>
        <v>0</v>
      </c>
      <c r="O70" s="302">
        <f t="shared" si="34"/>
        <v>206.57483766233833</v>
      </c>
      <c r="P70" s="303">
        <f t="shared" si="35"/>
        <v>54</v>
      </c>
      <c r="Q70" s="301">
        <f t="shared" si="36"/>
        <v>10.07142857142858</v>
      </c>
      <c r="R70" s="301">
        <f t="shared" si="22"/>
        <v>0.61801948051948441</v>
      </c>
      <c r="S70" s="301">
        <f t="shared" si="37"/>
        <v>0</v>
      </c>
      <c r="T70" s="301">
        <f t="shared" si="38"/>
        <v>234.40470779220831</v>
      </c>
    </row>
    <row r="71" spans="1:20" x14ac:dyDescent="0.2">
      <c r="A71" s="283">
        <f t="shared" si="23"/>
        <v>55</v>
      </c>
      <c r="B71" s="298">
        <f t="shared" si="24"/>
        <v>54.214285714285658</v>
      </c>
      <c r="C71" s="298">
        <f t="shared" si="39"/>
        <v>3.759523714285729</v>
      </c>
      <c r="D71" s="298">
        <f t="shared" si="25"/>
        <v>0</v>
      </c>
      <c r="E71" s="299">
        <f t="shared" si="26"/>
        <v>309.8354925974038</v>
      </c>
      <c r="F71" s="300">
        <f t="shared" si="27"/>
        <v>55</v>
      </c>
      <c r="G71" s="301">
        <f t="shared" si="28"/>
        <v>53.857142857142861</v>
      </c>
      <c r="H71" s="301">
        <f t="shared" si="20"/>
        <v>3.521239129870148</v>
      </c>
      <c r="I71" s="301">
        <f t="shared" si="29"/>
        <v>0</v>
      </c>
      <c r="J71" s="302">
        <f t="shared" si="30"/>
        <v>263.22675603896181</v>
      </c>
      <c r="K71" s="301">
        <f t="shared" si="31"/>
        <v>55</v>
      </c>
      <c r="L71" s="301">
        <f t="shared" si="32"/>
        <v>54</v>
      </c>
      <c r="M71" s="301">
        <f t="shared" si="21"/>
        <v>3.3136363636363817</v>
      </c>
      <c r="N71" s="301">
        <f t="shared" si="33"/>
        <v>49.5</v>
      </c>
      <c r="O71" s="302">
        <f t="shared" si="34"/>
        <v>259.38847402597469</v>
      </c>
      <c r="P71" s="303">
        <f t="shared" si="35"/>
        <v>55</v>
      </c>
      <c r="Q71" s="301">
        <f t="shared" si="36"/>
        <v>6.7142857142857224</v>
      </c>
      <c r="R71" s="301">
        <f t="shared" si="22"/>
        <v>0.41201298701298972</v>
      </c>
      <c r="S71" s="301">
        <f t="shared" si="37"/>
        <v>0</v>
      </c>
      <c r="T71" s="301">
        <f t="shared" si="38"/>
        <v>234.8167207792213</v>
      </c>
    </row>
    <row r="72" spans="1:20" x14ac:dyDescent="0.2">
      <c r="A72" s="283">
        <f t="shared" si="23"/>
        <v>56</v>
      </c>
      <c r="B72" s="298">
        <f t="shared" si="24"/>
        <v>50.857142857142804</v>
      </c>
      <c r="C72" s="298">
        <f t="shared" si="39"/>
        <v>3.5535172207792347</v>
      </c>
      <c r="D72" s="298">
        <f t="shared" si="25"/>
        <v>0</v>
      </c>
      <c r="E72" s="299">
        <f t="shared" si="26"/>
        <v>313.38900981818301</v>
      </c>
      <c r="F72" s="300">
        <f t="shared" si="27"/>
        <v>56</v>
      </c>
      <c r="G72" s="301">
        <f t="shared" si="28"/>
        <v>50.500000000000007</v>
      </c>
      <c r="H72" s="301">
        <f t="shared" si="20"/>
        <v>3.3152326363636533</v>
      </c>
      <c r="I72" s="301">
        <f t="shared" si="29"/>
        <v>0</v>
      </c>
      <c r="J72" s="302">
        <f t="shared" si="30"/>
        <v>266.54198867532546</v>
      </c>
      <c r="K72" s="301">
        <f t="shared" si="31"/>
        <v>56</v>
      </c>
      <c r="L72" s="301">
        <f t="shared" si="32"/>
        <v>50.642857142857146</v>
      </c>
      <c r="M72" s="301">
        <f t="shared" si="21"/>
        <v>3.107629870129887</v>
      </c>
      <c r="N72" s="301">
        <f t="shared" si="33"/>
        <v>0</v>
      </c>
      <c r="O72" s="302">
        <f t="shared" si="34"/>
        <v>262.49610389610456</v>
      </c>
      <c r="P72" s="303">
        <f t="shared" si="35"/>
        <v>56</v>
      </c>
      <c r="Q72" s="301">
        <f t="shared" si="36"/>
        <v>3.3571428571428652</v>
      </c>
      <c r="R72" s="301">
        <f t="shared" si="22"/>
        <v>0.20600649350649514</v>
      </c>
      <c r="S72" s="301">
        <f t="shared" si="37"/>
        <v>0</v>
      </c>
      <c r="T72" s="301">
        <f t="shared" si="38"/>
        <v>235.02272727272779</v>
      </c>
    </row>
    <row r="73" spans="1:20" x14ac:dyDescent="0.2">
      <c r="A73" s="283">
        <f t="shared" si="23"/>
        <v>57</v>
      </c>
      <c r="B73" s="298">
        <f t="shared" si="24"/>
        <v>47.49999999999995</v>
      </c>
      <c r="C73" s="298">
        <f t="shared" si="39"/>
        <v>3.3475107272727405</v>
      </c>
      <c r="D73" s="298">
        <f t="shared" si="25"/>
        <v>0</v>
      </c>
      <c r="E73" s="299">
        <f t="shared" si="26"/>
        <v>316.73652054545573</v>
      </c>
      <c r="F73" s="300">
        <f t="shared" si="27"/>
        <v>57</v>
      </c>
      <c r="G73" s="301">
        <f t="shared" si="28"/>
        <v>47.142857142857153</v>
      </c>
      <c r="H73" s="301">
        <f t="shared" si="20"/>
        <v>3.1092261428571595</v>
      </c>
      <c r="I73" s="301">
        <f t="shared" si="29"/>
        <v>0</v>
      </c>
      <c r="J73" s="302">
        <f t="shared" si="30"/>
        <v>269.65121481818261</v>
      </c>
      <c r="K73" s="301">
        <f t="shared" si="31"/>
        <v>57</v>
      </c>
      <c r="L73" s="301">
        <f t="shared" si="32"/>
        <v>47.285714285714292</v>
      </c>
      <c r="M73" s="301">
        <f t="shared" si="21"/>
        <v>2.9016233766233932</v>
      </c>
      <c r="N73" s="301">
        <f t="shared" si="33"/>
        <v>0</v>
      </c>
      <c r="O73" s="302">
        <f t="shared" si="34"/>
        <v>265.39772727272793</v>
      </c>
      <c r="P73" s="303">
        <f t="shared" si="35"/>
        <v>57</v>
      </c>
      <c r="Q73" s="301">
        <f t="shared" si="36"/>
        <v>47</v>
      </c>
      <c r="R73" s="301">
        <f t="shared" si="22"/>
        <v>2.8840909090909248</v>
      </c>
      <c r="S73" s="301">
        <f t="shared" si="37"/>
        <v>49.5</v>
      </c>
      <c r="T73" s="301">
        <f t="shared" si="38"/>
        <v>287.40681818181872</v>
      </c>
    </row>
    <row r="74" spans="1:20" x14ac:dyDescent="0.2">
      <c r="A74" s="283">
        <f t="shared" si="23"/>
        <v>58</v>
      </c>
      <c r="B74" s="298">
        <f t="shared" si="24"/>
        <v>44.142857142857096</v>
      </c>
      <c r="C74" s="298">
        <f t="shared" si="39"/>
        <v>3.1415042337662458</v>
      </c>
      <c r="D74" s="298">
        <f t="shared" si="25"/>
        <v>0</v>
      </c>
      <c r="E74" s="299">
        <f t="shared" si="26"/>
        <v>319.87802477922196</v>
      </c>
      <c r="F74" s="300">
        <f t="shared" si="27"/>
        <v>58</v>
      </c>
      <c r="G74" s="301">
        <f t="shared" si="28"/>
        <v>43.785714285714299</v>
      </c>
      <c r="H74" s="301">
        <f t="shared" si="20"/>
        <v>2.9032196493506648</v>
      </c>
      <c r="I74" s="301">
        <f t="shared" si="29"/>
        <v>0</v>
      </c>
      <c r="J74" s="302">
        <f t="shared" si="30"/>
        <v>272.55443446753327</v>
      </c>
      <c r="K74" s="301">
        <f t="shared" si="31"/>
        <v>58</v>
      </c>
      <c r="L74" s="301">
        <f t="shared" si="32"/>
        <v>43.928571428571438</v>
      </c>
      <c r="M74" s="301">
        <f t="shared" si="21"/>
        <v>2.6956168831168985</v>
      </c>
      <c r="N74" s="301">
        <f t="shared" si="33"/>
        <v>0</v>
      </c>
      <c r="O74" s="302">
        <f t="shared" si="34"/>
        <v>268.09334415584482</v>
      </c>
      <c r="P74" s="303">
        <f t="shared" si="35"/>
        <v>58</v>
      </c>
      <c r="Q74" s="301">
        <f t="shared" si="36"/>
        <v>43.642857142857146</v>
      </c>
      <c r="R74" s="301">
        <f t="shared" si="22"/>
        <v>2.6780844155844301</v>
      </c>
      <c r="S74" s="301">
        <f t="shared" si="37"/>
        <v>0</v>
      </c>
      <c r="T74" s="301">
        <f t="shared" si="38"/>
        <v>290.08490259740313</v>
      </c>
    </row>
    <row r="75" spans="1:20" x14ac:dyDescent="0.2">
      <c r="A75" s="283">
        <f t="shared" si="23"/>
        <v>59</v>
      </c>
      <c r="B75" s="298">
        <f t="shared" si="24"/>
        <v>40.785714285714242</v>
      </c>
      <c r="C75" s="298">
        <f t="shared" si="39"/>
        <v>2.9354977402597511</v>
      </c>
      <c r="D75" s="298">
        <f t="shared" si="25"/>
        <v>0</v>
      </c>
      <c r="E75" s="299">
        <f t="shared" si="26"/>
        <v>322.81352251948169</v>
      </c>
      <c r="F75" s="300">
        <f t="shared" si="27"/>
        <v>59</v>
      </c>
      <c r="G75" s="301">
        <f t="shared" si="28"/>
        <v>40.428571428571445</v>
      </c>
      <c r="H75" s="301">
        <f t="shared" si="20"/>
        <v>2.6972131558441701</v>
      </c>
      <c r="I75" s="301">
        <f t="shared" si="29"/>
        <v>0</v>
      </c>
      <c r="J75" s="302">
        <f t="shared" si="30"/>
        <v>275.25164762337744</v>
      </c>
      <c r="K75" s="301">
        <f t="shared" si="31"/>
        <v>59</v>
      </c>
      <c r="L75" s="301">
        <f t="shared" si="32"/>
        <v>40.571428571428584</v>
      </c>
      <c r="M75" s="301">
        <f t="shared" si="21"/>
        <v>2.4896103896104038</v>
      </c>
      <c r="N75" s="301">
        <f t="shared" si="33"/>
        <v>0</v>
      </c>
      <c r="O75" s="302">
        <f t="shared" si="34"/>
        <v>270.58295454545521</v>
      </c>
      <c r="P75" s="303">
        <f t="shared" si="35"/>
        <v>59</v>
      </c>
      <c r="Q75" s="301">
        <f t="shared" si="36"/>
        <v>40.285714285714292</v>
      </c>
      <c r="R75" s="301">
        <f t="shared" si="22"/>
        <v>2.4720779220779363</v>
      </c>
      <c r="S75" s="301">
        <f t="shared" si="37"/>
        <v>0</v>
      </c>
      <c r="T75" s="301">
        <f t="shared" si="38"/>
        <v>292.55698051948104</v>
      </c>
    </row>
    <row r="76" spans="1:20" x14ac:dyDescent="0.2">
      <c r="A76" s="283">
        <f t="shared" si="23"/>
        <v>60</v>
      </c>
      <c r="B76" s="298">
        <f t="shared" si="24"/>
        <v>37.428571428571388</v>
      </c>
      <c r="C76" s="298">
        <f t="shared" si="39"/>
        <v>2.7294912467532573</v>
      </c>
      <c r="D76" s="298">
        <f t="shared" si="25"/>
        <v>0</v>
      </c>
      <c r="E76" s="299">
        <f t="shared" si="26"/>
        <v>325.54301376623494</v>
      </c>
      <c r="F76" s="300">
        <f t="shared" si="27"/>
        <v>60</v>
      </c>
      <c r="G76" s="301">
        <f t="shared" si="28"/>
        <v>37.071428571428591</v>
      </c>
      <c r="H76" s="301">
        <f t="shared" si="20"/>
        <v>2.4912066623376758</v>
      </c>
      <c r="I76" s="301">
        <f t="shared" si="29"/>
        <v>0</v>
      </c>
      <c r="J76" s="302">
        <f t="shared" si="30"/>
        <v>277.74285428571511</v>
      </c>
      <c r="K76" s="301">
        <f t="shared" si="31"/>
        <v>60</v>
      </c>
      <c r="L76" s="301">
        <f t="shared" si="32"/>
        <v>37.21428571428573</v>
      </c>
      <c r="M76" s="301">
        <f t="shared" si="21"/>
        <v>2.2836038961039096</v>
      </c>
      <c r="N76" s="301">
        <f t="shared" si="33"/>
        <v>0</v>
      </c>
      <c r="O76" s="302">
        <f t="shared" si="34"/>
        <v>272.86655844155911</v>
      </c>
      <c r="P76" s="303">
        <f t="shared" si="35"/>
        <v>60</v>
      </c>
      <c r="Q76" s="301">
        <f t="shared" si="36"/>
        <v>36.928571428571438</v>
      </c>
      <c r="R76" s="301">
        <f t="shared" si="22"/>
        <v>2.2660714285714416</v>
      </c>
      <c r="S76" s="301">
        <f t="shared" si="37"/>
        <v>0</v>
      </c>
      <c r="T76" s="301">
        <f t="shared" si="38"/>
        <v>294.82305194805247</v>
      </c>
    </row>
    <row r="77" spans="1:20" x14ac:dyDescent="0.2">
      <c r="A77" s="283">
        <f t="shared" si="23"/>
        <v>61</v>
      </c>
      <c r="B77" s="298">
        <f t="shared" si="24"/>
        <v>34.071428571428534</v>
      </c>
      <c r="C77" s="298">
        <f t="shared" si="39"/>
        <v>2.5234847532467626</v>
      </c>
      <c r="D77" s="298">
        <f t="shared" si="25"/>
        <v>0</v>
      </c>
      <c r="E77" s="299">
        <f t="shared" si="26"/>
        <v>328.06649851948168</v>
      </c>
      <c r="F77" s="300">
        <f t="shared" si="27"/>
        <v>61</v>
      </c>
      <c r="G77" s="301">
        <f t="shared" si="28"/>
        <v>33.714285714285737</v>
      </c>
      <c r="H77" s="301">
        <f t="shared" si="20"/>
        <v>2.2852001688311812</v>
      </c>
      <c r="I77" s="301">
        <f t="shared" si="29"/>
        <v>0</v>
      </c>
      <c r="J77" s="302">
        <f t="shared" si="30"/>
        <v>280.02805445454629</v>
      </c>
      <c r="K77" s="301">
        <f t="shared" si="31"/>
        <v>61</v>
      </c>
      <c r="L77" s="301">
        <f t="shared" si="32"/>
        <v>33.857142857142875</v>
      </c>
      <c r="M77" s="301">
        <f t="shared" si="21"/>
        <v>2.0775974025974153</v>
      </c>
      <c r="N77" s="301">
        <f t="shared" si="33"/>
        <v>0</v>
      </c>
      <c r="O77" s="302">
        <f t="shared" si="34"/>
        <v>274.94415584415651</v>
      </c>
      <c r="P77" s="303">
        <f t="shared" si="35"/>
        <v>61</v>
      </c>
      <c r="Q77" s="301">
        <f t="shared" si="36"/>
        <v>33.571428571428584</v>
      </c>
      <c r="R77" s="301">
        <f t="shared" si="22"/>
        <v>2.0600649350649469</v>
      </c>
      <c r="S77" s="301">
        <f t="shared" si="37"/>
        <v>0</v>
      </c>
      <c r="T77" s="301">
        <f t="shared" si="38"/>
        <v>296.8831168831174</v>
      </c>
    </row>
    <row r="78" spans="1:20" x14ac:dyDescent="0.2">
      <c r="A78" s="283">
        <f t="shared" si="23"/>
        <v>62</v>
      </c>
      <c r="B78" s="298">
        <f t="shared" si="24"/>
        <v>30.714285714285676</v>
      </c>
      <c r="C78" s="298">
        <f t="shared" si="39"/>
        <v>2.3174782597402674</v>
      </c>
      <c r="D78" s="298">
        <f t="shared" si="25"/>
        <v>0</v>
      </c>
      <c r="E78" s="299">
        <f t="shared" si="26"/>
        <v>330.38397677922194</v>
      </c>
      <c r="F78" s="300">
        <f t="shared" si="27"/>
        <v>62</v>
      </c>
      <c r="G78" s="301">
        <f t="shared" si="28"/>
        <v>30.357142857142879</v>
      </c>
      <c r="H78" s="301">
        <f t="shared" si="20"/>
        <v>2.0791936753246869</v>
      </c>
      <c r="I78" s="301">
        <f t="shared" si="29"/>
        <v>0</v>
      </c>
      <c r="J78" s="302">
        <f t="shared" si="30"/>
        <v>282.10724812987098</v>
      </c>
      <c r="K78" s="301">
        <f t="shared" si="31"/>
        <v>62</v>
      </c>
      <c r="L78" s="301">
        <f t="shared" si="32"/>
        <v>30.500000000000018</v>
      </c>
      <c r="M78" s="301">
        <f t="shared" si="21"/>
        <v>1.8715909090909204</v>
      </c>
      <c r="N78" s="301">
        <f t="shared" si="33"/>
        <v>0</v>
      </c>
      <c r="O78" s="302">
        <f t="shared" si="34"/>
        <v>276.81574675324742</v>
      </c>
      <c r="P78" s="303">
        <f t="shared" si="35"/>
        <v>62</v>
      </c>
      <c r="Q78" s="301">
        <f t="shared" si="36"/>
        <v>30.214285714285726</v>
      </c>
      <c r="R78" s="301">
        <f t="shared" si="22"/>
        <v>1.8540584415584525</v>
      </c>
      <c r="S78" s="301">
        <f t="shared" si="37"/>
        <v>0</v>
      </c>
      <c r="T78" s="301">
        <f t="shared" si="38"/>
        <v>298.73717532467583</v>
      </c>
    </row>
    <row r="79" spans="1:20" x14ac:dyDescent="0.2">
      <c r="A79" s="283">
        <f t="shared" si="23"/>
        <v>63</v>
      </c>
      <c r="B79" s="298">
        <f t="shared" si="24"/>
        <v>27.357142857142819</v>
      </c>
      <c r="C79" s="298">
        <f t="shared" si="39"/>
        <v>2.1114717662337728</v>
      </c>
      <c r="D79" s="298">
        <f t="shared" si="25"/>
        <v>0</v>
      </c>
      <c r="E79" s="299">
        <f t="shared" si="26"/>
        <v>332.4954485454557</v>
      </c>
      <c r="F79" s="300">
        <f t="shared" si="27"/>
        <v>63</v>
      </c>
      <c r="G79" s="301">
        <f t="shared" si="28"/>
        <v>27.000000000000021</v>
      </c>
      <c r="H79" s="301">
        <f t="shared" si="20"/>
        <v>1.8731871818181922</v>
      </c>
      <c r="I79" s="301">
        <f t="shared" si="29"/>
        <v>0</v>
      </c>
      <c r="J79" s="302">
        <f t="shared" si="30"/>
        <v>283.98043531168918</v>
      </c>
      <c r="K79" s="301">
        <f t="shared" si="31"/>
        <v>63</v>
      </c>
      <c r="L79" s="301">
        <f t="shared" si="32"/>
        <v>27.14285714285716</v>
      </c>
      <c r="M79" s="301">
        <f t="shared" si="21"/>
        <v>1.6655844155844257</v>
      </c>
      <c r="N79" s="301">
        <f t="shared" si="33"/>
        <v>0</v>
      </c>
      <c r="O79" s="302">
        <f t="shared" si="34"/>
        <v>278.48133116883184</v>
      </c>
      <c r="P79" s="303">
        <f t="shared" si="35"/>
        <v>63</v>
      </c>
      <c r="Q79" s="301">
        <f t="shared" si="36"/>
        <v>26.857142857142868</v>
      </c>
      <c r="R79" s="301">
        <f t="shared" si="22"/>
        <v>1.6480519480519578</v>
      </c>
      <c r="S79" s="301">
        <f t="shared" si="37"/>
        <v>0</v>
      </c>
      <c r="T79" s="301">
        <f t="shared" si="38"/>
        <v>300.38522727272778</v>
      </c>
    </row>
    <row r="80" spans="1:20" x14ac:dyDescent="0.2">
      <c r="A80" s="283">
        <f t="shared" si="23"/>
        <v>64</v>
      </c>
      <c r="B80" s="298">
        <f t="shared" si="24"/>
        <v>23.999999999999961</v>
      </c>
      <c r="C80" s="298">
        <f t="shared" si="39"/>
        <v>1.9054652727272785</v>
      </c>
      <c r="D80" s="298">
        <f t="shared" si="25"/>
        <v>0</v>
      </c>
      <c r="E80" s="299">
        <f t="shared" si="26"/>
        <v>334.40091381818297</v>
      </c>
      <c r="F80" s="300">
        <f t="shared" si="27"/>
        <v>64</v>
      </c>
      <c r="G80" s="301">
        <f t="shared" si="28"/>
        <v>23.642857142857164</v>
      </c>
      <c r="H80" s="301">
        <f t="shared" si="20"/>
        <v>1.6671806883116975</v>
      </c>
      <c r="I80" s="301">
        <f t="shared" si="29"/>
        <v>0</v>
      </c>
      <c r="J80" s="302">
        <f t="shared" si="30"/>
        <v>285.64761600000088</v>
      </c>
      <c r="K80" s="301">
        <f t="shared" si="31"/>
        <v>64</v>
      </c>
      <c r="L80" s="301">
        <f t="shared" si="32"/>
        <v>23.785714285714302</v>
      </c>
      <c r="M80" s="301">
        <f t="shared" si="21"/>
        <v>1.459577922077931</v>
      </c>
      <c r="N80" s="301">
        <f t="shared" si="33"/>
        <v>0</v>
      </c>
      <c r="O80" s="302">
        <f t="shared" si="34"/>
        <v>279.94090909090977</v>
      </c>
      <c r="P80" s="303">
        <f t="shared" si="35"/>
        <v>64</v>
      </c>
      <c r="Q80" s="301">
        <f t="shared" si="36"/>
        <v>23.500000000000011</v>
      </c>
      <c r="R80" s="301">
        <f t="shared" si="22"/>
        <v>1.4420454545454631</v>
      </c>
      <c r="S80" s="301">
        <f t="shared" si="37"/>
        <v>0</v>
      </c>
      <c r="T80" s="301">
        <f t="shared" si="38"/>
        <v>301.82727272727323</v>
      </c>
    </row>
    <row r="81" spans="1:20" x14ac:dyDescent="0.2">
      <c r="A81" s="283">
        <f t="shared" si="23"/>
        <v>65</v>
      </c>
      <c r="B81" s="298">
        <f t="shared" si="24"/>
        <v>20.642857142857103</v>
      </c>
      <c r="C81" s="298">
        <f t="shared" si="39"/>
        <v>1.6994587792207838</v>
      </c>
      <c r="D81" s="298">
        <f t="shared" si="25"/>
        <v>0</v>
      </c>
      <c r="E81" s="299">
        <f t="shared" si="26"/>
        <v>336.10037259740375</v>
      </c>
      <c r="F81" s="300">
        <f t="shared" si="27"/>
        <v>65</v>
      </c>
      <c r="G81" s="301">
        <f t="shared" si="28"/>
        <v>20.285714285714306</v>
      </c>
      <c r="H81" s="301">
        <f t="shared" ref="H81:H96" si="40">IF($A81&lt;&gt;0,$C$7+((G81*$C$5/$C$8))+J$15*$C$6,0)</f>
        <v>1.4611741948052028</v>
      </c>
      <c r="I81" s="301">
        <f t="shared" si="29"/>
        <v>0</v>
      </c>
      <c r="J81" s="302">
        <f t="shared" si="30"/>
        <v>287.10879019480609</v>
      </c>
      <c r="K81" s="301">
        <f t="shared" si="31"/>
        <v>65</v>
      </c>
      <c r="L81" s="301">
        <f t="shared" si="32"/>
        <v>20.428571428571445</v>
      </c>
      <c r="M81" s="301">
        <f t="shared" ref="M81:M96" si="41">IF($A81&lt;&gt;0,$C$7+((L81*$C$5/$C$8))+O$15*$C$6,0)</f>
        <v>1.2535714285714366</v>
      </c>
      <c r="N81" s="301">
        <f t="shared" si="33"/>
        <v>0</v>
      </c>
      <c r="O81" s="302">
        <f t="shared" si="34"/>
        <v>281.1944805194812</v>
      </c>
      <c r="P81" s="303">
        <f t="shared" si="35"/>
        <v>65</v>
      </c>
      <c r="Q81" s="301">
        <f t="shared" si="36"/>
        <v>20.142857142857153</v>
      </c>
      <c r="R81" s="301">
        <f t="shared" ref="R81:R96" si="42">IF($A81&lt;&gt;0,$C$7+((Q81*$C$5/$C$8))+T$15*$C$6,0)</f>
        <v>1.2360389610389684</v>
      </c>
      <c r="S81" s="301">
        <f t="shared" si="37"/>
        <v>0</v>
      </c>
      <c r="T81" s="301">
        <f t="shared" si="38"/>
        <v>303.06331168831218</v>
      </c>
    </row>
    <row r="82" spans="1:20" x14ac:dyDescent="0.2">
      <c r="A82" s="283">
        <f t="shared" ref="A82:A96" si="43">IF(AND(A81&lt;&gt;$C$8,A81&lt;&gt;0),A81+1,0)</f>
        <v>66</v>
      </c>
      <c r="B82" s="298">
        <f t="shared" ref="B82:B96" si="44">IF($A82&lt;&gt;0,IF(B81-$C$11+0.0001&gt;$C$11,B81-$C$11,IF($C$8-$A82&gt;E$14,ROUNDUP(E$14*$C$11,0),ROUNDUP(($C$8-$A81)*$C$11,0))),0)</f>
        <v>17.285714285714246</v>
      </c>
      <c r="C82" s="298">
        <f t="shared" si="39"/>
        <v>1.4934522857142891</v>
      </c>
      <c r="D82" s="298">
        <f t="shared" ref="D82:D96" si="45">IF(AND($A82&lt;&gt;0,B82&gt;B81),$C$10+$C$9,0)</f>
        <v>0</v>
      </c>
      <c r="E82" s="299">
        <f t="shared" ref="E82:E96" si="46">C82+D82+E81</f>
        <v>337.59382488311803</v>
      </c>
      <c r="F82" s="300">
        <f t="shared" ref="F82:F96" si="47">IF(AND(F81&lt;&gt;$C$8,F81&lt;&gt;0),F81+1,0)</f>
        <v>66</v>
      </c>
      <c r="G82" s="301">
        <f t="shared" ref="G82:G96" si="48">IF($A82&lt;&gt;0,IF(G81-$C$11+0.0001&gt;$C$11,G81-$C$11,IF($C$8-$A82&gt;J$14,ROUNDUP(J$14*$C$11,0),ROUNDUP(($C$8-$A81)*$C$11,0))),0)</f>
        <v>16.928571428571448</v>
      </c>
      <c r="H82" s="301">
        <f t="shared" si="40"/>
        <v>1.2551677012987084</v>
      </c>
      <c r="I82" s="301">
        <f t="shared" ref="I82:I96" si="49">IF(AND($A82&lt;&gt;0,G82&gt;G81),$C$10+$C$9,0)</f>
        <v>0</v>
      </c>
      <c r="J82" s="302">
        <f t="shared" ref="J82:J96" si="50">H82+I82+J81</f>
        <v>288.36395789610481</v>
      </c>
      <c r="K82" s="301">
        <f t="shared" ref="K82:K96" si="51">IF(AND(K81&lt;&gt;$C$8,K81&lt;&gt;0),K81+1,0)</f>
        <v>66</v>
      </c>
      <c r="L82" s="301">
        <f t="shared" ref="L82:L96" si="52">IF($A82&lt;&gt;0,IF(L81-$C$11+0.0001&gt;$C$11,L81-$C$11,IF($C$8-$A82&gt;O$14,ROUNDUP(O$14*$C$11,0),ROUNDUP(($C$8-$A81)*$C$11,0))),0)</f>
        <v>17.071428571428587</v>
      </c>
      <c r="M82" s="301">
        <f t="shared" si="41"/>
        <v>1.0475649350649416</v>
      </c>
      <c r="N82" s="301">
        <f t="shared" ref="N82:N96" si="53">IF(AND($A82&lt;&gt;0,L82&gt;L81),$C$10+$C$9,0)</f>
        <v>0</v>
      </c>
      <c r="O82" s="302">
        <f t="shared" ref="O82:O96" si="54">M82+N82+O81</f>
        <v>282.24204545454614</v>
      </c>
      <c r="P82" s="303">
        <f t="shared" ref="P82:P96" si="55">IF(AND(P81&lt;&gt;$C$8,P81&lt;&gt;0),P81+1,0)</f>
        <v>66</v>
      </c>
      <c r="Q82" s="301">
        <f t="shared" ref="Q82:Q96" si="56">IF($A82&lt;&gt;0,IF(Q81-$C$11+0.0001&gt;$C$11,Q81-$C$11,IF($C$8-$A82&gt;T$14,ROUNDUP(T$14*$C$11,0),ROUNDUP(($C$8-$A81)*$C$11,0))),0)</f>
        <v>16.785714285714295</v>
      </c>
      <c r="R82" s="301">
        <f t="shared" si="42"/>
        <v>1.0300324675324737</v>
      </c>
      <c r="S82" s="301">
        <f t="shared" ref="S82:S96" si="57">IF(AND($A82&lt;&gt;0,Q82&gt;Q81),$C$10+$C$9,0)</f>
        <v>0</v>
      </c>
      <c r="T82" s="301">
        <f t="shared" ref="T82:T96" si="58">R82+S82+T81</f>
        <v>304.09334415584465</v>
      </c>
    </row>
    <row r="83" spans="1:20" x14ac:dyDescent="0.2">
      <c r="A83" s="283">
        <f t="shared" si="43"/>
        <v>67</v>
      </c>
      <c r="B83" s="298">
        <f t="shared" si="44"/>
        <v>13.928571428571388</v>
      </c>
      <c r="C83" s="298">
        <f t="shared" ref="C83:C96" si="59">IF(A83&lt;&gt;0,$C$7+((B83*$C$5/$C$8))+E$15*$C$6,0)</f>
        <v>1.2874457922077944</v>
      </c>
      <c r="D83" s="298">
        <f t="shared" si="45"/>
        <v>0</v>
      </c>
      <c r="E83" s="299">
        <f t="shared" si="46"/>
        <v>338.88127067532582</v>
      </c>
      <c r="F83" s="300">
        <f t="shared" si="47"/>
        <v>67</v>
      </c>
      <c r="G83" s="301">
        <f t="shared" si="48"/>
        <v>13.571428571428591</v>
      </c>
      <c r="H83" s="301">
        <f t="shared" si="40"/>
        <v>1.0491612077922134</v>
      </c>
      <c r="I83" s="301">
        <f t="shared" si="49"/>
        <v>0</v>
      </c>
      <c r="J83" s="302">
        <f t="shared" si="50"/>
        <v>289.41311910389703</v>
      </c>
      <c r="K83" s="301">
        <f t="shared" si="51"/>
        <v>67</v>
      </c>
      <c r="L83" s="301">
        <f t="shared" si="52"/>
        <v>13.71428571428573</v>
      </c>
      <c r="M83" s="301">
        <f t="shared" si="41"/>
        <v>0.84155844155844706</v>
      </c>
      <c r="N83" s="301">
        <f t="shared" si="53"/>
        <v>0</v>
      </c>
      <c r="O83" s="302">
        <f t="shared" si="54"/>
        <v>283.08360389610459</v>
      </c>
      <c r="P83" s="303">
        <f t="shared" si="55"/>
        <v>67</v>
      </c>
      <c r="Q83" s="301">
        <f t="shared" si="56"/>
        <v>13.428571428571438</v>
      </c>
      <c r="R83" s="301">
        <f t="shared" si="42"/>
        <v>0.8240259740259791</v>
      </c>
      <c r="S83" s="301">
        <f t="shared" si="57"/>
        <v>0</v>
      </c>
      <c r="T83" s="301">
        <f t="shared" si="58"/>
        <v>304.91737012987062</v>
      </c>
    </row>
    <row r="84" spans="1:20" x14ac:dyDescent="0.2">
      <c r="A84" s="283">
        <f t="shared" si="43"/>
        <v>68</v>
      </c>
      <c r="B84" s="298">
        <f t="shared" si="44"/>
        <v>10.57142857142853</v>
      </c>
      <c r="C84" s="298">
        <f t="shared" si="59"/>
        <v>1.0814392987012997</v>
      </c>
      <c r="D84" s="298">
        <f t="shared" si="45"/>
        <v>0</v>
      </c>
      <c r="E84" s="299">
        <f t="shared" si="46"/>
        <v>339.96270997402712</v>
      </c>
      <c r="F84" s="300">
        <f t="shared" si="47"/>
        <v>68</v>
      </c>
      <c r="G84" s="301">
        <f t="shared" si="48"/>
        <v>10.214285714285733</v>
      </c>
      <c r="H84" s="301">
        <f t="shared" si="40"/>
        <v>0.84315471428571886</v>
      </c>
      <c r="I84" s="301">
        <f t="shared" si="49"/>
        <v>0</v>
      </c>
      <c r="J84" s="302">
        <f t="shared" si="50"/>
        <v>290.25627381818276</v>
      </c>
      <c r="K84" s="301">
        <f t="shared" si="51"/>
        <v>68</v>
      </c>
      <c r="L84" s="301">
        <f t="shared" si="52"/>
        <v>10.357142857142872</v>
      </c>
      <c r="M84" s="301">
        <f t="shared" si="41"/>
        <v>0.63555194805195248</v>
      </c>
      <c r="N84" s="301">
        <f t="shared" si="53"/>
        <v>0</v>
      </c>
      <c r="O84" s="302">
        <f t="shared" si="54"/>
        <v>283.71915584415655</v>
      </c>
      <c r="P84" s="303">
        <f t="shared" si="55"/>
        <v>68</v>
      </c>
      <c r="Q84" s="301">
        <f t="shared" si="56"/>
        <v>10.07142857142858</v>
      </c>
      <c r="R84" s="301">
        <f t="shared" si="42"/>
        <v>0.61801948051948441</v>
      </c>
      <c r="S84" s="301">
        <f t="shared" si="57"/>
        <v>0</v>
      </c>
      <c r="T84" s="301">
        <f t="shared" si="58"/>
        <v>305.5353896103901</v>
      </c>
    </row>
    <row r="85" spans="1:20" x14ac:dyDescent="0.2">
      <c r="A85" s="283">
        <f t="shared" si="43"/>
        <v>69</v>
      </c>
      <c r="B85" s="298">
        <f t="shared" si="44"/>
        <v>7.2142857142856727</v>
      </c>
      <c r="C85" s="298">
        <f t="shared" si="59"/>
        <v>0.87543280519480504</v>
      </c>
      <c r="D85" s="298">
        <f t="shared" si="45"/>
        <v>0</v>
      </c>
      <c r="E85" s="299">
        <f t="shared" si="46"/>
        <v>340.83814277922193</v>
      </c>
      <c r="F85" s="300">
        <f t="shared" si="47"/>
        <v>69</v>
      </c>
      <c r="G85" s="301">
        <f t="shared" si="48"/>
        <v>6.8571428571428754</v>
      </c>
      <c r="H85" s="301">
        <f t="shared" si="40"/>
        <v>0.63714822077922417</v>
      </c>
      <c r="I85" s="301">
        <f t="shared" si="49"/>
        <v>0</v>
      </c>
      <c r="J85" s="302">
        <f t="shared" si="50"/>
        <v>290.893422038962</v>
      </c>
      <c r="K85" s="301">
        <f t="shared" si="51"/>
        <v>69</v>
      </c>
      <c r="L85" s="301">
        <f t="shared" si="52"/>
        <v>7.0000000000000142</v>
      </c>
      <c r="M85" s="301">
        <f t="shared" si="41"/>
        <v>0.42954545454545778</v>
      </c>
      <c r="N85" s="301">
        <f t="shared" si="53"/>
        <v>0</v>
      </c>
      <c r="O85" s="302">
        <f t="shared" si="54"/>
        <v>284.14870129870201</v>
      </c>
      <c r="P85" s="303">
        <f t="shared" si="55"/>
        <v>69</v>
      </c>
      <c r="Q85" s="301">
        <f t="shared" si="56"/>
        <v>6.7142857142857224</v>
      </c>
      <c r="R85" s="301">
        <f t="shared" si="42"/>
        <v>0.41201298701298972</v>
      </c>
      <c r="S85" s="301">
        <f t="shared" si="57"/>
        <v>0</v>
      </c>
      <c r="T85" s="301">
        <f t="shared" si="58"/>
        <v>305.94740259740308</v>
      </c>
    </row>
    <row r="86" spans="1:20" x14ac:dyDescent="0.2">
      <c r="A86" s="283">
        <f t="shared" si="43"/>
        <v>70</v>
      </c>
      <c r="B86" s="298">
        <f t="shared" si="44"/>
        <v>3.8571428571428155</v>
      </c>
      <c r="C86" s="298">
        <f t="shared" si="59"/>
        <v>0.66942631168831046</v>
      </c>
      <c r="D86" s="298">
        <f t="shared" si="45"/>
        <v>0</v>
      </c>
      <c r="E86" s="299">
        <f t="shared" si="46"/>
        <v>341.50756909091024</v>
      </c>
      <c r="F86" s="300">
        <f t="shared" si="47"/>
        <v>70</v>
      </c>
      <c r="G86" s="301">
        <f t="shared" si="48"/>
        <v>3.5000000000000182</v>
      </c>
      <c r="H86" s="301">
        <f t="shared" si="40"/>
        <v>0.43114172727272959</v>
      </c>
      <c r="I86" s="301">
        <f t="shared" si="49"/>
        <v>0</v>
      </c>
      <c r="J86" s="302">
        <f t="shared" si="50"/>
        <v>291.32456376623475</v>
      </c>
      <c r="K86" s="301">
        <f t="shared" si="51"/>
        <v>70</v>
      </c>
      <c r="L86" s="301">
        <f t="shared" si="52"/>
        <v>3.642857142857157</v>
      </c>
      <c r="M86" s="301">
        <f t="shared" si="41"/>
        <v>0.22353896103896312</v>
      </c>
      <c r="N86" s="301">
        <f t="shared" si="53"/>
        <v>0</v>
      </c>
      <c r="O86" s="302">
        <f t="shared" si="54"/>
        <v>284.37224025974098</v>
      </c>
      <c r="P86" s="303">
        <f t="shared" si="55"/>
        <v>70</v>
      </c>
      <c r="Q86" s="301">
        <f t="shared" si="56"/>
        <v>3.3571428571428652</v>
      </c>
      <c r="R86" s="301">
        <f t="shared" si="42"/>
        <v>0.20600649350649514</v>
      </c>
      <c r="S86" s="301">
        <f t="shared" si="57"/>
        <v>0</v>
      </c>
      <c r="T86" s="301">
        <f t="shared" si="58"/>
        <v>306.15340909090958</v>
      </c>
    </row>
    <row r="87" spans="1:20" x14ac:dyDescent="0.2">
      <c r="A87" s="283">
        <f t="shared" si="43"/>
        <v>0</v>
      </c>
      <c r="B87" s="298">
        <f t="shared" si="44"/>
        <v>0</v>
      </c>
      <c r="C87" s="298">
        <f t="shared" si="59"/>
        <v>0</v>
      </c>
      <c r="D87" s="298">
        <f t="shared" si="45"/>
        <v>0</v>
      </c>
      <c r="E87" s="299">
        <f t="shared" si="46"/>
        <v>341.50756909091024</v>
      </c>
      <c r="F87" s="300">
        <f t="shared" si="47"/>
        <v>0</v>
      </c>
      <c r="G87" s="301">
        <f t="shared" si="48"/>
        <v>0</v>
      </c>
      <c r="H87" s="301">
        <f t="shared" si="40"/>
        <v>0</v>
      </c>
      <c r="I87" s="301">
        <f t="shared" si="49"/>
        <v>0</v>
      </c>
      <c r="J87" s="302">
        <f t="shared" si="50"/>
        <v>291.32456376623475</v>
      </c>
      <c r="K87" s="301">
        <f t="shared" si="51"/>
        <v>0</v>
      </c>
      <c r="L87" s="301">
        <f t="shared" si="52"/>
        <v>0</v>
      </c>
      <c r="M87" s="301">
        <f t="shared" si="41"/>
        <v>0</v>
      </c>
      <c r="N87" s="301">
        <f t="shared" si="53"/>
        <v>0</v>
      </c>
      <c r="O87" s="302">
        <f t="shared" si="54"/>
        <v>284.37224025974098</v>
      </c>
      <c r="P87" s="303">
        <f t="shared" si="55"/>
        <v>0</v>
      </c>
      <c r="Q87" s="301">
        <f t="shared" si="56"/>
        <v>0</v>
      </c>
      <c r="R87" s="301">
        <f t="shared" si="42"/>
        <v>0</v>
      </c>
      <c r="S87" s="301">
        <f t="shared" si="57"/>
        <v>0</v>
      </c>
      <c r="T87" s="301">
        <f t="shared" si="58"/>
        <v>306.15340909090958</v>
      </c>
    </row>
    <row r="88" spans="1:20" x14ac:dyDescent="0.2">
      <c r="A88" s="283">
        <f t="shared" si="43"/>
        <v>0</v>
      </c>
      <c r="B88" s="298">
        <f t="shared" si="44"/>
        <v>0</v>
      </c>
      <c r="C88" s="298">
        <f t="shared" si="59"/>
        <v>0</v>
      </c>
      <c r="D88" s="298">
        <f t="shared" si="45"/>
        <v>0</v>
      </c>
      <c r="E88" s="299">
        <f t="shared" si="46"/>
        <v>341.50756909091024</v>
      </c>
      <c r="F88" s="300">
        <f t="shared" si="47"/>
        <v>0</v>
      </c>
      <c r="G88" s="301">
        <f t="shared" si="48"/>
        <v>0</v>
      </c>
      <c r="H88" s="301">
        <f t="shared" si="40"/>
        <v>0</v>
      </c>
      <c r="I88" s="301">
        <f t="shared" si="49"/>
        <v>0</v>
      </c>
      <c r="J88" s="302">
        <f t="shared" si="50"/>
        <v>291.32456376623475</v>
      </c>
      <c r="K88" s="301">
        <f t="shared" si="51"/>
        <v>0</v>
      </c>
      <c r="L88" s="301">
        <f t="shared" si="52"/>
        <v>0</v>
      </c>
      <c r="M88" s="301">
        <f t="shared" si="41"/>
        <v>0</v>
      </c>
      <c r="N88" s="301">
        <f t="shared" si="53"/>
        <v>0</v>
      </c>
      <c r="O88" s="302">
        <f t="shared" si="54"/>
        <v>284.37224025974098</v>
      </c>
      <c r="P88" s="303">
        <f t="shared" si="55"/>
        <v>0</v>
      </c>
      <c r="Q88" s="301">
        <f t="shared" si="56"/>
        <v>0</v>
      </c>
      <c r="R88" s="301">
        <f t="shared" si="42"/>
        <v>0</v>
      </c>
      <c r="S88" s="301">
        <f t="shared" si="57"/>
        <v>0</v>
      </c>
      <c r="T88" s="301">
        <f t="shared" si="58"/>
        <v>306.15340909090958</v>
      </c>
    </row>
    <row r="89" spans="1:20" x14ac:dyDescent="0.2">
      <c r="A89" s="283">
        <f t="shared" si="43"/>
        <v>0</v>
      </c>
      <c r="B89" s="298">
        <f t="shared" si="44"/>
        <v>0</v>
      </c>
      <c r="C89" s="298">
        <f t="shared" si="59"/>
        <v>0</v>
      </c>
      <c r="D89" s="298">
        <f t="shared" si="45"/>
        <v>0</v>
      </c>
      <c r="E89" s="299">
        <f t="shared" si="46"/>
        <v>341.50756909091024</v>
      </c>
      <c r="F89" s="300">
        <f t="shared" si="47"/>
        <v>0</v>
      </c>
      <c r="G89" s="301">
        <f t="shared" si="48"/>
        <v>0</v>
      </c>
      <c r="H89" s="301">
        <f t="shared" si="40"/>
        <v>0</v>
      </c>
      <c r="I89" s="301">
        <f t="shared" si="49"/>
        <v>0</v>
      </c>
      <c r="J89" s="302">
        <f t="shared" si="50"/>
        <v>291.32456376623475</v>
      </c>
      <c r="K89" s="301">
        <f t="shared" si="51"/>
        <v>0</v>
      </c>
      <c r="L89" s="301">
        <f t="shared" si="52"/>
        <v>0</v>
      </c>
      <c r="M89" s="301">
        <f t="shared" si="41"/>
        <v>0</v>
      </c>
      <c r="N89" s="301">
        <f t="shared" si="53"/>
        <v>0</v>
      </c>
      <c r="O89" s="302">
        <f t="shared" si="54"/>
        <v>284.37224025974098</v>
      </c>
      <c r="P89" s="303">
        <f t="shared" si="55"/>
        <v>0</v>
      </c>
      <c r="Q89" s="301">
        <f t="shared" si="56"/>
        <v>0</v>
      </c>
      <c r="R89" s="301">
        <f t="shared" si="42"/>
        <v>0</v>
      </c>
      <c r="S89" s="301">
        <f t="shared" si="57"/>
        <v>0</v>
      </c>
      <c r="T89" s="301">
        <f t="shared" si="58"/>
        <v>306.15340909090958</v>
      </c>
    </row>
    <row r="90" spans="1:20" x14ac:dyDescent="0.2">
      <c r="A90" s="283">
        <f t="shared" si="43"/>
        <v>0</v>
      </c>
      <c r="B90" s="298">
        <f t="shared" si="44"/>
        <v>0</v>
      </c>
      <c r="C90" s="298">
        <f t="shared" si="59"/>
        <v>0</v>
      </c>
      <c r="D90" s="298">
        <f t="shared" si="45"/>
        <v>0</v>
      </c>
      <c r="E90" s="299">
        <f t="shared" si="46"/>
        <v>341.50756909091024</v>
      </c>
      <c r="F90" s="300">
        <f t="shared" si="47"/>
        <v>0</v>
      </c>
      <c r="G90" s="301">
        <f t="shared" si="48"/>
        <v>0</v>
      </c>
      <c r="H90" s="301">
        <f t="shared" si="40"/>
        <v>0</v>
      </c>
      <c r="I90" s="301">
        <f t="shared" si="49"/>
        <v>0</v>
      </c>
      <c r="J90" s="302">
        <f t="shared" si="50"/>
        <v>291.32456376623475</v>
      </c>
      <c r="K90" s="301">
        <f t="shared" si="51"/>
        <v>0</v>
      </c>
      <c r="L90" s="301">
        <f t="shared" si="52"/>
        <v>0</v>
      </c>
      <c r="M90" s="301">
        <f t="shared" si="41"/>
        <v>0</v>
      </c>
      <c r="N90" s="301">
        <f t="shared" si="53"/>
        <v>0</v>
      </c>
      <c r="O90" s="302">
        <f t="shared" si="54"/>
        <v>284.37224025974098</v>
      </c>
      <c r="P90" s="303">
        <f t="shared" si="55"/>
        <v>0</v>
      </c>
      <c r="Q90" s="301">
        <f t="shared" si="56"/>
        <v>0</v>
      </c>
      <c r="R90" s="301">
        <f t="shared" si="42"/>
        <v>0</v>
      </c>
      <c r="S90" s="301">
        <f t="shared" si="57"/>
        <v>0</v>
      </c>
      <c r="T90" s="301">
        <f t="shared" si="58"/>
        <v>306.15340909090958</v>
      </c>
    </row>
    <row r="91" spans="1:20" x14ac:dyDescent="0.2">
      <c r="A91" s="283">
        <f t="shared" si="43"/>
        <v>0</v>
      </c>
      <c r="B91" s="298">
        <f t="shared" si="44"/>
        <v>0</v>
      </c>
      <c r="C91" s="298">
        <f t="shared" si="59"/>
        <v>0</v>
      </c>
      <c r="D91" s="298">
        <f t="shared" si="45"/>
        <v>0</v>
      </c>
      <c r="E91" s="299">
        <f t="shared" si="46"/>
        <v>341.50756909091024</v>
      </c>
      <c r="F91" s="300">
        <f t="shared" si="47"/>
        <v>0</v>
      </c>
      <c r="G91" s="301">
        <f t="shared" si="48"/>
        <v>0</v>
      </c>
      <c r="H91" s="301">
        <f t="shared" si="40"/>
        <v>0</v>
      </c>
      <c r="I91" s="301">
        <f t="shared" si="49"/>
        <v>0</v>
      </c>
      <c r="J91" s="302">
        <f t="shared" si="50"/>
        <v>291.32456376623475</v>
      </c>
      <c r="K91" s="301">
        <f t="shared" si="51"/>
        <v>0</v>
      </c>
      <c r="L91" s="301">
        <f t="shared" si="52"/>
        <v>0</v>
      </c>
      <c r="M91" s="301">
        <f t="shared" si="41"/>
        <v>0</v>
      </c>
      <c r="N91" s="301">
        <f t="shared" si="53"/>
        <v>0</v>
      </c>
      <c r="O91" s="302">
        <f t="shared" si="54"/>
        <v>284.37224025974098</v>
      </c>
      <c r="P91" s="303">
        <f t="shared" si="55"/>
        <v>0</v>
      </c>
      <c r="Q91" s="301">
        <f t="shared" si="56"/>
        <v>0</v>
      </c>
      <c r="R91" s="301">
        <f t="shared" si="42"/>
        <v>0</v>
      </c>
      <c r="S91" s="301">
        <f t="shared" si="57"/>
        <v>0</v>
      </c>
      <c r="T91" s="301">
        <f t="shared" si="58"/>
        <v>306.15340909090958</v>
      </c>
    </row>
    <row r="92" spans="1:20" x14ac:dyDescent="0.2">
      <c r="A92" s="283">
        <f t="shared" si="43"/>
        <v>0</v>
      </c>
      <c r="B92" s="298">
        <f t="shared" si="44"/>
        <v>0</v>
      </c>
      <c r="C92" s="298">
        <f t="shared" si="59"/>
        <v>0</v>
      </c>
      <c r="D92" s="298">
        <f t="shared" si="45"/>
        <v>0</v>
      </c>
      <c r="E92" s="299">
        <f t="shared" si="46"/>
        <v>341.50756909091024</v>
      </c>
      <c r="F92" s="300">
        <f t="shared" si="47"/>
        <v>0</v>
      </c>
      <c r="G92" s="301">
        <f t="shared" si="48"/>
        <v>0</v>
      </c>
      <c r="H92" s="301">
        <f t="shared" si="40"/>
        <v>0</v>
      </c>
      <c r="I92" s="301">
        <f t="shared" si="49"/>
        <v>0</v>
      </c>
      <c r="J92" s="302">
        <f t="shared" si="50"/>
        <v>291.32456376623475</v>
      </c>
      <c r="K92" s="301">
        <f t="shared" si="51"/>
        <v>0</v>
      </c>
      <c r="L92" s="301">
        <f t="shared" si="52"/>
        <v>0</v>
      </c>
      <c r="M92" s="301">
        <f t="shared" si="41"/>
        <v>0</v>
      </c>
      <c r="N92" s="301">
        <f t="shared" si="53"/>
        <v>0</v>
      </c>
      <c r="O92" s="302">
        <f t="shared" si="54"/>
        <v>284.37224025974098</v>
      </c>
      <c r="P92" s="303">
        <f t="shared" si="55"/>
        <v>0</v>
      </c>
      <c r="Q92" s="301">
        <f t="shared" si="56"/>
        <v>0</v>
      </c>
      <c r="R92" s="301">
        <f t="shared" si="42"/>
        <v>0</v>
      </c>
      <c r="S92" s="301">
        <f t="shared" si="57"/>
        <v>0</v>
      </c>
      <c r="T92" s="301">
        <f t="shared" si="58"/>
        <v>306.15340909090958</v>
      </c>
    </row>
    <row r="93" spans="1:20" x14ac:dyDescent="0.2">
      <c r="A93" s="283">
        <f t="shared" si="43"/>
        <v>0</v>
      </c>
      <c r="B93" s="298">
        <f t="shared" si="44"/>
        <v>0</v>
      </c>
      <c r="C93" s="298">
        <f t="shared" si="59"/>
        <v>0</v>
      </c>
      <c r="D93" s="298">
        <f t="shared" si="45"/>
        <v>0</v>
      </c>
      <c r="E93" s="299">
        <f t="shared" si="46"/>
        <v>341.50756909091024</v>
      </c>
      <c r="F93" s="300">
        <f t="shared" si="47"/>
        <v>0</v>
      </c>
      <c r="G93" s="301">
        <f t="shared" si="48"/>
        <v>0</v>
      </c>
      <c r="H93" s="301">
        <f t="shared" si="40"/>
        <v>0</v>
      </c>
      <c r="I93" s="301">
        <f t="shared" si="49"/>
        <v>0</v>
      </c>
      <c r="J93" s="302">
        <f t="shared" si="50"/>
        <v>291.32456376623475</v>
      </c>
      <c r="K93" s="301">
        <f t="shared" si="51"/>
        <v>0</v>
      </c>
      <c r="L93" s="301">
        <f t="shared" si="52"/>
        <v>0</v>
      </c>
      <c r="M93" s="301">
        <f t="shared" si="41"/>
        <v>0</v>
      </c>
      <c r="N93" s="301">
        <f t="shared" si="53"/>
        <v>0</v>
      </c>
      <c r="O93" s="302">
        <f t="shared" si="54"/>
        <v>284.37224025974098</v>
      </c>
      <c r="P93" s="303">
        <f t="shared" si="55"/>
        <v>0</v>
      </c>
      <c r="Q93" s="301">
        <f t="shared" si="56"/>
        <v>0</v>
      </c>
      <c r="R93" s="301">
        <f t="shared" si="42"/>
        <v>0</v>
      </c>
      <c r="S93" s="301">
        <f t="shared" si="57"/>
        <v>0</v>
      </c>
      <c r="T93" s="301">
        <f t="shared" si="58"/>
        <v>306.15340909090958</v>
      </c>
    </row>
    <row r="94" spans="1:20" x14ac:dyDescent="0.2">
      <c r="A94" s="283">
        <f t="shared" si="43"/>
        <v>0</v>
      </c>
      <c r="B94" s="298">
        <f t="shared" si="44"/>
        <v>0</v>
      </c>
      <c r="C94" s="298">
        <f t="shared" si="59"/>
        <v>0</v>
      </c>
      <c r="D94" s="298">
        <f t="shared" si="45"/>
        <v>0</v>
      </c>
      <c r="E94" s="299">
        <f t="shared" si="46"/>
        <v>341.50756909091024</v>
      </c>
      <c r="F94" s="300">
        <f t="shared" si="47"/>
        <v>0</v>
      </c>
      <c r="G94" s="301">
        <f t="shared" si="48"/>
        <v>0</v>
      </c>
      <c r="H94" s="301">
        <f t="shared" si="40"/>
        <v>0</v>
      </c>
      <c r="I94" s="301">
        <f t="shared" si="49"/>
        <v>0</v>
      </c>
      <c r="J94" s="302">
        <f t="shared" si="50"/>
        <v>291.32456376623475</v>
      </c>
      <c r="K94" s="301">
        <f t="shared" si="51"/>
        <v>0</v>
      </c>
      <c r="L94" s="301">
        <f t="shared" si="52"/>
        <v>0</v>
      </c>
      <c r="M94" s="301">
        <f t="shared" si="41"/>
        <v>0</v>
      </c>
      <c r="N94" s="301">
        <f t="shared" si="53"/>
        <v>0</v>
      </c>
      <c r="O94" s="302">
        <f t="shared" si="54"/>
        <v>284.37224025974098</v>
      </c>
      <c r="P94" s="303">
        <f t="shared" si="55"/>
        <v>0</v>
      </c>
      <c r="Q94" s="301">
        <f t="shared" si="56"/>
        <v>0</v>
      </c>
      <c r="R94" s="301">
        <f t="shared" si="42"/>
        <v>0</v>
      </c>
      <c r="S94" s="301">
        <f t="shared" si="57"/>
        <v>0</v>
      </c>
      <c r="T94" s="301">
        <f t="shared" si="58"/>
        <v>306.15340909090958</v>
      </c>
    </row>
    <row r="95" spans="1:20" x14ac:dyDescent="0.2">
      <c r="A95" s="283">
        <f t="shared" si="43"/>
        <v>0</v>
      </c>
      <c r="B95" s="298">
        <f t="shared" si="44"/>
        <v>0</v>
      </c>
      <c r="C95" s="298">
        <f t="shared" si="59"/>
        <v>0</v>
      </c>
      <c r="D95" s="298">
        <f t="shared" si="45"/>
        <v>0</v>
      </c>
      <c r="E95" s="299">
        <f t="shared" si="46"/>
        <v>341.50756909091024</v>
      </c>
      <c r="F95" s="300">
        <f t="shared" si="47"/>
        <v>0</v>
      </c>
      <c r="G95" s="301">
        <f t="shared" si="48"/>
        <v>0</v>
      </c>
      <c r="H95" s="301">
        <f t="shared" si="40"/>
        <v>0</v>
      </c>
      <c r="I95" s="301">
        <f t="shared" si="49"/>
        <v>0</v>
      </c>
      <c r="J95" s="302">
        <f t="shared" si="50"/>
        <v>291.32456376623475</v>
      </c>
      <c r="K95" s="301">
        <f t="shared" si="51"/>
        <v>0</v>
      </c>
      <c r="L95" s="301">
        <f t="shared" si="52"/>
        <v>0</v>
      </c>
      <c r="M95" s="301">
        <f t="shared" si="41"/>
        <v>0</v>
      </c>
      <c r="N95" s="301">
        <f t="shared" si="53"/>
        <v>0</v>
      </c>
      <c r="O95" s="302">
        <f t="shared" si="54"/>
        <v>284.37224025974098</v>
      </c>
      <c r="P95" s="303">
        <f t="shared" si="55"/>
        <v>0</v>
      </c>
      <c r="Q95" s="301">
        <f t="shared" si="56"/>
        <v>0</v>
      </c>
      <c r="R95" s="301">
        <f t="shared" si="42"/>
        <v>0</v>
      </c>
      <c r="S95" s="301">
        <f t="shared" si="57"/>
        <v>0</v>
      </c>
      <c r="T95" s="301">
        <f t="shared" si="58"/>
        <v>306.15340909090958</v>
      </c>
    </row>
    <row r="96" spans="1:20" x14ac:dyDescent="0.2">
      <c r="A96" s="283">
        <f t="shared" si="43"/>
        <v>0</v>
      </c>
      <c r="B96" s="298">
        <f t="shared" si="44"/>
        <v>0</v>
      </c>
      <c r="C96" s="298">
        <f t="shared" si="59"/>
        <v>0</v>
      </c>
      <c r="D96" s="298">
        <f t="shared" si="45"/>
        <v>0</v>
      </c>
      <c r="E96" s="299">
        <f t="shared" si="46"/>
        <v>341.50756909091024</v>
      </c>
      <c r="F96" s="300">
        <f t="shared" si="47"/>
        <v>0</v>
      </c>
      <c r="G96" s="301">
        <f t="shared" si="48"/>
        <v>0</v>
      </c>
      <c r="H96" s="301">
        <f t="shared" si="40"/>
        <v>0</v>
      </c>
      <c r="I96" s="301">
        <f t="shared" si="49"/>
        <v>0</v>
      </c>
      <c r="J96" s="302">
        <f t="shared" si="50"/>
        <v>291.32456376623475</v>
      </c>
      <c r="K96" s="301">
        <f t="shared" si="51"/>
        <v>0</v>
      </c>
      <c r="L96" s="301">
        <f t="shared" si="52"/>
        <v>0</v>
      </c>
      <c r="M96" s="301">
        <f t="shared" si="41"/>
        <v>0</v>
      </c>
      <c r="N96" s="301">
        <f t="shared" si="53"/>
        <v>0</v>
      </c>
      <c r="O96" s="302">
        <f t="shared" si="54"/>
        <v>284.37224025974098</v>
      </c>
      <c r="P96" s="303">
        <f t="shared" si="55"/>
        <v>0</v>
      </c>
      <c r="Q96" s="301">
        <f t="shared" si="56"/>
        <v>0</v>
      </c>
      <c r="R96" s="301">
        <f t="shared" si="42"/>
        <v>0</v>
      </c>
      <c r="S96" s="301">
        <f t="shared" si="57"/>
        <v>0</v>
      </c>
      <c r="T96" s="301">
        <f t="shared" si="58"/>
        <v>306.15340909090958</v>
      </c>
    </row>
    <row r="97" spans="2:20" x14ac:dyDescent="0.2">
      <c r="B97" s="297"/>
      <c r="C97" s="297"/>
      <c r="D97" s="297"/>
      <c r="E97" s="297"/>
      <c r="F97" s="297"/>
      <c r="G97" s="297"/>
      <c r="H97" s="297"/>
      <c r="I97" s="297"/>
      <c r="J97" s="297"/>
      <c r="K97" s="297"/>
      <c r="L97" s="297"/>
      <c r="M97" s="297"/>
      <c r="N97" s="297"/>
      <c r="O97" s="297"/>
      <c r="P97" s="297"/>
      <c r="Q97" s="297"/>
      <c r="R97" s="297"/>
      <c r="S97" s="297"/>
      <c r="T97" s="297"/>
    </row>
    <row r="115" spans="1:7" x14ac:dyDescent="0.2">
      <c r="B115" s="278" t="s">
        <v>643</v>
      </c>
    </row>
    <row r="116" spans="1:7" x14ac:dyDescent="0.2">
      <c r="A116" s="278" t="s">
        <v>244</v>
      </c>
      <c r="B116" s="278">
        <f ca="1">OFFSET('Raw Data'!A1,MATCH('Setup Tool'!B1,'Raw Data'!A2:A59,0),3)</f>
        <v>13.5</v>
      </c>
    </row>
    <row r="117" spans="1:7" x14ac:dyDescent="0.2">
      <c r="A117" s="278" t="s">
        <v>642</v>
      </c>
      <c r="B117" s="278">
        <f>SUM('Setup Tool'!N25)</f>
        <v>24</v>
      </c>
    </row>
    <row r="118" spans="1:7" x14ac:dyDescent="0.2">
      <c r="A118" s="278" t="s">
        <v>641</v>
      </c>
      <c r="B118" s="278">
        <f ca="1">SUM(C118*B119)</f>
        <v>281.82</v>
      </c>
      <c r="C118" s="278">
        <f ca="1">OFFSET('Raw Data'!A1,MATCH('Setup Tool'!B1,'Raw Data'!A2:A59,0),17)</f>
        <v>4.0259999999999998</v>
      </c>
    </row>
    <row r="119" spans="1:7" x14ac:dyDescent="0.2">
      <c r="A119" s="278" t="s">
        <v>640</v>
      </c>
      <c r="B119" s="278">
        <f ca="1">OFFSET('Raw Data'!A1,MATCH('Setup Tool'!B1,'Raw Data'!A2:A59,0),2)</f>
        <v>70</v>
      </c>
      <c r="D119" s="278" t="s">
        <v>639</v>
      </c>
      <c r="E119" s="278" t="s">
        <v>638</v>
      </c>
      <c r="F119" s="278" t="s">
        <v>637</v>
      </c>
    </row>
    <row r="120" spans="1:7" x14ac:dyDescent="0.2">
      <c r="A120" s="278" t="s">
        <v>636</v>
      </c>
      <c r="B120" s="278">
        <f ca="1">SUM(F120)</f>
        <v>1.1992340425531915</v>
      </c>
      <c r="D120" s="278">
        <f>SUM('Setup Tool'!B25)</f>
        <v>235</v>
      </c>
      <c r="E120" s="278">
        <f ca="1">SUM(B119)</f>
        <v>70</v>
      </c>
      <c r="F120" s="278">
        <f ca="1">(B118/B119)*E120/D120</f>
        <v>1.1992340425531915</v>
      </c>
    </row>
    <row r="121" spans="1:7" x14ac:dyDescent="0.2">
      <c r="A121" s="278" t="s">
        <v>635</v>
      </c>
      <c r="B121" s="278">
        <f>SUM('Setup Tool'!B29)</f>
        <v>0.21636900000000001</v>
      </c>
      <c r="D121" s="278" t="s">
        <v>167</v>
      </c>
      <c r="E121" s="278" t="s">
        <v>634</v>
      </c>
      <c r="F121" s="278" t="s">
        <v>633</v>
      </c>
      <c r="G121" s="278" t="s">
        <v>632</v>
      </c>
    </row>
    <row r="122" spans="1:7" x14ac:dyDescent="0.2">
      <c r="D122" s="278">
        <f>SUM('Setup Tool'!D29)</f>
        <v>7.4609999999999998E-3</v>
      </c>
      <c r="E122" s="278">
        <f>SUM('Setup Tool'!B7)</f>
        <v>21</v>
      </c>
      <c r="F122" s="278">
        <f>D122*(50-E122)</f>
        <v>0.21636900000000001</v>
      </c>
      <c r="G122" s="278">
        <f>F122*G125</f>
        <v>0.26397018</v>
      </c>
    </row>
    <row r="124" spans="1:7" x14ac:dyDescent="0.2">
      <c r="A124" s="278" t="s">
        <v>631</v>
      </c>
      <c r="B124" s="278">
        <f ca="1">((B118/2/B120)/2)*B118*D124</f>
        <v>68.184465279892493</v>
      </c>
      <c r="D124" s="278">
        <v>4.1181841E-3</v>
      </c>
      <c r="E124" s="278" t="s">
        <v>630</v>
      </c>
      <c r="G124" s="278" t="s">
        <v>629</v>
      </c>
    </row>
    <row r="125" spans="1:7" x14ac:dyDescent="0.2">
      <c r="A125" s="278" t="s">
        <v>628</v>
      </c>
      <c r="B125" s="278">
        <f ca="1">((B118/3)/B120)/2*B118*D124</f>
        <v>45.456310186594997</v>
      </c>
      <c r="G125" s="278">
        <v>1.22</v>
      </c>
    </row>
    <row r="126" spans="1:7" x14ac:dyDescent="0.2">
      <c r="A126" s="278" t="s">
        <v>627</v>
      </c>
      <c r="B126" s="278">
        <f ca="1">((B118/4)/B120)/2*B118*D124</f>
        <v>34.092232639946246</v>
      </c>
    </row>
    <row r="127" spans="1:7" x14ac:dyDescent="0.2">
      <c r="A127" s="278" t="s">
        <v>626</v>
      </c>
      <c r="B127" s="278">
        <f ca="1">((B118/5)/B120)/2*B118*D124</f>
        <v>27.273786111956994</v>
      </c>
    </row>
    <row r="129" spans="1:5" x14ac:dyDescent="0.2">
      <c r="A129" s="278" t="s">
        <v>625</v>
      </c>
      <c r="B129" s="278">
        <f ca="1">B116+B117</f>
        <v>37.5</v>
      </c>
    </row>
    <row r="130" spans="1:5" x14ac:dyDescent="0.2">
      <c r="A130" s="278" t="s">
        <v>624</v>
      </c>
      <c r="B130" s="278">
        <f ca="1">2*(B116+B117)</f>
        <v>75</v>
      </c>
    </row>
    <row r="131" spans="1:5" x14ac:dyDescent="0.2">
      <c r="A131" s="278" t="s">
        <v>623</v>
      </c>
      <c r="B131" s="278">
        <f ca="1">3*(B116+B117)</f>
        <v>112.5</v>
      </c>
    </row>
    <row r="132" spans="1:5" x14ac:dyDescent="0.2">
      <c r="A132" s="278" t="s">
        <v>622</v>
      </c>
      <c r="B132" s="278">
        <f ca="1">4*(B116+B117)</f>
        <v>150</v>
      </c>
    </row>
    <row r="134" spans="1:5" x14ac:dyDescent="0.2">
      <c r="A134" s="278" t="s">
        <v>472</v>
      </c>
      <c r="B134" s="278" t="s">
        <v>473</v>
      </c>
      <c r="C134" s="278" t="s">
        <v>250</v>
      </c>
      <c r="D134" s="278" t="s">
        <v>474</v>
      </c>
      <c r="E134" s="278" t="s">
        <v>248</v>
      </c>
    </row>
    <row r="135" spans="1:5" x14ac:dyDescent="0.2">
      <c r="A135" s="278" t="s">
        <v>448</v>
      </c>
      <c r="B135" s="278">
        <f ca="1">-B124-B129+B119*B121*3-E137</f>
        <v>86.345257360053751</v>
      </c>
      <c r="C135" s="278">
        <f ca="1">-B124-B129+B119*B121*2-E137</f>
        <v>71.199427360053761</v>
      </c>
      <c r="D135" s="278">
        <f ca="1">-B124-B129+B119*B121-E137</f>
        <v>56.053597360053757</v>
      </c>
      <c r="E135" s="278">
        <f ca="1">-B124-B129-E137</f>
        <v>40.907767360053754</v>
      </c>
    </row>
    <row r="136" spans="1:5" x14ac:dyDescent="0.2">
      <c r="A136" s="278" t="s">
        <v>447</v>
      </c>
      <c r="B136" s="278">
        <f ca="1">-B125-B130+B119*B121*3-E137</f>
        <v>71.573412453351239</v>
      </c>
      <c r="C136" s="278">
        <f ca="1">-B125-B130+B119*B121*2-E137</f>
        <v>56.427582453351249</v>
      </c>
      <c r="D136" s="278">
        <f ca="1">-B125-B130+B119*B121-E137</f>
        <v>41.281752453351245</v>
      </c>
      <c r="E136" s="278">
        <f ca="1">-B125-B130-E137</f>
        <v>26.135922453351242</v>
      </c>
    </row>
    <row r="137" spans="1:5" x14ac:dyDescent="0.2">
      <c r="A137" s="278" t="s">
        <v>446</v>
      </c>
      <c r="B137" s="278">
        <f ca="1">-B126-B131+B119*B121*3-E137</f>
        <v>45.437489999999997</v>
      </c>
      <c r="C137" s="278">
        <f ca="1">-B126-B131+B119*B121*2-E137</f>
        <v>30.291660000000007</v>
      </c>
      <c r="D137" s="278">
        <f ca="1">-B126-B131+B119*B121-E137</f>
        <v>15.145829999999989</v>
      </c>
      <c r="E137" s="278">
        <f ca="1">-B126-B131</f>
        <v>-146.59223263994625</v>
      </c>
    </row>
    <row r="138" spans="1:5" x14ac:dyDescent="0.2">
      <c r="A138" s="278" t="s">
        <v>445</v>
      </c>
      <c r="B138" s="278">
        <f ca="1">-B127-B132+B119*B121*3-E137</f>
        <v>14.755936527989235</v>
      </c>
      <c r="C138" s="278">
        <f ca="1">-B127-B132+B119*B121*2-E137</f>
        <v>-0.38989347201075475</v>
      </c>
      <c r="D138" s="278">
        <f ca="1">-B127-B132+B119*B121*1-E137</f>
        <v>-15.535723472010773</v>
      </c>
    </row>
    <row r="160" spans="1:3" x14ac:dyDescent="0.2">
      <c r="A160" s="278" t="s">
        <v>168</v>
      </c>
      <c r="B160" s="278" t="s">
        <v>498</v>
      </c>
      <c r="C160" s="278" t="s">
        <v>497</v>
      </c>
    </row>
    <row r="161" spans="1:3" x14ac:dyDescent="0.2">
      <c r="A161" s="278" t="s">
        <v>48</v>
      </c>
      <c r="B161" s="278">
        <v>7.3699999999999998E-3</v>
      </c>
      <c r="C161" s="278">
        <v>71</v>
      </c>
    </row>
    <row r="162" spans="1:3" x14ac:dyDescent="0.2">
      <c r="A162" s="278" t="s">
        <v>49</v>
      </c>
      <c r="B162" s="278">
        <v>8.0300000000000007E-3</v>
      </c>
      <c r="C162" s="278">
        <v>79</v>
      </c>
    </row>
    <row r="163" spans="1:3" x14ac:dyDescent="0.2">
      <c r="A163" s="278" t="s">
        <v>50</v>
      </c>
      <c r="B163" s="278">
        <v>7.4609999999999998E-3</v>
      </c>
      <c r="C163" s="278">
        <v>70</v>
      </c>
    </row>
    <row r="164" spans="1:3" x14ac:dyDescent="0.2">
      <c r="A164" s="278" t="s">
        <v>51</v>
      </c>
      <c r="B164" s="278">
        <v>1.286E-2</v>
      </c>
      <c r="C164" s="278">
        <v>65</v>
      </c>
    </row>
    <row r="165" spans="1:3" x14ac:dyDescent="0.2">
      <c r="A165" s="278" t="s">
        <v>52</v>
      </c>
      <c r="B165" s="278">
        <v>7.7499999999999999E-3</v>
      </c>
      <c r="C165" s="278">
        <v>75</v>
      </c>
    </row>
    <row r="166" spans="1:3" x14ac:dyDescent="0.2">
      <c r="A166" s="278" t="s">
        <v>53</v>
      </c>
      <c r="B166" s="278">
        <v>1.2E-2</v>
      </c>
      <c r="C166" s="278">
        <v>55</v>
      </c>
    </row>
    <row r="167" spans="1:3" x14ac:dyDescent="0.2">
      <c r="A167" s="278" t="s">
        <v>159</v>
      </c>
      <c r="B167" s="278">
        <v>1.6799999999999999E-2</v>
      </c>
      <c r="C167" s="278">
        <v>57</v>
      </c>
    </row>
    <row r="168" spans="1:3" x14ac:dyDescent="0.2">
      <c r="A168" s="278" t="s">
        <v>54</v>
      </c>
      <c r="B168" s="278">
        <v>1.4200000000000001E-2</v>
      </c>
      <c r="C168" s="278">
        <v>72</v>
      </c>
    </row>
    <row r="169" spans="1:3" x14ac:dyDescent="0.2">
      <c r="A169" s="278" t="s">
        <v>55</v>
      </c>
      <c r="B169" s="278">
        <v>1.0125E-2</v>
      </c>
      <c r="C169" s="278">
        <v>70</v>
      </c>
    </row>
    <row r="170" spans="1:3" x14ac:dyDescent="0.2">
      <c r="A170" s="278" t="s">
        <v>56</v>
      </c>
      <c r="B170" s="278">
        <v>8.5900000000000004E-3</v>
      </c>
      <c r="C170" s="278">
        <v>79</v>
      </c>
    </row>
    <row r="171" spans="1:3" x14ac:dyDescent="0.2">
      <c r="A171" s="278" t="s">
        <v>57</v>
      </c>
      <c r="B171" s="278">
        <v>1.3650000000000001E-2</v>
      </c>
      <c r="C171" s="278">
        <v>67</v>
      </c>
    </row>
    <row r="172" spans="1:3" x14ac:dyDescent="0.2">
      <c r="A172" s="278" t="s">
        <v>58</v>
      </c>
      <c r="B172" s="278">
        <v>1.035E-2</v>
      </c>
      <c r="C172" s="278">
        <v>67</v>
      </c>
    </row>
    <row r="173" spans="1:3" x14ac:dyDescent="0.2">
      <c r="A173" s="278" t="s">
        <v>59</v>
      </c>
      <c r="B173" s="278">
        <v>7.2700000000000004E-3</v>
      </c>
      <c r="C173" s="278">
        <v>77</v>
      </c>
    </row>
    <row r="174" spans="1:3" x14ac:dyDescent="0.2">
      <c r="A174" s="278" t="s">
        <v>60</v>
      </c>
      <c r="B174" s="278">
        <v>1.2999999999999999E-2</v>
      </c>
      <c r="C174" s="278">
        <v>62</v>
      </c>
    </row>
    <row r="175" spans="1:3" x14ac:dyDescent="0.2">
      <c r="A175" s="278" t="s">
        <v>61</v>
      </c>
      <c r="B175" s="278">
        <v>9.8099999999999993E-3</v>
      </c>
      <c r="C175" s="278">
        <v>73</v>
      </c>
    </row>
    <row r="176" spans="1:3" x14ac:dyDescent="0.2">
      <c r="A176" s="278" t="s">
        <v>62</v>
      </c>
      <c r="B176" s="278">
        <v>1.0800000000000001E-2</v>
      </c>
      <c r="C176" s="278">
        <v>71</v>
      </c>
    </row>
    <row r="177" spans="1:3" x14ac:dyDescent="0.2">
      <c r="A177" s="278" t="s">
        <v>125</v>
      </c>
      <c r="B177" s="278">
        <v>9.2999999999999992E-3</v>
      </c>
      <c r="C177" s="278">
        <v>79</v>
      </c>
    </row>
    <row r="178" spans="1:3" x14ac:dyDescent="0.2">
      <c r="A178" s="278" t="s">
        <v>63</v>
      </c>
      <c r="B178" s="278">
        <v>1.2189999999999999E-2</v>
      </c>
      <c r="C178" s="278">
        <v>58</v>
      </c>
    </row>
    <row r="179" spans="1:3" x14ac:dyDescent="0.2">
      <c r="A179" s="278" t="s">
        <v>64</v>
      </c>
      <c r="B179" s="278">
        <v>1.41E-2</v>
      </c>
      <c r="C179" s="278">
        <v>69</v>
      </c>
    </row>
    <row r="180" spans="1:3" x14ac:dyDescent="0.2">
      <c r="A180" s="278" t="s">
        <v>65</v>
      </c>
      <c r="B180" s="278">
        <v>1.052E-2</v>
      </c>
      <c r="C180" s="278">
        <v>72</v>
      </c>
    </row>
    <row r="181" spans="1:3" x14ac:dyDescent="0.2">
      <c r="A181" s="278" t="s">
        <v>66</v>
      </c>
      <c r="B181" s="278">
        <v>7.7000000000000002E-3</v>
      </c>
      <c r="C181" s="278">
        <v>79</v>
      </c>
    </row>
    <row r="182" spans="1:3" x14ac:dyDescent="0.2">
      <c r="A182" s="278" t="s">
        <v>67</v>
      </c>
      <c r="B182" s="278">
        <v>1.1440000000000001E-2</v>
      </c>
      <c r="C182" s="278">
        <v>72</v>
      </c>
    </row>
    <row r="183" spans="1:3" x14ac:dyDescent="0.2">
      <c r="A183" s="278" t="s">
        <v>68</v>
      </c>
      <c r="B183" s="278">
        <v>1.7100000000000001E-2</v>
      </c>
      <c r="C183" s="278">
        <v>58</v>
      </c>
    </row>
    <row r="184" spans="1:3" x14ac:dyDescent="0.2">
      <c r="A184" s="278" t="s">
        <v>69</v>
      </c>
      <c r="B184" s="278">
        <v>7.2100000000000003E-3</v>
      </c>
      <c r="C184" s="278">
        <v>69</v>
      </c>
    </row>
    <row r="185" spans="1:3" x14ac:dyDescent="0.2">
      <c r="A185" s="278" t="s">
        <v>70</v>
      </c>
      <c r="B185" s="278">
        <v>1.06E-2</v>
      </c>
      <c r="C185" s="278">
        <v>78</v>
      </c>
    </row>
    <row r="186" spans="1:3" x14ac:dyDescent="0.2">
      <c r="A186" s="278" t="s">
        <v>71</v>
      </c>
      <c r="B186" s="278">
        <v>8.9999999999999993E-3</v>
      </c>
      <c r="C186" s="278">
        <v>69</v>
      </c>
    </row>
    <row r="187" spans="1:3" x14ac:dyDescent="0.2">
      <c r="A187" s="278" t="s">
        <v>72</v>
      </c>
      <c r="B187" s="278">
        <v>1.2959999999999999E-2</v>
      </c>
      <c r="C187" s="278">
        <v>53</v>
      </c>
    </row>
    <row r="188" spans="1:3" x14ac:dyDescent="0.2">
      <c r="A188" s="278" t="s">
        <v>73</v>
      </c>
      <c r="B188" s="278">
        <v>1.2999999999999999E-2</v>
      </c>
      <c r="C188" s="278">
        <v>58</v>
      </c>
    </row>
    <row r="189" spans="1:3" x14ac:dyDescent="0.2">
      <c r="A189" s="278" t="s">
        <v>74</v>
      </c>
      <c r="B189" s="278">
        <v>1.2930000000000001E-2</v>
      </c>
      <c r="C189" s="278">
        <v>60</v>
      </c>
    </row>
    <row r="190" spans="1:3" x14ac:dyDescent="0.2">
      <c r="A190" s="278" t="s">
        <v>75</v>
      </c>
      <c r="B190" s="278">
        <v>1.157E-2</v>
      </c>
      <c r="C190" s="278">
        <v>52</v>
      </c>
    </row>
    <row r="191" spans="1:3" x14ac:dyDescent="0.2">
      <c r="A191" s="278" t="s">
        <v>76</v>
      </c>
      <c r="B191" s="278">
        <v>9.4400000000000005E-3</v>
      </c>
      <c r="C191" s="278">
        <v>79</v>
      </c>
    </row>
    <row r="192" spans="1:3" x14ac:dyDescent="0.2">
      <c r="A192" s="278" t="s">
        <v>414</v>
      </c>
      <c r="B192" s="278">
        <v>9.6249999999999999E-3</v>
      </c>
      <c r="C192" s="278">
        <v>75</v>
      </c>
    </row>
    <row r="193" spans="1:3" x14ac:dyDescent="0.2">
      <c r="A193" s="278" t="s">
        <v>77</v>
      </c>
      <c r="B193" s="278">
        <v>1.26E-2</v>
      </c>
      <c r="C193" s="278">
        <v>57</v>
      </c>
    </row>
    <row r="194" spans="1:3" x14ac:dyDescent="0.2">
      <c r="A194" s="278" t="s">
        <v>78</v>
      </c>
      <c r="B194" s="278">
        <v>1.754E-2</v>
      </c>
      <c r="C194" s="278">
        <v>55</v>
      </c>
    </row>
    <row r="195" spans="1:3" x14ac:dyDescent="0.2">
      <c r="A195" s="278" t="s">
        <v>79</v>
      </c>
      <c r="B195" s="278">
        <v>9.7300000000000008E-3</v>
      </c>
      <c r="C195" s="278">
        <v>56</v>
      </c>
    </row>
    <row r="196" spans="1:3" x14ac:dyDescent="0.2">
      <c r="A196" s="278" t="s">
        <v>80</v>
      </c>
      <c r="B196" s="278">
        <v>1.065E-2</v>
      </c>
      <c r="C196" s="278">
        <v>60</v>
      </c>
    </row>
    <row r="197" spans="1:3" x14ac:dyDescent="0.2">
      <c r="A197" s="278" t="s">
        <v>81</v>
      </c>
      <c r="B197" s="278">
        <v>2.23E-2</v>
      </c>
      <c r="C197" s="278">
        <v>61</v>
      </c>
    </row>
    <row r="198" spans="1:3" x14ac:dyDescent="0.2">
      <c r="A198" s="278" t="s">
        <v>82</v>
      </c>
      <c r="B198" s="278">
        <v>2.6929999999999999E-2</v>
      </c>
      <c r="C198" s="278">
        <v>44</v>
      </c>
    </row>
    <row r="199" spans="1:3" x14ac:dyDescent="0.2">
      <c r="A199" s="278" t="s">
        <v>83</v>
      </c>
      <c r="B199" s="278">
        <v>1.405E-2</v>
      </c>
      <c r="C199" s="278">
        <v>53</v>
      </c>
    </row>
    <row r="200" spans="1:3" x14ac:dyDescent="0.2">
      <c r="A200" s="278" t="s">
        <v>84</v>
      </c>
      <c r="B200" s="278">
        <v>2.5999999999999999E-2</v>
      </c>
      <c r="C200" s="278">
        <v>57</v>
      </c>
    </row>
    <row r="201" spans="1:3" x14ac:dyDescent="0.2">
      <c r="A201" s="278" t="s">
        <v>88</v>
      </c>
      <c r="B201" s="278">
        <v>2.12E-2</v>
      </c>
      <c r="C201" s="278">
        <v>55</v>
      </c>
    </row>
    <row r="202" spans="1:3" x14ac:dyDescent="0.2">
      <c r="A202" s="278" t="s">
        <v>87</v>
      </c>
      <c r="C202" s="278">
        <v>55</v>
      </c>
    </row>
    <row r="203" spans="1:3" x14ac:dyDescent="0.2">
      <c r="A203" s="278" t="s">
        <v>85</v>
      </c>
      <c r="B203" s="278">
        <v>1.035E-2</v>
      </c>
      <c r="C203" s="278">
        <v>71</v>
      </c>
    </row>
    <row r="204" spans="1:3" x14ac:dyDescent="0.2">
      <c r="A204" s="278" t="s">
        <v>86</v>
      </c>
      <c r="B204" s="278">
        <v>1.3650000000000001E-2</v>
      </c>
      <c r="C204" s="278">
        <v>70</v>
      </c>
    </row>
  </sheetData>
  <sheetProtection selectLockedCells="1"/>
  <customSheetViews>
    <customSheetView guid="{58F65609-3622-42C4-9926-1A56B88F9C36}" state="hidden" topLeftCell="A37">
      <selection activeCell="C3" sqref="C3"/>
      <pageMargins left="0.7" right="0.7" top="0.75" bottom="0.75" header="0.3" footer="0.3"/>
    </customSheetView>
  </customSheetViews>
  <mergeCells count="1">
    <mergeCell ref="F1:M1"/>
  </mergeCells>
  <conditionalFormatting sqref="E17">
    <cfRule type="expression" dxfId="3" priority="1" stopIfTrue="1">
      <formula>"IF(d16&lt;&gt;0)"</formula>
    </cfRule>
  </conditionalFormatting>
  <conditionalFormatting sqref="E61:E96">
    <cfRule type="expression" dxfId="2" priority="2" stopIfTrue="1">
      <formula>#REF!&lt;&gt;0</formula>
    </cfRule>
    <cfRule type="expression" dxfId="1" priority="3" stopIfTrue="1">
      <formula>AND(SUM(#REF!)=0,#REF!&lt;&gt;0)</formula>
    </cfRule>
  </conditionalFormatting>
  <conditionalFormatting sqref="E18:E60 J18:J96 O18:O96 T18:T96">
    <cfRule type="expression" dxfId="0" priority="4" stopIfTrue="1">
      <formula>AND(SUM(#REF!)=0,#REF!&lt;&gt;0)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B1:J101"/>
  <sheetViews>
    <sheetView workbookViewId="0">
      <selection activeCell="D9" sqref="D9"/>
    </sheetView>
  </sheetViews>
  <sheetFormatPr defaultRowHeight="12.75" x14ac:dyDescent="0.2"/>
  <cols>
    <col min="1" max="1" width="16.140625" style="256" customWidth="1"/>
    <col min="2" max="2" width="20.85546875" style="256" customWidth="1"/>
    <col min="3" max="3" width="24.140625" style="256" customWidth="1"/>
    <col min="4" max="4" width="14.42578125" style="256" customWidth="1"/>
    <col min="5" max="5" width="12.85546875" style="256" customWidth="1"/>
    <col min="6" max="6" width="14.7109375" style="256" customWidth="1"/>
    <col min="7" max="7" width="11.7109375" style="256" customWidth="1"/>
    <col min="8" max="8" width="27.140625" style="256" customWidth="1"/>
    <col min="9" max="9" width="14.28515625" style="256" customWidth="1"/>
    <col min="10" max="10" width="17.5703125" style="256" customWidth="1"/>
    <col min="11" max="21" width="16.140625" style="256" customWidth="1"/>
    <col min="22" max="16384" width="9.140625" style="256"/>
  </cols>
  <sheetData>
    <row r="1" spans="2:10" ht="12.75" customHeight="1" x14ac:dyDescent="0.2">
      <c r="C1" s="269"/>
      <c r="D1" s="269"/>
    </row>
    <row r="2" spans="2:10" ht="12.75" customHeight="1" x14ac:dyDescent="0.2">
      <c r="B2" s="266"/>
      <c r="C2" s="824" t="s">
        <v>621</v>
      </c>
      <c r="D2" s="824"/>
      <c r="E2" s="274"/>
    </row>
    <row r="3" spans="2:10" ht="12.75" customHeight="1" x14ac:dyDescent="0.2">
      <c r="C3" s="270"/>
      <c r="D3" s="273"/>
      <c r="E3" s="262">
        <f>135.0107-(0.10172*D4)-(0.30014*D5)</f>
        <v>124.66908000000001</v>
      </c>
      <c r="F3" s="271"/>
    </row>
    <row r="4" spans="2:10" x14ac:dyDescent="0.2">
      <c r="B4" s="266"/>
      <c r="C4" s="307" t="s">
        <v>10</v>
      </c>
      <c r="D4" s="265">
        <f>SUM('Setup Tool'!B14)</f>
        <v>22</v>
      </c>
      <c r="E4" s="272"/>
    </row>
    <row r="5" spans="2:10" x14ac:dyDescent="0.2">
      <c r="B5" s="266"/>
      <c r="C5" s="307" t="s">
        <v>620</v>
      </c>
      <c r="D5" s="265">
        <f>SUM('Setup Tool'!B15)</f>
        <v>27</v>
      </c>
      <c r="E5" s="271"/>
    </row>
    <row r="6" spans="2:10" ht="12.75" customHeight="1" x14ac:dyDescent="0.2">
      <c r="C6" s="270"/>
      <c r="D6" s="257"/>
    </row>
    <row r="7" spans="2:10" ht="18.75" x14ac:dyDescent="0.2">
      <c r="B7" s="266"/>
      <c r="C7" s="307" t="s">
        <v>619</v>
      </c>
      <c r="D7" s="271"/>
      <c r="G7" s="269"/>
      <c r="H7" s="269"/>
      <c r="I7" s="825" t="s">
        <v>618</v>
      </c>
      <c r="J7" s="825"/>
    </row>
    <row r="8" spans="2:10" x14ac:dyDescent="0.2">
      <c r="C8" s="270"/>
      <c r="D8" s="269"/>
      <c r="E8" s="269"/>
      <c r="F8" s="268"/>
      <c r="G8" s="826" t="s">
        <v>617</v>
      </c>
      <c r="H8" s="826"/>
      <c r="I8" s="259">
        <f>IF(H9&lt;0,1,H9)</f>
        <v>124.66908000000001</v>
      </c>
      <c r="J8" s="258" t="s">
        <v>616</v>
      </c>
    </row>
    <row r="9" spans="2:10" x14ac:dyDescent="0.2">
      <c r="B9" s="266"/>
      <c r="C9" s="307" t="s">
        <v>615</v>
      </c>
      <c r="D9" s="265">
        <f>SUM('Setup Tool'!B19)</f>
        <v>0</v>
      </c>
      <c r="E9" s="307" t="s">
        <v>614</v>
      </c>
      <c r="F9" s="262">
        <f>(0.0425979*D9)+(0.390817*D10)</f>
        <v>0</v>
      </c>
      <c r="G9" s="267"/>
      <c r="H9" s="260">
        <f>$E$3-$F9</f>
        <v>124.66908000000001</v>
      </c>
      <c r="I9" s="259">
        <f>IF(H9&lt;0,1,H9)</f>
        <v>124.66908000000001</v>
      </c>
      <c r="J9" s="258" t="s">
        <v>613</v>
      </c>
    </row>
    <row r="10" spans="2:10" ht="12.75" customHeight="1" x14ac:dyDescent="0.2">
      <c r="B10" s="266"/>
      <c r="C10" s="307" t="s">
        <v>612</v>
      </c>
      <c r="D10" s="265">
        <f>SUM('Setup Tool'!B20)</f>
        <v>0</v>
      </c>
      <c r="E10" s="307" t="s">
        <v>611</v>
      </c>
      <c r="F10" s="262">
        <f>(0.042665*D9)+(0.218959*D11)+(0.148625*D12)</f>
        <v>0</v>
      </c>
      <c r="G10" s="261"/>
      <c r="H10" s="260">
        <f>$E$3-$F10</f>
        <v>124.66908000000001</v>
      </c>
      <c r="I10" s="259">
        <f>IF(H10&lt;0,1,H10)</f>
        <v>124.66908000000001</v>
      </c>
      <c r="J10" s="258" t="s">
        <v>2</v>
      </c>
    </row>
    <row r="11" spans="2:10" ht="12.75" customHeight="1" x14ac:dyDescent="0.2">
      <c r="B11" s="266"/>
      <c r="C11" s="307" t="s">
        <v>610</v>
      </c>
      <c r="D11" s="265">
        <f>SUM('Setup Tool'!B21)</f>
        <v>0</v>
      </c>
      <c r="E11" s="307" t="s">
        <v>609</v>
      </c>
      <c r="F11" s="262">
        <f>(0.06499*D9)+(0.009791*D10)+(0.08916*D11)+(0.24292*D12)</f>
        <v>0</v>
      </c>
      <c r="G11" s="261"/>
      <c r="H11" s="260">
        <f>$E$3-$F11</f>
        <v>124.66908000000001</v>
      </c>
      <c r="I11" s="259">
        <f>IF(H11&lt;0,1,H11)</f>
        <v>124.66908000000001</v>
      </c>
      <c r="J11" s="258" t="s">
        <v>3</v>
      </c>
    </row>
    <row r="12" spans="2:10" ht="12.75" customHeight="1" x14ac:dyDescent="0.2">
      <c r="B12" s="266"/>
      <c r="C12" s="307" t="s">
        <v>608</v>
      </c>
      <c r="D12" s="265">
        <f>SUM('Setup Tool'!B22)</f>
        <v>0</v>
      </c>
      <c r="E12" s="307" t="s">
        <v>607</v>
      </c>
      <c r="F12" s="262">
        <f>(0.062533*D9)+(0.291894*D11)+(0.065017*D12)</f>
        <v>0</v>
      </c>
      <c r="G12" s="261"/>
      <c r="H12" s="260">
        <f>$E$3-$F12</f>
        <v>124.66908000000001</v>
      </c>
      <c r="I12" s="259">
        <f>IF(H12&lt;0,1,H12)</f>
        <v>124.66908000000001</v>
      </c>
      <c r="J12" s="258" t="s">
        <v>295</v>
      </c>
    </row>
    <row r="13" spans="2:10" x14ac:dyDescent="0.2">
      <c r="C13" s="264"/>
      <c r="D13" s="263"/>
      <c r="E13" s="307" t="s">
        <v>606</v>
      </c>
      <c r="F13" s="262">
        <f>(0.073354*D9)+(0.092522*D10)+(0.259221*D12)</f>
        <v>0</v>
      </c>
      <c r="G13" s="261"/>
      <c r="H13" s="260">
        <f>$E$3-$F13</f>
        <v>124.66908000000001</v>
      </c>
      <c r="I13" s="259">
        <f>IF(H13&lt;0,1,H13)</f>
        <v>124.66908000000001</v>
      </c>
      <c r="J13" s="258" t="s">
        <v>5</v>
      </c>
    </row>
    <row r="14" spans="2:10" ht="12.75" customHeight="1" x14ac:dyDescent="0.2">
      <c r="E14" s="257"/>
      <c r="F14" s="257"/>
      <c r="H14" s="257"/>
    </row>
    <row r="15" spans="2:10" ht="12.75" customHeight="1" x14ac:dyDescent="0.2"/>
    <row r="16" spans="2:10"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sheetData>
  <sheetProtection selectLockedCells="1"/>
  <customSheetViews>
    <customSheetView guid="{58F65609-3622-42C4-9926-1A56B88F9C36}" state="hidden">
      <selection sqref="A1:XFD1048576"/>
      <pageMargins left="0.7" right="0.7" top="0.75" bottom="0.75" header="0.3" footer="0.3"/>
    </customSheetView>
  </customSheetViews>
  <mergeCells count="3">
    <mergeCell ref="C2:D2"/>
    <mergeCell ref="I7:J7"/>
    <mergeCell ref="G8:H8"/>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L11"/>
  <sheetViews>
    <sheetView workbookViewId="0">
      <selection activeCell="B12" sqref="B12"/>
    </sheetView>
  </sheetViews>
  <sheetFormatPr defaultRowHeight="15" x14ac:dyDescent="0.25"/>
  <sheetData>
    <row r="1" spans="1:12" x14ac:dyDescent="0.25">
      <c r="C1" t="s">
        <v>266</v>
      </c>
      <c r="D1" t="s">
        <v>495</v>
      </c>
      <c r="E1" t="s">
        <v>328</v>
      </c>
      <c r="F1" t="s">
        <v>330</v>
      </c>
      <c r="G1" t="s">
        <v>2</v>
      </c>
      <c r="H1" t="s">
        <v>494</v>
      </c>
      <c r="I1" t="s">
        <v>493</v>
      </c>
      <c r="J1" t="s">
        <v>258</v>
      </c>
    </row>
    <row r="2" spans="1:12" x14ac:dyDescent="0.25">
      <c r="A2" t="s">
        <v>584</v>
      </c>
      <c r="B2">
        <f>ROUNDUP((J2+(J2-(J2*1.009^H2))+(J2-(J2*1.014^G2))+(J2-(J2*1.00036^F2))+(J2-(J2*1.00014^E2))+(J2-(J2*1.00008^C2))+(J2-(J2*1.00025^I2))-(J2-(J2*1.00018^D2)))*1.01,0)</f>
        <v>235</v>
      </c>
      <c r="C2">
        <f>'Setup Tool'!B11-VLOOKUP('Setup Tool'!$B$1,'Raw Data'!$A$1:$Q$113,5,FALSE)</f>
        <v>-61</v>
      </c>
      <c r="D2">
        <f>'Setup Tool'!B13-VLOOKUP('Setup Tool'!$B$1,'Raw Data'!$A$1:$Q$113,6,FALSE)</f>
        <v>17</v>
      </c>
      <c r="E2">
        <f>'Setup Tool'!B14-VLOOKUP('Setup Tool'!$B$1,'Raw Data'!$A$1:$Q$113,7,FALSE)</f>
        <v>-32</v>
      </c>
      <c r="F2">
        <f>'Setup Tool'!B15-VLOOKUP('Setup Tool'!$B$1,'Raw Data'!$A$1:$Q$113,8,FALSE)</f>
        <v>-37</v>
      </c>
      <c r="G2">
        <f>'Setup Tool'!D15-VLOOKUP('Setup Tool'!$B$1,'Raw Data'!$A$1:$Q$113,9,FALSE)</f>
        <v>-2</v>
      </c>
      <c r="H2">
        <f>'Setup Tool'!D22-VLOOKUP('Setup Tool'!$B$1,'Raw Data'!$A$1:$Q$113,10,FALSE)</f>
        <v>-3</v>
      </c>
      <c r="I2">
        <f>'Setup Tool'!B8-VLOOKUP('Setup Tool'!$B$1,'Raw Data'!$A$1:$Q$113,11,FALSE)</f>
        <v>-64</v>
      </c>
      <c r="J2">
        <f>VLOOKUP('Setup Tool'!$B$1,'Raw Data'!$A$1:$Q$113,12,FALSE)</f>
        <v>212.4</v>
      </c>
    </row>
    <row r="3" spans="1:12" x14ac:dyDescent="0.25">
      <c r="A3" t="s">
        <v>427</v>
      </c>
      <c r="B3" s="230">
        <f>VLOOKUP('Setup Tool'!$B$1,'Raw Data'!$A$1:$Q$83,2,FALSE)*(50-'Setup Tool'!B3)+VLOOKUP('Setup Tool'!$B$9,'Raw Data'!$A$84:$B$89,2,FALSE)</f>
        <v>0.20890799999999998</v>
      </c>
      <c r="L3" s="231"/>
    </row>
    <row r="4" spans="1:12" x14ac:dyDescent="0.25">
      <c r="A4" t="s">
        <v>421</v>
      </c>
      <c r="B4" s="230">
        <f>VLOOKUP('Setup Tool'!$B$1,'Raw Data'!$A$1:$Q$83,2,FALSE)*(50-'Setup Tool'!B5)+VLOOKUP('Setup Tool'!$B$9,'Raw Data'!$A$84:$B$89,2,FALSE)</f>
        <v>0.22383</v>
      </c>
      <c r="L4" s="231"/>
    </row>
    <row r="5" spans="1:12" x14ac:dyDescent="0.25">
      <c r="A5" t="s">
        <v>228</v>
      </c>
      <c r="B5" s="230">
        <f>VLOOKUP('Setup Tool'!$B$1,'Raw Data'!$A$1:$Q$83,2,FALSE)*(50-'Setup Tool'!B7)+VLOOKUP('Setup Tool'!$B$9,'Raw Data'!$A$84:$B$89,2,FALSE)</f>
        <v>0.21636900000000001</v>
      </c>
      <c r="L5" s="231"/>
    </row>
    <row r="6" spans="1:12" x14ac:dyDescent="0.25">
      <c r="B6" s="230"/>
      <c r="C6" t="s">
        <v>585</v>
      </c>
      <c r="L6" s="231"/>
    </row>
    <row r="7" spans="1:12" x14ac:dyDescent="0.25">
      <c r="A7" t="s">
        <v>11</v>
      </c>
      <c r="B7">
        <f>VLOOKUP('Setup Tool'!$B$1,'Raw Data'!A1:Q83,13,FALSE)+('Raw Data'!B92*'Setup Tool'!B3+'Raw Data'!C92*'Setup Tool'!E13+'Raw Data'!E92*'Setup Tool'!B12+'Raw Data'!I92*(('Setup Tool'!D13+'Setup Tool'!D14)/2)+'Raw Data'!N92*'Setup Tool'!D19+'Raw Data'!O92*'Setup Tool'!D20)+(IF('Setup Tool'!B2="Wet",'Raw Data'!R92*'Setup Tool'!B3+'Raw Data'!S92,0))</f>
        <v>343.15</v>
      </c>
      <c r="C7">
        <f>IF('Setup Tool'!$B$2="Dry",'Raw Data'!S92+'Raw Data'!R92*'Setup Tool'!$B$3,-('Raw Data'!S92+'Raw Data'!R92*'Setup Tool'!$B$3))</f>
        <v>119</v>
      </c>
    </row>
    <row r="8" spans="1:12" x14ac:dyDescent="0.25">
      <c r="A8" t="s">
        <v>2</v>
      </c>
      <c r="B8">
        <f>VLOOKUP('Setup Tool'!$B$1,'Raw Data'!A1:Q83,14,FALSE)+('Raw Data'!B93*'Setup Tool'!B3+'Raw Data'!C93*'Setup Tool'!E15+'Raw Data'!F93*'Setup Tool'!B13+'Raw Data'!G93*'Setup Tool'!B14+'Raw Data'!J93*'Setup Tool'!D15+'Raw Data'!P93*'Setup Tool'!D21)+(IF('Setup Tool'!B2="Wet",'Raw Data'!R93*'Setup Tool'!B3+'Raw Data'!S93,0))</f>
        <v>729.04</v>
      </c>
      <c r="C8">
        <f>IF('Setup Tool'!$B$2="Dry",'Raw Data'!S93+'Raw Data'!R93*'Setup Tool'!$B$3,-('Raw Data'!S93+'Raw Data'!R93*'Setup Tool'!$B$3))</f>
        <v>-130.02000000000001</v>
      </c>
    </row>
    <row r="9" spans="1:12" x14ac:dyDescent="0.25">
      <c r="A9" t="s">
        <v>3</v>
      </c>
      <c r="B9">
        <f>VLOOKUP('Setup Tool'!$B$1,'Raw Data'!A1:Q83,15,FALSE)+('Raw Data'!B94*'Setup Tool'!B3+'Raw Data'!C94*'Setup Tool'!E16+'Raw Data'!E94*'Setup Tool'!B12+'Raw Data'!K94*'Setup Tool'!D16+'Raw Data'!Q94*'Setup Tool'!D22)+(IF('Setup Tool'!B2="Wet",'Raw Data'!R94*'Setup Tool'!B3+'Raw Data'!S94))</f>
        <v>760.7</v>
      </c>
      <c r="C9">
        <f>IF('Setup Tool'!$B$2="Dry",'Raw Data'!S94+'Raw Data'!R94*'Setup Tool'!$B$3,-('Raw Data'!S94+'Raw Data'!R94*'Setup Tool'!$B$3))</f>
        <v>59.87</v>
      </c>
    </row>
    <row r="10" spans="1:12" x14ac:dyDescent="0.25">
      <c r="A10" t="s">
        <v>4</v>
      </c>
      <c r="B10">
        <f>VLOOKUP('Setup Tool'!$B$1,'Raw Data'!A1:Q83,16,FALSE)+('Raw Data'!B95*'Setup Tool'!B3+'Raw Data'!C95*'Setup Tool'!E17+'Raw Data'!D95*'Setup Tool'!B11+'Raw Data'!L95*'Setup Tool'!D17+'Raw Data'!Q95*'Setup Tool'!D22)+(IF('Setup Tool'!B2="Wet",'Raw Data'!R95*'Setup Tool'!B3+'Raw Data'!S95))</f>
        <v>510.4</v>
      </c>
      <c r="C10">
        <f>IF('Setup Tool'!$B$2="Dry",'Raw Data'!S95+'Raw Data'!R95*'Setup Tool'!$B$3,-('Raw Data'!S95+'Raw Data'!R95*'Setup Tool'!$B$3))</f>
        <v>-93.070000000000007</v>
      </c>
    </row>
    <row r="11" spans="1:12" x14ac:dyDescent="0.25">
      <c r="A11" t="s">
        <v>586</v>
      </c>
      <c r="B11">
        <f>VLOOKUP('Setup Tool'!$B$1,'Raw Data'!A1:Q83,17,FALSE)+('Raw Data'!B96*'Setup Tool'!B3+'Raw Data'!C96*'Setup Tool'!E18+'Raw Data'!G96*'Setup Tool'!B14+'Raw Data'!H96*'Setup Tool'!B17+'Raw Data'!M96*'Setup Tool'!D18+'Raw Data'!N96*'Setup Tool'!D19+'Raw Data'!O96*'Setup Tool'!D20)+(IF('Setup Tool'!B2="Wet",'Raw Data'!R96*'Setup Tool'!B3+'Raw Data'!S96))</f>
        <v>215.16</v>
      </c>
      <c r="C11">
        <f>IF('Setup Tool'!$B$2="Dry",'Raw Data'!S96+'Raw Data'!R96*'Setup Tool'!$B$3,-('Raw Data'!S96+'Raw Data'!R96*'Setup Tool'!$B$3))</f>
        <v>-134.6</v>
      </c>
    </row>
  </sheetData>
  <sheetProtection selectLockedCells="1"/>
  <customSheetViews>
    <customSheetView guid="{58F65609-3622-42C4-9926-1A56B88F9C36}" state="hidden">
      <selection sqref="A1:XFD104857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J13"/>
  <sheetViews>
    <sheetView workbookViewId="0">
      <selection activeCell="C14" sqref="C14"/>
    </sheetView>
  </sheetViews>
  <sheetFormatPr defaultRowHeight="15" x14ac:dyDescent="0.25"/>
  <cols>
    <col min="1" max="1" width="7.42578125" customWidth="1"/>
    <col min="2" max="7" width="10.140625" customWidth="1"/>
    <col min="8" max="10" width="11.140625" customWidth="1"/>
    <col min="257" max="257" width="7.42578125" customWidth="1"/>
    <col min="258" max="263" width="10.140625" customWidth="1"/>
    <col min="264" max="266" width="11.140625" customWidth="1"/>
    <col min="513" max="513" width="7.42578125" customWidth="1"/>
    <col min="514" max="519" width="10.140625" customWidth="1"/>
    <col min="520" max="522" width="11.140625" customWidth="1"/>
    <col min="769" max="769" width="7.42578125" customWidth="1"/>
    <col min="770" max="775" width="10.140625" customWidth="1"/>
    <col min="776" max="778" width="11.140625" customWidth="1"/>
    <col min="1025" max="1025" width="7.42578125" customWidth="1"/>
    <col min="1026" max="1031" width="10.140625" customWidth="1"/>
    <col min="1032" max="1034" width="11.140625" customWidth="1"/>
    <col min="1281" max="1281" width="7.42578125" customWidth="1"/>
    <col min="1282" max="1287" width="10.140625" customWidth="1"/>
    <col min="1288" max="1290" width="11.140625" customWidth="1"/>
    <col min="1537" max="1537" width="7.42578125" customWidth="1"/>
    <col min="1538" max="1543" width="10.140625" customWidth="1"/>
    <col min="1544" max="1546" width="11.140625" customWidth="1"/>
    <col min="1793" max="1793" width="7.42578125" customWidth="1"/>
    <col min="1794" max="1799" width="10.140625" customWidth="1"/>
    <col min="1800" max="1802" width="11.140625" customWidth="1"/>
    <col min="2049" max="2049" width="7.42578125" customWidth="1"/>
    <col min="2050" max="2055" width="10.140625" customWidth="1"/>
    <col min="2056" max="2058" width="11.140625" customWidth="1"/>
    <col min="2305" max="2305" width="7.42578125" customWidth="1"/>
    <col min="2306" max="2311" width="10.140625" customWidth="1"/>
    <col min="2312" max="2314" width="11.140625" customWidth="1"/>
    <col min="2561" max="2561" width="7.42578125" customWidth="1"/>
    <col min="2562" max="2567" width="10.140625" customWidth="1"/>
    <col min="2568" max="2570" width="11.140625" customWidth="1"/>
    <col min="2817" max="2817" width="7.42578125" customWidth="1"/>
    <col min="2818" max="2823" width="10.140625" customWidth="1"/>
    <col min="2824" max="2826" width="11.140625" customWidth="1"/>
    <col min="3073" max="3073" width="7.42578125" customWidth="1"/>
    <col min="3074" max="3079" width="10.140625" customWidth="1"/>
    <col min="3080" max="3082" width="11.140625" customWidth="1"/>
    <col min="3329" max="3329" width="7.42578125" customWidth="1"/>
    <col min="3330" max="3335" width="10.140625" customWidth="1"/>
    <col min="3336" max="3338" width="11.140625" customWidth="1"/>
    <col min="3585" max="3585" width="7.42578125" customWidth="1"/>
    <col min="3586" max="3591" width="10.140625" customWidth="1"/>
    <col min="3592" max="3594" width="11.140625" customWidth="1"/>
    <col min="3841" max="3841" width="7.42578125" customWidth="1"/>
    <col min="3842" max="3847" width="10.140625" customWidth="1"/>
    <col min="3848" max="3850" width="11.140625" customWidth="1"/>
    <col min="4097" max="4097" width="7.42578125" customWidth="1"/>
    <col min="4098" max="4103" width="10.140625" customWidth="1"/>
    <col min="4104" max="4106" width="11.140625" customWidth="1"/>
    <col min="4353" max="4353" width="7.42578125" customWidth="1"/>
    <col min="4354" max="4359" width="10.140625" customWidth="1"/>
    <col min="4360" max="4362" width="11.140625" customWidth="1"/>
    <col min="4609" max="4609" width="7.42578125" customWidth="1"/>
    <col min="4610" max="4615" width="10.140625" customWidth="1"/>
    <col min="4616" max="4618" width="11.140625" customWidth="1"/>
    <col min="4865" max="4865" width="7.42578125" customWidth="1"/>
    <col min="4866" max="4871" width="10.140625" customWidth="1"/>
    <col min="4872" max="4874" width="11.140625" customWidth="1"/>
    <col min="5121" max="5121" width="7.42578125" customWidth="1"/>
    <col min="5122" max="5127" width="10.140625" customWidth="1"/>
    <col min="5128" max="5130" width="11.140625" customWidth="1"/>
    <col min="5377" max="5377" width="7.42578125" customWidth="1"/>
    <col min="5378" max="5383" width="10.140625" customWidth="1"/>
    <col min="5384" max="5386" width="11.140625" customWidth="1"/>
    <col min="5633" max="5633" width="7.42578125" customWidth="1"/>
    <col min="5634" max="5639" width="10.140625" customWidth="1"/>
    <col min="5640" max="5642" width="11.140625" customWidth="1"/>
    <col min="5889" max="5889" width="7.42578125" customWidth="1"/>
    <col min="5890" max="5895" width="10.140625" customWidth="1"/>
    <col min="5896" max="5898" width="11.140625" customWidth="1"/>
    <col min="6145" max="6145" width="7.42578125" customWidth="1"/>
    <col min="6146" max="6151" width="10.140625" customWidth="1"/>
    <col min="6152" max="6154" width="11.140625" customWidth="1"/>
    <col min="6401" max="6401" width="7.42578125" customWidth="1"/>
    <col min="6402" max="6407" width="10.140625" customWidth="1"/>
    <col min="6408" max="6410" width="11.140625" customWidth="1"/>
    <col min="6657" max="6657" width="7.42578125" customWidth="1"/>
    <col min="6658" max="6663" width="10.140625" customWidth="1"/>
    <col min="6664" max="6666" width="11.140625" customWidth="1"/>
    <col min="6913" max="6913" width="7.42578125" customWidth="1"/>
    <col min="6914" max="6919" width="10.140625" customWidth="1"/>
    <col min="6920" max="6922" width="11.140625" customWidth="1"/>
    <col min="7169" max="7169" width="7.42578125" customWidth="1"/>
    <col min="7170" max="7175" width="10.140625" customWidth="1"/>
    <col min="7176" max="7178" width="11.140625" customWidth="1"/>
    <col min="7425" max="7425" width="7.42578125" customWidth="1"/>
    <col min="7426" max="7431" width="10.140625" customWidth="1"/>
    <col min="7432" max="7434" width="11.140625" customWidth="1"/>
    <col min="7681" max="7681" width="7.42578125" customWidth="1"/>
    <col min="7682" max="7687" width="10.140625" customWidth="1"/>
    <col min="7688" max="7690" width="11.140625" customWidth="1"/>
    <col min="7937" max="7937" width="7.42578125" customWidth="1"/>
    <col min="7938" max="7943" width="10.140625" customWidth="1"/>
    <col min="7944" max="7946" width="11.140625" customWidth="1"/>
    <col min="8193" max="8193" width="7.42578125" customWidth="1"/>
    <col min="8194" max="8199" width="10.140625" customWidth="1"/>
    <col min="8200" max="8202" width="11.140625" customWidth="1"/>
    <col min="8449" max="8449" width="7.42578125" customWidth="1"/>
    <col min="8450" max="8455" width="10.140625" customWidth="1"/>
    <col min="8456" max="8458" width="11.140625" customWidth="1"/>
    <col min="8705" max="8705" width="7.42578125" customWidth="1"/>
    <col min="8706" max="8711" width="10.140625" customWidth="1"/>
    <col min="8712" max="8714" width="11.140625" customWidth="1"/>
    <col min="8961" max="8961" width="7.42578125" customWidth="1"/>
    <col min="8962" max="8967" width="10.140625" customWidth="1"/>
    <col min="8968" max="8970" width="11.140625" customWidth="1"/>
    <col min="9217" max="9217" width="7.42578125" customWidth="1"/>
    <col min="9218" max="9223" width="10.140625" customWidth="1"/>
    <col min="9224" max="9226" width="11.140625" customWidth="1"/>
    <col min="9473" max="9473" width="7.42578125" customWidth="1"/>
    <col min="9474" max="9479" width="10.140625" customWidth="1"/>
    <col min="9480" max="9482" width="11.140625" customWidth="1"/>
    <col min="9729" max="9729" width="7.42578125" customWidth="1"/>
    <col min="9730" max="9735" width="10.140625" customWidth="1"/>
    <col min="9736" max="9738" width="11.140625" customWidth="1"/>
    <col min="9985" max="9985" width="7.42578125" customWidth="1"/>
    <col min="9986" max="9991" width="10.140625" customWidth="1"/>
    <col min="9992" max="9994" width="11.140625" customWidth="1"/>
    <col min="10241" max="10241" width="7.42578125" customWidth="1"/>
    <col min="10242" max="10247" width="10.140625" customWidth="1"/>
    <col min="10248" max="10250" width="11.140625" customWidth="1"/>
    <col min="10497" max="10497" width="7.42578125" customWidth="1"/>
    <col min="10498" max="10503" width="10.140625" customWidth="1"/>
    <col min="10504" max="10506" width="11.140625" customWidth="1"/>
    <col min="10753" max="10753" width="7.42578125" customWidth="1"/>
    <col min="10754" max="10759" width="10.140625" customWidth="1"/>
    <col min="10760" max="10762" width="11.140625" customWidth="1"/>
    <col min="11009" max="11009" width="7.42578125" customWidth="1"/>
    <col min="11010" max="11015" width="10.140625" customWidth="1"/>
    <col min="11016" max="11018" width="11.140625" customWidth="1"/>
    <col min="11265" max="11265" width="7.42578125" customWidth="1"/>
    <col min="11266" max="11271" width="10.140625" customWidth="1"/>
    <col min="11272" max="11274" width="11.140625" customWidth="1"/>
    <col min="11521" max="11521" width="7.42578125" customWidth="1"/>
    <col min="11522" max="11527" width="10.140625" customWidth="1"/>
    <col min="11528" max="11530" width="11.140625" customWidth="1"/>
    <col min="11777" max="11777" width="7.42578125" customWidth="1"/>
    <col min="11778" max="11783" width="10.140625" customWidth="1"/>
    <col min="11784" max="11786" width="11.140625" customWidth="1"/>
    <col min="12033" max="12033" width="7.42578125" customWidth="1"/>
    <col min="12034" max="12039" width="10.140625" customWidth="1"/>
    <col min="12040" max="12042" width="11.140625" customWidth="1"/>
    <col min="12289" max="12289" width="7.42578125" customWidth="1"/>
    <col min="12290" max="12295" width="10.140625" customWidth="1"/>
    <col min="12296" max="12298" width="11.140625" customWidth="1"/>
    <col min="12545" max="12545" width="7.42578125" customWidth="1"/>
    <col min="12546" max="12551" width="10.140625" customWidth="1"/>
    <col min="12552" max="12554" width="11.140625" customWidth="1"/>
    <col min="12801" max="12801" width="7.42578125" customWidth="1"/>
    <col min="12802" max="12807" width="10.140625" customWidth="1"/>
    <col min="12808" max="12810" width="11.140625" customWidth="1"/>
    <col min="13057" max="13057" width="7.42578125" customWidth="1"/>
    <col min="13058" max="13063" width="10.140625" customWidth="1"/>
    <col min="13064" max="13066" width="11.140625" customWidth="1"/>
    <col min="13313" max="13313" width="7.42578125" customWidth="1"/>
    <col min="13314" max="13319" width="10.140625" customWidth="1"/>
    <col min="13320" max="13322" width="11.140625" customWidth="1"/>
    <col min="13569" max="13569" width="7.42578125" customWidth="1"/>
    <col min="13570" max="13575" width="10.140625" customWidth="1"/>
    <col min="13576" max="13578" width="11.140625" customWidth="1"/>
    <col min="13825" max="13825" width="7.42578125" customWidth="1"/>
    <col min="13826" max="13831" width="10.140625" customWidth="1"/>
    <col min="13832" max="13834" width="11.140625" customWidth="1"/>
    <col min="14081" max="14081" width="7.42578125" customWidth="1"/>
    <col min="14082" max="14087" width="10.140625" customWidth="1"/>
    <col min="14088" max="14090" width="11.140625" customWidth="1"/>
    <col min="14337" max="14337" width="7.42578125" customWidth="1"/>
    <col min="14338" max="14343" width="10.140625" customWidth="1"/>
    <col min="14344" max="14346" width="11.140625" customWidth="1"/>
    <col min="14593" max="14593" width="7.42578125" customWidth="1"/>
    <col min="14594" max="14599" width="10.140625" customWidth="1"/>
    <col min="14600" max="14602" width="11.140625" customWidth="1"/>
    <col min="14849" max="14849" width="7.42578125" customWidth="1"/>
    <col min="14850" max="14855" width="10.140625" customWidth="1"/>
    <col min="14856" max="14858" width="11.140625" customWidth="1"/>
    <col min="15105" max="15105" width="7.42578125" customWidth="1"/>
    <col min="15106" max="15111" width="10.140625" customWidth="1"/>
    <col min="15112" max="15114" width="11.140625" customWidth="1"/>
    <col min="15361" max="15361" width="7.42578125" customWidth="1"/>
    <col min="15362" max="15367" width="10.140625" customWidth="1"/>
    <col min="15368" max="15370" width="11.140625" customWidth="1"/>
    <col min="15617" max="15617" width="7.42578125" customWidth="1"/>
    <col min="15618" max="15623" width="10.140625" customWidth="1"/>
    <col min="15624" max="15626" width="11.140625" customWidth="1"/>
    <col min="15873" max="15873" width="7.42578125" customWidth="1"/>
    <col min="15874" max="15879" width="10.140625" customWidth="1"/>
    <col min="15880" max="15882" width="11.140625" customWidth="1"/>
    <col min="16129" max="16129" width="7.42578125" customWidth="1"/>
    <col min="16130" max="16135" width="10.140625" customWidth="1"/>
    <col min="16136" max="16138" width="11.140625" customWidth="1"/>
  </cols>
  <sheetData>
    <row r="1" spans="1:10" x14ac:dyDescent="0.25">
      <c r="C1">
        <v>1.2384999999999999</v>
      </c>
    </row>
    <row r="2" spans="1:10" x14ac:dyDescent="0.25">
      <c r="A2" t="s">
        <v>452</v>
      </c>
      <c r="B2" s="212">
        <v>1</v>
      </c>
      <c r="C2" s="212">
        <v>2</v>
      </c>
      <c r="D2" s="212">
        <v>3</v>
      </c>
      <c r="E2" s="212">
        <v>4</v>
      </c>
      <c r="F2" s="212">
        <v>5</v>
      </c>
      <c r="G2" s="212">
        <v>6</v>
      </c>
      <c r="H2" s="212">
        <v>7</v>
      </c>
      <c r="I2" s="212">
        <v>8</v>
      </c>
      <c r="J2" s="212">
        <v>9</v>
      </c>
    </row>
    <row r="3" spans="1:10" x14ac:dyDescent="0.25">
      <c r="A3" t="s">
        <v>299</v>
      </c>
      <c r="B3" s="213">
        <v>1292539</v>
      </c>
      <c r="C3" s="213">
        <v>1600809.5514999998</v>
      </c>
      <c r="D3" s="213">
        <v>1982602.6295327498</v>
      </c>
      <c r="E3" s="213">
        <v>2455453.3566763103</v>
      </c>
      <c r="F3" s="213">
        <v>3041078.9822436101</v>
      </c>
      <c r="G3" s="213">
        <v>3766376.3195087109</v>
      </c>
      <c r="H3" s="213">
        <v>4664657.0717115384</v>
      </c>
      <c r="I3" s="213">
        <v>5777177.7833147403</v>
      </c>
      <c r="J3" s="213">
        <v>7155034.6846353058</v>
      </c>
    </row>
    <row r="4" spans="1:10" x14ac:dyDescent="0.25">
      <c r="A4" t="s">
        <v>2</v>
      </c>
      <c r="B4" s="213">
        <v>3311737</v>
      </c>
      <c r="C4" s="213">
        <v>4101586.2744999998</v>
      </c>
      <c r="D4" s="213">
        <v>5079814.6009682491</v>
      </c>
      <c r="E4" s="213">
        <v>6291350.3832991766</v>
      </c>
      <c r="F4" s="213">
        <v>7791837.4497160297</v>
      </c>
      <c r="G4" s="213">
        <v>9650190.6814733017</v>
      </c>
      <c r="H4" s="213">
        <v>11951761.159004683</v>
      </c>
      <c r="I4" s="213">
        <v>14802256.195427299</v>
      </c>
      <c r="J4" s="213">
        <v>18332594.298036709</v>
      </c>
    </row>
    <row r="5" spans="1:10" x14ac:dyDescent="0.25">
      <c r="A5" t="s">
        <v>519</v>
      </c>
      <c r="B5" s="213">
        <v>1551354</v>
      </c>
      <c r="C5" s="213">
        <v>1921351.929</v>
      </c>
      <c r="D5" s="213">
        <v>2379594.3640664998</v>
      </c>
      <c r="E5" s="213">
        <v>2947127.6198963597</v>
      </c>
      <c r="F5" s="213">
        <v>3650017.5572416415</v>
      </c>
      <c r="G5" s="213">
        <v>4520546.744643773</v>
      </c>
      <c r="H5" s="213">
        <v>5598697.1432413124</v>
      </c>
      <c r="I5" s="213">
        <v>6933986.4119043648</v>
      </c>
      <c r="J5" s="213">
        <v>8587742.171143556</v>
      </c>
    </row>
    <row r="6" spans="1:10" x14ac:dyDescent="0.25">
      <c r="A6" t="s">
        <v>520</v>
      </c>
      <c r="B6" s="213">
        <v>1504126</v>
      </c>
      <c r="C6" s="213">
        <v>1862860.051</v>
      </c>
      <c r="D6" s="213">
        <v>2307152.1731634997</v>
      </c>
      <c r="E6" s="213">
        <v>2857407.966462994</v>
      </c>
      <c r="F6" s="213">
        <v>3538899.7664644178</v>
      </c>
      <c r="G6" s="213">
        <v>4382927.3607661808</v>
      </c>
      <c r="H6" s="213">
        <v>5428255.5363089144</v>
      </c>
      <c r="I6" s="213">
        <v>6722894.4817185905</v>
      </c>
      <c r="J6" s="213">
        <v>8326304.8156084735</v>
      </c>
    </row>
    <row r="7" spans="1:10" x14ac:dyDescent="0.25">
      <c r="A7" t="s">
        <v>521</v>
      </c>
      <c r="B7" s="213">
        <v>510128</v>
      </c>
      <c r="C7" s="213">
        <v>631793.52799999993</v>
      </c>
      <c r="D7" s="213">
        <v>782476.28442799987</v>
      </c>
      <c r="E7" s="213">
        <v>969096.87826407782</v>
      </c>
      <c r="F7" s="213">
        <v>1200226.4837300603</v>
      </c>
      <c r="G7" s="213">
        <v>1486480.5000996797</v>
      </c>
      <c r="H7" s="213">
        <v>1841006.0993734533</v>
      </c>
      <c r="I7" s="213">
        <v>2280086.054074022</v>
      </c>
      <c r="J7" s="213">
        <v>2823886.5779706761</v>
      </c>
    </row>
    <row r="8" spans="1:10" x14ac:dyDescent="0.25">
      <c r="A8" t="s">
        <v>522</v>
      </c>
      <c r="B8" s="213">
        <v>459831</v>
      </c>
      <c r="C8" s="213">
        <v>569500.69349999994</v>
      </c>
      <c r="D8" s="213">
        <v>705326.60889974993</v>
      </c>
      <c r="E8" s="213">
        <v>873547.00512234028</v>
      </c>
      <c r="F8" s="213">
        <v>1081887.9658440184</v>
      </c>
      <c r="G8" s="213">
        <v>1339918.2456978166</v>
      </c>
      <c r="H8" s="213">
        <v>1659488.7472967457</v>
      </c>
      <c r="I8" s="213">
        <v>2055276.8135270195</v>
      </c>
      <c r="J8" s="213">
        <v>2545460.3335532136</v>
      </c>
    </row>
    <row r="9" spans="1:10" x14ac:dyDescent="0.25">
      <c r="A9" t="s">
        <v>523</v>
      </c>
      <c r="B9" s="213">
        <v>454545</v>
      </c>
      <c r="C9" s="213">
        <v>562953.98249999993</v>
      </c>
      <c r="D9" s="213">
        <v>697218.50732624985</v>
      </c>
      <c r="E9" s="213">
        <v>863505.12132356036</v>
      </c>
      <c r="F9" s="213">
        <v>1069451.0927592295</v>
      </c>
      <c r="G9" s="213">
        <v>1324515.1783823057</v>
      </c>
      <c r="H9" s="213">
        <v>1640412.0484264854</v>
      </c>
      <c r="I9" s="213">
        <v>2031650.3219762021</v>
      </c>
      <c r="J9" s="213">
        <v>2516198.9237675262</v>
      </c>
    </row>
    <row r="10" spans="1:10" x14ac:dyDescent="0.25">
      <c r="A10" t="s">
        <v>524</v>
      </c>
      <c r="B10" s="213">
        <v>3098104</v>
      </c>
      <c r="C10" s="213">
        <v>3837001.804</v>
      </c>
      <c r="D10" s="213">
        <v>4752126.7342539998</v>
      </c>
      <c r="E10" s="213">
        <v>5885508.9603735786</v>
      </c>
      <c r="F10" s="213">
        <v>7289202.8474226771</v>
      </c>
      <c r="G10" s="213">
        <v>9027677.7265329845</v>
      </c>
      <c r="H10" s="213">
        <v>11180778.864311101</v>
      </c>
      <c r="I10" s="213">
        <v>13847394.623449298</v>
      </c>
      <c r="J10" s="213">
        <v>17149998.241141953</v>
      </c>
    </row>
    <row r="11" spans="1:10" x14ac:dyDescent="0.25">
      <c r="A11" t="s">
        <v>525</v>
      </c>
      <c r="B11" s="213">
        <v>697674</v>
      </c>
      <c r="C11" s="213">
        <v>864069.24899999995</v>
      </c>
      <c r="D11" s="213">
        <v>1070149.7648864998</v>
      </c>
      <c r="E11" s="213">
        <v>1325380.4838119301</v>
      </c>
      <c r="F11" s="213">
        <v>1641483.7292010754</v>
      </c>
      <c r="G11" s="213">
        <v>2032977.5986155318</v>
      </c>
      <c r="H11" s="213">
        <v>2517842.7558853361</v>
      </c>
      <c r="I11" s="213">
        <v>3118348.2531639887</v>
      </c>
      <c r="J11" s="213">
        <v>3862074.3115435997</v>
      </c>
    </row>
    <row r="12" spans="1:10" x14ac:dyDescent="0.25">
      <c r="A12" t="s">
        <v>526</v>
      </c>
      <c r="B12" s="213">
        <v>1181545</v>
      </c>
      <c r="C12" s="213">
        <v>1463343.4824999999</v>
      </c>
      <c r="D12" s="213">
        <v>1812350.9030762499</v>
      </c>
      <c r="E12" s="213">
        <v>2244596.5934599354</v>
      </c>
      <c r="F12" s="213">
        <v>2779932.88100013</v>
      </c>
      <c r="G12" s="213">
        <v>3442946.8731186609</v>
      </c>
      <c r="H12" s="213">
        <v>4264089.7023574617</v>
      </c>
      <c r="I12" s="213">
        <v>5281075.0963697163</v>
      </c>
      <c r="J12" s="213">
        <v>6540611.5068538934</v>
      </c>
    </row>
    <row r="13" spans="1:10" x14ac:dyDescent="0.25">
      <c r="A13" t="s">
        <v>527</v>
      </c>
      <c r="B13" s="213">
        <v>938416</v>
      </c>
      <c r="C13" s="213">
        <v>1162228.216</v>
      </c>
      <c r="D13" s="213">
        <v>1439419.645516</v>
      </c>
      <c r="E13" s="213">
        <v>1782721.2309715659</v>
      </c>
      <c r="F13" s="213">
        <v>2207900.2445582845</v>
      </c>
      <c r="G13" s="213">
        <v>2734484.4528854354</v>
      </c>
      <c r="H13" s="213">
        <v>3386658.9948986117</v>
      </c>
      <c r="I13" s="213">
        <v>4194377.1651819302</v>
      </c>
      <c r="J13" s="213">
        <v>5194736.1190778203</v>
      </c>
    </row>
  </sheetData>
  <sheetProtection selectLockedCells="1"/>
  <customSheetViews>
    <customSheetView guid="{58F65609-3622-42C4-9926-1A56B88F9C36}" state="hidden">
      <selection activeCell="P29" sqref="P29"/>
      <pageMargins left="0.7" right="0.7" top="0.75" bottom="0.75" header="0.3" footer="0.3"/>
    </customSheetView>
  </customSheetView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312FE-8D28-4839-BA9D-FD8324BE4C1A}">
  <sheetPr codeName="Sheet23"/>
  <dimension ref="A1"/>
  <sheetViews>
    <sheetView workbookViewId="0"/>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5</vt:i4>
      </vt:variant>
    </vt:vector>
  </HeadingPairs>
  <TitlesOfParts>
    <vt:vector size="29" baseType="lpstr">
      <vt:lpstr>Calendar</vt:lpstr>
      <vt:lpstr>Season Planner</vt:lpstr>
      <vt:lpstr>Qualifying</vt:lpstr>
      <vt:lpstr>Race Strategy</vt:lpstr>
      <vt:lpstr>Setup Tool</vt:lpstr>
      <vt:lpstr>Raw Data</vt:lpstr>
      <vt:lpstr>Wingsplits</vt:lpstr>
      <vt:lpstr>Split Calculator</vt:lpstr>
      <vt:lpstr>Part Wear Calculator</vt:lpstr>
      <vt:lpstr>CurrentSeasonWear</vt:lpstr>
      <vt:lpstr>Wear</vt:lpstr>
      <vt:lpstr>Wear ORIGINAL DATA</vt:lpstr>
      <vt:lpstr>Driver Training</vt:lpstr>
      <vt:lpstr>TrackData</vt:lpstr>
      <vt:lpstr>TyreData</vt:lpstr>
      <vt:lpstr>Finances</vt:lpstr>
      <vt:lpstr>Resources</vt:lpstr>
      <vt:lpstr>Car Wear</vt:lpstr>
      <vt:lpstr>Pos. Money</vt:lpstr>
      <vt:lpstr>Tyre Calc</vt:lpstr>
      <vt:lpstr>Strategy Calcs</vt:lpstr>
      <vt:lpstr>Happiness Range</vt:lpstr>
      <vt:lpstr>Calculations</vt:lpstr>
      <vt:lpstr>Parts Cost</vt:lpstr>
      <vt:lpstr>Level</vt:lpstr>
      <vt:lpstr>Supplier</vt:lpstr>
      <vt:lpstr>TrackName</vt:lpstr>
      <vt:lpstr>Tyre</vt:lpstr>
      <vt:lpstr>Weather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Foster</dc:creator>
  <cp:lastModifiedBy>Louis Nicholson</cp:lastModifiedBy>
  <dcterms:created xsi:type="dcterms:W3CDTF">2009-08-14T12:59:54Z</dcterms:created>
  <dcterms:modified xsi:type="dcterms:W3CDTF">2024-06-30T15:23:57Z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78896acabeba43a3a32ec69998ca8921</vt:lpwstr>
  </property>
</Properties>
</file>